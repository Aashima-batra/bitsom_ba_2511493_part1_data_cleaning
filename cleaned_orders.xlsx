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45" windowWidth="13395" windowHeight="11325"/>
  </bookViews>
  <sheets>
    <sheet name="Sheet1" sheetId="1" r:id="rId1"/>
    <sheet name="Sheet2" sheetId="2" r:id="rId2"/>
    <sheet name="Sheet3" sheetId="3" r:id="rId3"/>
  </sheets>
  <calcPr calcId="144525"/>
</workbook>
</file>

<file path=xl/calcChain.xml><?xml version="1.0" encoding="utf-8"?>
<calcChain xmlns="http://schemas.openxmlformats.org/spreadsheetml/2006/main">
  <c r="AO913" i="1" l="1"/>
  <c r="AL913" i="1"/>
  <c r="AK913" i="1"/>
  <c r="AF913" i="1"/>
  <c r="AE913" i="1"/>
  <c r="AI913" i="1" s="1"/>
  <c r="AD913" i="1"/>
  <c r="AB913" i="1"/>
  <c r="AA913" i="1"/>
  <c r="W913" i="1"/>
  <c r="S913" i="1"/>
  <c r="O913" i="1"/>
  <c r="M913" i="1"/>
  <c r="H913" i="1"/>
  <c r="G913" i="1"/>
  <c r="F913" i="1"/>
  <c r="AO912" i="1"/>
  <c r="AL912" i="1"/>
  <c r="AK912" i="1"/>
  <c r="AF912" i="1"/>
  <c r="AD912" i="1"/>
  <c r="AA912" i="1"/>
  <c r="AE912" i="1" s="1"/>
  <c r="W912" i="1"/>
  <c r="S912" i="1"/>
  <c r="O912" i="1"/>
  <c r="M912" i="1"/>
  <c r="H912" i="1"/>
  <c r="G912" i="1"/>
  <c r="F912" i="1"/>
  <c r="AO911" i="1"/>
  <c r="AD911" i="1" s="1"/>
  <c r="AL911" i="1"/>
  <c r="AK911" i="1"/>
  <c r="AF911" i="1"/>
  <c r="AE911" i="1"/>
  <c r="AI911" i="1" s="1"/>
  <c r="AB911" i="1"/>
  <c r="AA911" i="1"/>
  <c r="W911" i="1"/>
  <c r="S911" i="1"/>
  <c r="O911" i="1"/>
  <c r="M911" i="1"/>
  <c r="H911" i="1"/>
  <c r="G911" i="1"/>
  <c r="F911" i="1"/>
  <c r="AO910" i="1"/>
  <c r="AL910" i="1"/>
  <c r="AK910" i="1"/>
  <c r="AF910" i="1"/>
  <c r="AD910" i="1"/>
  <c r="AA910" i="1"/>
  <c r="AE910" i="1" s="1"/>
  <c r="W910" i="1"/>
  <c r="S910" i="1"/>
  <c r="O910" i="1"/>
  <c r="M910" i="1"/>
  <c r="H910" i="1"/>
  <c r="G910" i="1"/>
  <c r="F910" i="1"/>
  <c r="AO909" i="1"/>
  <c r="AD909" i="1" s="1"/>
  <c r="AL909" i="1"/>
  <c r="AK909" i="1"/>
  <c r="AF909" i="1"/>
  <c r="AE909" i="1"/>
  <c r="AI909" i="1" s="1"/>
  <c r="AB909" i="1"/>
  <c r="AA909" i="1"/>
  <c r="W909" i="1"/>
  <c r="S909" i="1"/>
  <c r="O909" i="1"/>
  <c r="M909" i="1"/>
  <c r="H909" i="1"/>
  <c r="G909" i="1"/>
  <c r="F909" i="1"/>
  <c r="AO908" i="1"/>
  <c r="AL908" i="1"/>
  <c r="AK908" i="1"/>
  <c r="AF908" i="1"/>
  <c r="AD908" i="1"/>
  <c r="AA908" i="1"/>
  <c r="AE908" i="1" s="1"/>
  <c r="W908" i="1"/>
  <c r="S908" i="1"/>
  <c r="O908" i="1"/>
  <c r="M908" i="1"/>
  <c r="H908" i="1"/>
  <c r="G908" i="1"/>
  <c r="F908" i="1"/>
  <c r="AO907" i="1"/>
  <c r="AD907" i="1" s="1"/>
  <c r="AL907" i="1"/>
  <c r="AK907" i="1"/>
  <c r="AF907" i="1"/>
  <c r="AE907" i="1"/>
  <c r="AI907" i="1" s="1"/>
  <c r="AB907" i="1"/>
  <c r="AA907" i="1"/>
  <c r="W907" i="1"/>
  <c r="S907" i="1"/>
  <c r="O907" i="1"/>
  <c r="M907" i="1"/>
  <c r="H907" i="1"/>
  <c r="G907" i="1"/>
  <c r="F907" i="1"/>
  <c r="AO906" i="1"/>
  <c r="AL906" i="1"/>
  <c r="AK906" i="1"/>
  <c r="AF906" i="1"/>
  <c r="AD906" i="1"/>
  <c r="AA906" i="1"/>
  <c r="AE906" i="1" s="1"/>
  <c r="W906" i="1"/>
  <c r="S906" i="1"/>
  <c r="O906" i="1"/>
  <c r="M906" i="1"/>
  <c r="H906" i="1"/>
  <c r="G906" i="1"/>
  <c r="F906" i="1"/>
  <c r="AO905" i="1"/>
  <c r="AD905" i="1" s="1"/>
  <c r="AL905" i="1"/>
  <c r="AK905" i="1"/>
  <c r="AF905" i="1"/>
  <c r="AE905" i="1"/>
  <c r="AI905" i="1" s="1"/>
  <c r="AB905" i="1"/>
  <c r="AA905" i="1"/>
  <c r="W905" i="1"/>
  <c r="S905" i="1"/>
  <c r="O905" i="1"/>
  <c r="M905" i="1"/>
  <c r="H905" i="1"/>
  <c r="G905" i="1"/>
  <c r="F905" i="1"/>
  <c r="AO904" i="1"/>
  <c r="AL904" i="1"/>
  <c r="AK904" i="1"/>
  <c r="AF904" i="1"/>
  <c r="AD904" i="1"/>
  <c r="AA904" i="1"/>
  <c r="AE904" i="1" s="1"/>
  <c r="W904" i="1"/>
  <c r="S904" i="1"/>
  <c r="O904" i="1"/>
  <c r="M904" i="1"/>
  <c r="H904" i="1"/>
  <c r="G904" i="1"/>
  <c r="F904" i="1"/>
  <c r="AO903" i="1"/>
  <c r="AD903" i="1" s="1"/>
  <c r="AL903" i="1"/>
  <c r="AK903" i="1"/>
  <c r="AF903" i="1"/>
  <c r="AE903" i="1"/>
  <c r="AI903" i="1" s="1"/>
  <c r="AB903" i="1"/>
  <c r="AA903" i="1"/>
  <c r="W903" i="1"/>
  <c r="S903" i="1"/>
  <c r="O903" i="1"/>
  <c r="M903" i="1"/>
  <c r="H903" i="1"/>
  <c r="G903" i="1"/>
  <c r="F903" i="1"/>
  <c r="AO902" i="1"/>
  <c r="AL902" i="1"/>
  <c r="AK902" i="1"/>
  <c r="AF902" i="1"/>
  <c r="AD902" i="1"/>
  <c r="AA902" i="1"/>
  <c r="AE902" i="1" s="1"/>
  <c r="W902" i="1"/>
  <c r="S902" i="1"/>
  <c r="O902" i="1"/>
  <c r="M902" i="1"/>
  <c r="H902" i="1"/>
  <c r="G902" i="1"/>
  <c r="F902" i="1"/>
  <c r="AO901" i="1"/>
  <c r="AD901" i="1" s="1"/>
  <c r="AL901" i="1"/>
  <c r="AK901" i="1"/>
  <c r="AF901" i="1"/>
  <c r="AE901" i="1"/>
  <c r="AI901" i="1" s="1"/>
  <c r="AB901" i="1"/>
  <c r="AA901" i="1"/>
  <c r="W901" i="1"/>
  <c r="S901" i="1"/>
  <c r="O901" i="1"/>
  <c r="M901" i="1"/>
  <c r="H901" i="1"/>
  <c r="G901" i="1"/>
  <c r="F901" i="1"/>
  <c r="AO900" i="1"/>
  <c r="AL900" i="1"/>
  <c r="AK900" i="1"/>
  <c r="AF900" i="1"/>
  <c r="AD900" i="1"/>
  <c r="AA900" i="1"/>
  <c r="AE900" i="1" s="1"/>
  <c r="W900" i="1"/>
  <c r="S900" i="1"/>
  <c r="O900" i="1"/>
  <c r="M900" i="1"/>
  <c r="H900" i="1"/>
  <c r="G900" i="1"/>
  <c r="F900" i="1"/>
  <c r="AO899" i="1"/>
  <c r="AD899" i="1" s="1"/>
  <c r="AL899" i="1"/>
  <c r="AK899" i="1"/>
  <c r="AF899" i="1"/>
  <c r="AE899" i="1"/>
  <c r="AI899" i="1" s="1"/>
  <c r="AB899" i="1"/>
  <c r="AA899" i="1"/>
  <c r="W899" i="1"/>
  <c r="S899" i="1"/>
  <c r="O899" i="1"/>
  <c r="M899" i="1"/>
  <c r="H899" i="1"/>
  <c r="G899" i="1"/>
  <c r="F899" i="1"/>
  <c r="AO898" i="1"/>
  <c r="AL898" i="1"/>
  <c r="AK898" i="1"/>
  <c r="AF898" i="1"/>
  <c r="AD898" i="1"/>
  <c r="AA898" i="1"/>
  <c r="AE898" i="1" s="1"/>
  <c r="W898" i="1"/>
  <c r="S898" i="1"/>
  <c r="O898" i="1"/>
  <c r="M898" i="1"/>
  <c r="H898" i="1"/>
  <c r="G898" i="1"/>
  <c r="F898" i="1"/>
  <c r="AO897" i="1"/>
  <c r="AD897" i="1" s="1"/>
  <c r="AL897" i="1"/>
  <c r="AK897" i="1"/>
  <c r="AF897" i="1"/>
  <c r="AE897" i="1"/>
  <c r="AI897" i="1" s="1"/>
  <c r="AB897" i="1"/>
  <c r="AA897" i="1"/>
  <c r="W897" i="1"/>
  <c r="S897" i="1"/>
  <c r="O897" i="1"/>
  <c r="M897" i="1"/>
  <c r="H897" i="1"/>
  <c r="G897" i="1"/>
  <c r="F897" i="1"/>
  <c r="AO896" i="1"/>
  <c r="AL896" i="1"/>
  <c r="AK896" i="1"/>
  <c r="AF896" i="1"/>
  <c r="AD896" i="1"/>
  <c r="AA896" i="1"/>
  <c r="AE896" i="1" s="1"/>
  <c r="W896" i="1"/>
  <c r="S896" i="1"/>
  <c r="O896" i="1"/>
  <c r="M896" i="1"/>
  <c r="H896" i="1"/>
  <c r="G896" i="1"/>
  <c r="F896" i="1"/>
  <c r="AO895" i="1"/>
  <c r="AD895" i="1" s="1"/>
  <c r="AL895" i="1"/>
  <c r="AK895" i="1"/>
  <c r="AF895" i="1"/>
  <c r="AE895" i="1"/>
  <c r="AI895" i="1" s="1"/>
  <c r="AB895" i="1"/>
  <c r="AA895" i="1"/>
  <c r="W895" i="1"/>
  <c r="S895" i="1"/>
  <c r="O895" i="1"/>
  <c r="M895" i="1"/>
  <c r="H895" i="1"/>
  <c r="G895" i="1"/>
  <c r="F895" i="1"/>
  <c r="AO894" i="1"/>
  <c r="AL894" i="1"/>
  <c r="AK894" i="1"/>
  <c r="AF894" i="1"/>
  <c r="AD894" i="1"/>
  <c r="AA894" i="1"/>
  <c r="AE894" i="1" s="1"/>
  <c r="W894" i="1"/>
  <c r="S894" i="1"/>
  <c r="O894" i="1"/>
  <c r="M894" i="1"/>
  <c r="H894" i="1"/>
  <c r="G894" i="1"/>
  <c r="F894" i="1"/>
  <c r="AO893" i="1"/>
  <c r="AD893" i="1" s="1"/>
  <c r="AL893" i="1"/>
  <c r="AK893" i="1"/>
  <c r="AF893" i="1"/>
  <c r="AE893" i="1"/>
  <c r="AI893" i="1" s="1"/>
  <c r="AB893" i="1"/>
  <c r="AA893" i="1"/>
  <c r="W893" i="1"/>
  <c r="S893" i="1"/>
  <c r="O893" i="1"/>
  <c r="M893" i="1"/>
  <c r="H893" i="1"/>
  <c r="G893" i="1"/>
  <c r="F893" i="1"/>
  <c r="AO892" i="1"/>
  <c r="AL892" i="1"/>
  <c r="AK892" i="1"/>
  <c r="AF892" i="1"/>
  <c r="AD892" i="1"/>
  <c r="AA892" i="1"/>
  <c r="AE892" i="1" s="1"/>
  <c r="W892" i="1"/>
  <c r="S892" i="1"/>
  <c r="O892" i="1"/>
  <c r="M892" i="1"/>
  <c r="H892" i="1"/>
  <c r="G892" i="1"/>
  <c r="F892" i="1"/>
  <c r="AO891" i="1"/>
  <c r="AD891" i="1" s="1"/>
  <c r="AL891" i="1"/>
  <c r="AK891" i="1"/>
  <c r="AF891" i="1"/>
  <c r="AE891" i="1"/>
  <c r="AI891" i="1" s="1"/>
  <c r="AB891" i="1"/>
  <c r="AA891" i="1"/>
  <c r="W891" i="1"/>
  <c r="S891" i="1"/>
  <c r="O891" i="1"/>
  <c r="M891" i="1"/>
  <c r="H891" i="1"/>
  <c r="G891" i="1"/>
  <c r="F891" i="1"/>
  <c r="AO890" i="1"/>
  <c r="AL890" i="1"/>
  <c r="AK890" i="1"/>
  <c r="AF890" i="1"/>
  <c r="AD890" i="1"/>
  <c r="AA890" i="1"/>
  <c r="AE890" i="1" s="1"/>
  <c r="W890" i="1"/>
  <c r="S890" i="1"/>
  <c r="O890" i="1"/>
  <c r="M890" i="1"/>
  <c r="H890" i="1"/>
  <c r="G890" i="1"/>
  <c r="F890" i="1"/>
  <c r="AO889" i="1"/>
  <c r="AD889" i="1" s="1"/>
  <c r="AL889" i="1"/>
  <c r="AK889" i="1"/>
  <c r="AF889" i="1"/>
  <c r="AE889" i="1"/>
  <c r="AI889" i="1" s="1"/>
  <c r="AB889" i="1"/>
  <c r="AA889" i="1"/>
  <c r="W889" i="1"/>
  <c r="S889" i="1"/>
  <c r="O889" i="1"/>
  <c r="M889" i="1"/>
  <c r="H889" i="1"/>
  <c r="G889" i="1"/>
  <c r="F889" i="1"/>
  <c r="AO888" i="1"/>
  <c r="AL888" i="1"/>
  <c r="AK888" i="1"/>
  <c r="AF888" i="1"/>
  <c r="AD888" i="1"/>
  <c r="AA888" i="1"/>
  <c r="AE888" i="1" s="1"/>
  <c r="W888" i="1"/>
  <c r="S888" i="1"/>
  <c r="O888" i="1"/>
  <c r="M888" i="1"/>
  <c r="H888" i="1"/>
  <c r="G888" i="1"/>
  <c r="F888" i="1"/>
  <c r="AO887" i="1"/>
  <c r="AD887" i="1" s="1"/>
  <c r="AL887" i="1"/>
  <c r="AK887" i="1"/>
  <c r="AF887" i="1"/>
  <c r="AE887" i="1"/>
  <c r="AI887" i="1" s="1"/>
  <c r="AB887" i="1"/>
  <c r="AA887" i="1"/>
  <c r="W887" i="1"/>
  <c r="S887" i="1"/>
  <c r="O887" i="1"/>
  <c r="M887" i="1"/>
  <c r="H887" i="1"/>
  <c r="G887" i="1"/>
  <c r="F887" i="1"/>
  <c r="AO886" i="1"/>
  <c r="AL886" i="1"/>
  <c r="AK886" i="1"/>
  <c r="AF886" i="1"/>
  <c r="AD886" i="1"/>
  <c r="AA886" i="1"/>
  <c r="AE886" i="1" s="1"/>
  <c r="W886" i="1"/>
  <c r="S886" i="1"/>
  <c r="O886" i="1"/>
  <c r="M886" i="1"/>
  <c r="H886" i="1"/>
  <c r="G886" i="1"/>
  <c r="F886" i="1"/>
  <c r="AO885" i="1"/>
  <c r="AD885" i="1" s="1"/>
  <c r="AL885" i="1"/>
  <c r="AK885" i="1"/>
  <c r="AF885" i="1"/>
  <c r="AE885" i="1"/>
  <c r="AI885" i="1" s="1"/>
  <c r="AB885" i="1"/>
  <c r="AA885" i="1"/>
  <c r="W885" i="1"/>
  <c r="S885" i="1"/>
  <c r="O885" i="1"/>
  <c r="M885" i="1"/>
  <c r="H885" i="1"/>
  <c r="G885" i="1"/>
  <c r="F885" i="1"/>
  <c r="AO884" i="1"/>
  <c r="AL884" i="1"/>
  <c r="AK884" i="1"/>
  <c r="AF884" i="1"/>
  <c r="AD884" i="1"/>
  <c r="AA884" i="1"/>
  <c r="AE884" i="1" s="1"/>
  <c r="W884" i="1"/>
  <c r="S884" i="1"/>
  <c r="O884" i="1"/>
  <c r="M884" i="1"/>
  <c r="H884" i="1"/>
  <c r="G884" i="1"/>
  <c r="F884" i="1"/>
  <c r="AO883" i="1"/>
  <c r="AD883" i="1" s="1"/>
  <c r="AL883" i="1"/>
  <c r="AK883" i="1"/>
  <c r="AF883" i="1"/>
  <c r="AE883" i="1"/>
  <c r="AI883" i="1" s="1"/>
  <c r="AB883" i="1"/>
  <c r="AA883" i="1"/>
  <c r="W883" i="1"/>
  <c r="S883" i="1"/>
  <c r="O883" i="1"/>
  <c r="M883" i="1"/>
  <c r="H883" i="1"/>
  <c r="G883" i="1"/>
  <c r="F883" i="1"/>
  <c r="AO882" i="1"/>
  <c r="AL882" i="1"/>
  <c r="AK882" i="1"/>
  <c r="AF882" i="1"/>
  <c r="AD882" i="1"/>
  <c r="AA882" i="1"/>
  <c r="AE882" i="1" s="1"/>
  <c r="W882" i="1"/>
  <c r="S882" i="1"/>
  <c r="O882" i="1"/>
  <c r="M882" i="1"/>
  <c r="H882" i="1"/>
  <c r="G882" i="1"/>
  <c r="F882" i="1"/>
  <c r="AO881" i="1"/>
  <c r="AD881" i="1" s="1"/>
  <c r="AL881" i="1"/>
  <c r="AK881" i="1"/>
  <c r="AF881" i="1"/>
  <c r="AE881" i="1"/>
  <c r="AI881" i="1" s="1"/>
  <c r="AB881" i="1"/>
  <c r="AA881" i="1"/>
  <c r="W881" i="1"/>
  <c r="S881" i="1"/>
  <c r="O881" i="1"/>
  <c r="M881" i="1"/>
  <c r="H881" i="1"/>
  <c r="G881" i="1"/>
  <c r="F881" i="1"/>
  <c r="AO880" i="1"/>
  <c r="AL880" i="1"/>
  <c r="AK880" i="1"/>
  <c r="AF880" i="1"/>
  <c r="AD880" i="1"/>
  <c r="AA880" i="1"/>
  <c r="W880" i="1"/>
  <c r="S880" i="1"/>
  <c r="O880" i="1"/>
  <c r="M880" i="1"/>
  <c r="H880" i="1"/>
  <c r="G880" i="1"/>
  <c r="F880" i="1"/>
  <c r="AO879" i="1"/>
  <c r="AL879" i="1"/>
  <c r="AK879" i="1"/>
  <c r="AF879" i="1"/>
  <c r="AE879" i="1"/>
  <c r="AD879" i="1"/>
  <c r="AB879" i="1"/>
  <c r="AA879" i="1"/>
  <c r="W879" i="1"/>
  <c r="S879" i="1"/>
  <c r="O879" i="1"/>
  <c r="M879" i="1"/>
  <c r="H879" i="1"/>
  <c r="G879" i="1"/>
  <c r="F879" i="1"/>
  <c r="AO878" i="1"/>
  <c r="AL878" i="1"/>
  <c r="AK878" i="1"/>
  <c r="AF878" i="1"/>
  <c r="AD878" i="1"/>
  <c r="AA878" i="1"/>
  <c r="AE878" i="1" s="1"/>
  <c r="W878" i="1"/>
  <c r="S878" i="1"/>
  <c r="O878" i="1"/>
  <c r="M878" i="1"/>
  <c r="H878" i="1"/>
  <c r="G878" i="1"/>
  <c r="F878" i="1"/>
  <c r="AO877" i="1"/>
  <c r="AD877" i="1" s="1"/>
  <c r="AL877" i="1"/>
  <c r="AK877" i="1"/>
  <c r="AF877" i="1"/>
  <c r="AE877" i="1"/>
  <c r="AI877" i="1" s="1"/>
  <c r="AB877" i="1"/>
  <c r="AA877" i="1"/>
  <c r="W877" i="1"/>
  <c r="S877" i="1"/>
  <c r="O877" i="1"/>
  <c r="M877" i="1"/>
  <c r="H877" i="1"/>
  <c r="G877" i="1"/>
  <c r="F877" i="1"/>
  <c r="AO876" i="1"/>
  <c r="AL876" i="1"/>
  <c r="AK876" i="1"/>
  <c r="AF876" i="1"/>
  <c r="AD876" i="1"/>
  <c r="AA876" i="1"/>
  <c r="AE876" i="1" s="1"/>
  <c r="W876" i="1"/>
  <c r="S876" i="1"/>
  <c r="O876" i="1"/>
  <c r="M876" i="1"/>
  <c r="H876" i="1"/>
  <c r="G876" i="1"/>
  <c r="F876" i="1"/>
  <c r="AO875" i="1"/>
  <c r="AD875" i="1" s="1"/>
  <c r="AL875" i="1"/>
  <c r="AK875" i="1"/>
  <c r="AF875" i="1"/>
  <c r="AE875" i="1"/>
  <c r="AI875" i="1" s="1"/>
  <c r="AB875" i="1"/>
  <c r="AA875" i="1"/>
  <c r="W875" i="1"/>
  <c r="S875" i="1"/>
  <c r="O875" i="1"/>
  <c r="M875" i="1"/>
  <c r="H875" i="1"/>
  <c r="G875" i="1"/>
  <c r="F875" i="1"/>
  <c r="AO874" i="1"/>
  <c r="AL874" i="1"/>
  <c r="AK874" i="1"/>
  <c r="AF874" i="1"/>
  <c r="AD874" i="1"/>
  <c r="AA874" i="1"/>
  <c r="AE874" i="1" s="1"/>
  <c r="W874" i="1"/>
  <c r="S874" i="1"/>
  <c r="O874" i="1"/>
  <c r="M874" i="1"/>
  <c r="H874" i="1"/>
  <c r="G874" i="1"/>
  <c r="F874" i="1"/>
  <c r="AO873" i="1"/>
  <c r="AD873" i="1" s="1"/>
  <c r="AL873" i="1"/>
  <c r="AK873" i="1"/>
  <c r="AF873" i="1"/>
  <c r="AE873" i="1"/>
  <c r="AI873" i="1" s="1"/>
  <c r="AB873" i="1"/>
  <c r="AA873" i="1"/>
  <c r="W873" i="1"/>
  <c r="S873" i="1"/>
  <c r="O873" i="1"/>
  <c r="M873" i="1"/>
  <c r="H873" i="1"/>
  <c r="G873" i="1"/>
  <c r="F873" i="1"/>
  <c r="AO872" i="1"/>
  <c r="AL872" i="1"/>
  <c r="AK872" i="1"/>
  <c r="AF872" i="1"/>
  <c r="AD872" i="1"/>
  <c r="AA872" i="1"/>
  <c r="AE872" i="1" s="1"/>
  <c r="W872" i="1"/>
  <c r="S872" i="1"/>
  <c r="O872" i="1"/>
  <c r="M872" i="1"/>
  <c r="H872" i="1"/>
  <c r="G872" i="1"/>
  <c r="F872" i="1"/>
  <c r="AO871" i="1"/>
  <c r="AD871" i="1" s="1"/>
  <c r="AL871" i="1"/>
  <c r="AK871" i="1"/>
  <c r="AF871" i="1"/>
  <c r="AE871" i="1"/>
  <c r="AI871" i="1" s="1"/>
  <c r="AB871" i="1"/>
  <c r="AA871" i="1"/>
  <c r="W871" i="1"/>
  <c r="S871" i="1"/>
  <c r="O871" i="1"/>
  <c r="M871" i="1"/>
  <c r="H871" i="1"/>
  <c r="G871" i="1"/>
  <c r="F871" i="1"/>
  <c r="AO870" i="1"/>
  <c r="AL870" i="1"/>
  <c r="AK870" i="1"/>
  <c r="AF870" i="1"/>
  <c r="AD870" i="1"/>
  <c r="AA870" i="1"/>
  <c r="AE870" i="1" s="1"/>
  <c r="W870" i="1"/>
  <c r="S870" i="1"/>
  <c r="O870" i="1"/>
  <c r="M870" i="1"/>
  <c r="H870" i="1"/>
  <c r="G870" i="1"/>
  <c r="F870" i="1"/>
  <c r="AO869" i="1"/>
  <c r="AD869" i="1" s="1"/>
  <c r="AL869" i="1"/>
  <c r="AK869" i="1"/>
  <c r="AF869" i="1"/>
  <c r="AE869" i="1"/>
  <c r="AI869" i="1" s="1"/>
  <c r="AB869" i="1"/>
  <c r="AA869" i="1"/>
  <c r="W869" i="1"/>
  <c r="S869" i="1"/>
  <c r="O869" i="1"/>
  <c r="M869" i="1"/>
  <c r="H869" i="1"/>
  <c r="G869" i="1"/>
  <c r="F869" i="1"/>
  <c r="AO868" i="1"/>
  <c r="AL868" i="1"/>
  <c r="AK868" i="1"/>
  <c r="AF868" i="1"/>
  <c r="AD868" i="1"/>
  <c r="AA868" i="1"/>
  <c r="AE868" i="1" s="1"/>
  <c r="W868" i="1"/>
  <c r="S868" i="1"/>
  <c r="O868" i="1"/>
  <c r="M868" i="1"/>
  <c r="H868" i="1"/>
  <c r="G868" i="1"/>
  <c r="F868" i="1"/>
  <c r="AO867" i="1"/>
  <c r="AD867" i="1" s="1"/>
  <c r="AL867" i="1"/>
  <c r="AK867" i="1"/>
  <c r="AF867" i="1"/>
  <c r="AE867" i="1"/>
  <c r="AI867" i="1" s="1"/>
  <c r="AB867" i="1"/>
  <c r="AA867" i="1"/>
  <c r="W867" i="1"/>
  <c r="S867" i="1"/>
  <c r="O867" i="1"/>
  <c r="M867" i="1"/>
  <c r="H867" i="1"/>
  <c r="G867" i="1"/>
  <c r="F867" i="1"/>
  <c r="AO866" i="1"/>
  <c r="AL866" i="1"/>
  <c r="AK866" i="1"/>
  <c r="AF866" i="1"/>
  <c r="AD866" i="1"/>
  <c r="AA866" i="1"/>
  <c r="AE866" i="1" s="1"/>
  <c r="W866" i="1"/>
  <c r="S866" i="1"/>
  <c r="O866" i="1"/>
  <c r="M866" i="1"/>
  <c r="H866" i="1"/>
  <c r="G866" i="1"/>
  <c r="F866" i="1"/>
  <c r="AO865" i="1"/>
  <c r="AD865" i="1" s="1"/>
  <c r="AL865" i="1"/>
  <c r="AK865" i="1"/>
  <c r="AF865" i="1"/>
  <c r="AE865" i="1"/>
  <c r="AI865" i="1" s="1"/>
  <c r="AB865" i="1"/>
  <c r="AA865" i="1"/>
  <c r="W865" i="1"/>
  <c r="S865" i="1"/>
  <c r="O865" i="1"/>
  <c r="M865" i="1"/>
  <c r="H865" i="1"/>
  <c r="G865" i="1"/>
  <c r="F865" i="1"/>
  <c r="AO864" i="1"/>
  <c r="AL864" i="1"/>
  <c r="AK864" i="1"/>
  <c r="AF864" i="1"/>
  <c r="AD864" i="1"/>
  <c r="AA864" i="1"/>
  <c r="AE864" i="1" s="1"/>
  <c r="W864" i="1"/>
  <c r="S864" i="1"/>
  <c r="O864" i="1"/>
  <c r="M864" i="1"/>
  <c r="H864" i="1"/>
  <c r="G864" i="1"/>
  <c r="F864" i="1"/>
  <c r="AO863" i="1"/>
  <c r="AD863" i="1" s="1"/>
  <c r="AL863" i="1"/>
  <c r="AK863" i="1"/>
  <c r="AF863" i="1"/>
  <c r="AE863" i="1"/>
  <c r="AI863" i="1" s="1"/>
  <c r="AB863" i="1"/>
  <c r="AA863" i="1"/>
  <c r="W863" i="1"/>
  <c r="S863" i="1"/>
  <c r="O863" i="1"/>
  <c r="M863" i="1"/>
  <c r="H863" i="1"/>
  <c r="G863" i="1"/>
  <c r="F863" i="1"/>
  <c r="AO862" i="1"/>
  <c r="AL862" i="1"/>
  <c r="AK862" i="1"/>
  <c r="AF862" i="1"/>
  <c r="AD862" i="1"/>
  <c r="AA862" i="1"/>
  <c r="AE862" i="1" s="1"/>
  <c r="W862" i="1"/>
  <c r="S862" i="1"/>
  <c r="O862" i="1"/>
  <c r="M862" i="1"/>
  <c r="H862" i="1"/>
  <c r="G862" i="1"/>
  <c r="F862" i="1"/>
  <c r="AO861" i="1"/>
  <c r="AD861" i="1" s="1"/>
  <c r="AL861" i="1"/>
  <c r="AK861" i="1"/>
  <c r="AF861" i="1"/>
  <c r="AE861" i="1"/>
  <c r="AI861" i="1" s="1"/>
  <c r="AB861" i="1"/>
  <c r="AA861" i="1"/>
  <c r="W861" i="1"/>
  <c r="S861" i="1"/>
  <c r="O861" i="1"/>
  <c r="M861" i="1"/>
  <c r="H861" i="1"/>
  <c r="G861" i="1"/>
  <c r="F861" i="1"/>
  <c r="AO860" i="1"/>
  <c r="AL860" i="1"/>
  <c r="AK860" i="1"/>
  <c r="AF860" i="1"/>
  <c r="AD860" i="1"/>
  <c r="AA860" i="1"/>
  <c r="AE860" i="1" s="1"/>
  <c r="W860" i="1"/>
  <c r="S860" i="1"/>
  <c r="O860" i="1"/>
  <c r="M860" i="1"/>
  <c r="H860" i="1"/>
  <c r="G860" i="1"/>
  <c r="F860" i="1"/>
  <c r="AO859" i="1"/>
  <c r="AD859" i="1" s="1"/>
  <c r="AL859" i="1"/>
  <c r="AK859" i="1"/>
  <c r="AF859" i="1"/>
  <c r="AE859" i="1"/>
  <c r="AI859" i="1" s="1"/>
  <c r="AB859" i="1"/>
  <c r="AA859" i="1"/>
  <c r="W859" i="1"/>
  <c r="S859" i="1"/>
  <c r="O859" i="1"/>
  <c r="M859" i="1"/>
  <c r="H859" i="1"/>
  <c r="G859" i="1"/>
  <c r="F859" i="1"/>
  <c r="AO858" i="1"/>
  <c r="AL858" i="1"/>
  <c r="AK858" i="1"/>
  <c r="AF858" i="1"/>
  <c r="AD858" i="1"/>
  <c r="AA858" i="1"/>
  <c r="AE858" i="1" s="1"/>
  <c r="W858" i="1"/>
  <c r="S858" i="1"/>
  <c r="O858" i="1"/>
  <c r="M858" i="1"/>
  <c r="H858" i="1"/>
  <c r="G858" i="1"/>
  <c r="F858" i="1"/>
  <c r="AO857" i="1"/>
  <c r="AD857" i="1" s="1"/>
  <c r="AL857" i="1"/>
  <c r="AK857" i="1"/>
  <c r="AF857" i="1"/>
  <c r="AE857" i="1"/>
  <c r="AI857" i="1" s="1"/>
  <c r="AB857" i="1"/>
  <c r="AA857" i="1"/>
  <c r="W857" i="1"/>
  <c r="S857" i="1"/>
  <c r="O857" i="1"/>
  <c r="M857" i="1"/>
  <c r="H857" i="1"/>
  <c r="G857" i="1"/>
  <c r="F857" i="1"/>
  <c r="AO856" i="1"/>
  <c r="AL856" i="1"/>
  <c r="AK856" i="1"/>
  <c r="AF856" i="1"/>
  <c r="AD856" i="1"/>
  <c r="AA856" i="1"/>
  <c r="AE856" i="1" s="1"/>
  <c r="W856" i="1"/>
  <c r="S856" i="1"/>
  <c r="O856" i="1"/>
  <c r="M856" i="1"/>
  <c r="H856" i="1"/>
  <c r="G856" i="1"/>
  <c r="F856" i="1"/>
  <c r="AO855" i="1"/>
  <c r="AD855" i="1" s="1"/>
  <c r="AL855" i="1"/>
  <c r="AK855" i="1"/>
  <c r="AF855" i="1"/>
  <c r="AE855" i="1"/>
  <c r="AI855" i="1" s="1"/>
  <c r="AB855" i="1"/>
  <c r="AA855" i="1"/>
  <c r="W855" i="1"/>
  <c r="S855" i="1"/>
  <c r="O855" i="1"/>
  <c r="M855" i="1"/>
  <c r="H855" i="1"/>
  <c r="G855" i="1"/>
  <c r="F855" i="1"/>
  <c r="AO854" i="1"/>
  <c r="AL854" i="1"/>
  <c r="AK854" i="1"/>
  <c r="AF854" i="1"/>
  <c r="AD854" i="1"/>
  <c r="AA854" i="1"/>
  <c r="AE854" i="1" s="1"/>
  <c r="W854" i="1"/>
  <c r="S854" i="1"/>
  <c r="O854" i="1"/>
  <c r="M854" i="1"/>
  <c r="H854" i="1"/>
  <c r="G854" i="1"/>
  <c r="F854" i="1"/>
  <c r="AO853" i="1"/>
  <c r="AD853" i="1" s="1"/>
  <c r="AL853" i="1"/>
  <c r="AK853" i="1"/>
  <c r="AF853" i="1"/>
  <c r="AE853" i="1"/>
  <c r="AI853" i="1" s="1"/>
  <c r="AB853" i="1"/>
  <c r="AA853" i="1"/>
  <c r="W853" i="1"/>
  <c r="S853" i="1"/>
  <c r="O853" i="1"/>
  <c r="M853" i="1"/>
  <c r="H853" i="1"/>
  <c r="G853" i="1"/>
  <c r="F853" i="1"/>
  <c r="AO852" i="1"/>
  <c r="AL852" i="1"/>
  <c r="AK852" i="1"/>
  <c r="AF852" i="1"/>
  <c r="AD852" i="1"/>
  <c r="AA852" i="1"/>
  <c r="AE852" i="1" s="1"/>
  <c r="W852" i="1"/>
  <c r="S852" i="1"/>
  <c r="O852" i="1"/>
  <c r="M852" i="1"/>
  <c r="H852" i="1"/>
  <c r="G852" i="1"/>
  <c r="F852" i="1"/>
  <c r="AO851" i="1"/>
  <c r="AD851" i="1" s="1"/>
  <c r="AL851" i="1"/>
  <c r="AK851" i="1"/>
  <c r="AF851" i="1"/>
  <c r="AE851" i="1"/>
  <c r="AI851" i="1" s="1"/>
  <c r="AB851" i="1"/>
  <c r="AA851" i="1"/>
  <c r="W851" i="1"/>
  <c r="S851" i="1"/>
  <c r="O851" i="1"/>
  <c r="M851" i="1"/>
  <c r="H851" i="1"/>
  <c r="G851" i="1"/>
  <c r="F851" i="1"/>
  <c r="AO850" i="1"/>
  <c r="AL850" i="1"/>
  <c r="AK850" i="1"/>
  <c r="AF850" i="1"/>
  <c r="AD850" i="1"/>
  <c r="AA850" i="1"/>
  <c r="AE850" i="1" s="1"/>
  <c r="W850" i="1"/>
  <c r="S850" i="1"/>
  <c r="O850" i="1"/>
  <c r="M850" i="1"/>
  <c r="H850" i="1"/>
  <c r="G850" i="1"/>
  <c r="F850" i="1"/>
  <c r="AO849" i="1"/>
  <c r="AD849" i="1" s="1"/>
  <c r="AL849" i="1"/>
  <c r="AK849" i="1"/>
  <c r="AF849" i="1"/>
  <c r="AE849" i="1"/>
  <c r="AI849" i="1" s="1"/>
  <c r="AB849" i="1"/>
  <c r="AA849" i="1"/>
  <c r="W849" i="1"/>
  <c r="S849" i="1"/>
  <c r="O849" i="1"/>
  <c r="M849" i="1"/>
  <c r="H849" i="1"/>
  <c r="G849" i="1"/>
  <c r="F849" i="1"/>
  <c r="AO848" i="1"/>
  <c r="AL848" i="1"/>
  <c r="AK848" i="1"/>
  <c r="AF848" i="1"/>
  <c r="AD848" i="1"/>
  <c r="AA848" i="1"/>
  <c r="AE848" i="1" s="1"/>
  <c r="W848" i="1"/>
  <c r="S848" i="1"/>
  <c r="O848" i="1"/>
  <c r="M848" i="1"/>
  <c r="H848" i="1"/>
  <c r="G848" i="1"/>
  <c r="F848" i="1"/>
  <c r="AO847" i="1"/>
  <c r="AD847" i="1" s="1"/>
  <c r="AL847" i="1"/>
  <c r="AK847" i="1"/>
  <c r="AF847" i="1"/>
  <c r="AE847" i="1"/>
  <c r="AI847" i="1" s="1"/>
  <c r="AB847" i="1"/>
  <c r="AA847" i="1"/>
  <c r="W847" i="1"/>
  <c r="S847" i="1"/>
  <c r="O847" i="1"/>
  <c r="M847" i="1"/>
  <c r="H847" i="1"/>
  <c r="G847" i="1"/>
  <c r="F847" i="1"/>
  <c r="AO846" i="1"/>
  <c r="AL846" i="1"/>
  <c r="AK846" i="1"/>
  <c r="AF846" i="1"/>
  <c r="AD846" i="1"/>
  <c r="AA846" i="1"/>
  <c r="AE846" i="1" s="1"/>
  <c r="W846" i="1"/>
  <c r="S846" i="1"/>
  <c r="O846" i="1"/>
  <c r="M846" i="1"/>
  <c r="H846" i="1"/>
  <c r="G846" i="1"/>
  <c r="F846" i="1"/>
  <c r="AO845" i="1"/>
  <c r="AD845" i="1" s="1"/>
  <c r="AL845" i="1"/>
  <c r="AK845" i="1"/>
  <c r="AF845" i="1"/>
  <c r="AE845" i="1"/>
  <c r="AI845" i="1" s="1"/>
  <c r="AB845" i="1"/>
  <c r="AA845" i="1"/>
  <c r="W845" i="1"/>
  <c r="S845" i="1"/>
  <c r="O845" i="1"/>
  <c r="M845" i="1"/>
  <c r="H845" i="1"/>
  <c r="G845" i="1"/>
  <c r="F845" i="1"/>
  <c r="AO844" i="1"/>
  <c r="AL844" i="1"/>
  <c r="AK844" i="1"/>
  <c r="AF844" i="1"/>
  <c r="AD844" i="1"/>
  <c r="AA844" i="1"/>
  <c r="AE844" i="1" s="1"/>
  <c r="W844" i="1"/>
  <c r="S844" i="1"/>
  <c r="O844" i="1"/>
  <c r="M844" i="1"/>
  <c r="H844" i="1"/>
  <c r="G844" i="1"/>
  <c r="F844" i="1"/>
  <c r="AO843" i="1"/>
  <c r="AD843" i="1" s="1"/>
  <c r="AL843" i="1"/>
  <c r="AK843" i="1"/>
  <c r="AF843" i="1"/>
  <c r="AE843" i="1"/>
  <c r="AI843" i="1" s="1"/>
  <c r="AB843" i="1"/>
  <c r="AA843" i="1"/>
  <c r="W843" i="1"/>
  <c r="S843" i="1"/>
  <c r="O843" i="1"/>
  <c r="M843" i="1"/>
  <c r="H843" i="1"/>
  <c r="G843" i="1"/>
  <c r="F843" i="1"/>
  <c r="AO842" i="1"/>
  <c r="AL842" i="1"/>
  <c r="AK842" i="1"/>
  <c r="AF842" i="1"/>
  <c r="AD842" i="1"/>
  <c r="AA842" i="1"/>
  <c r="AE842" i="1" s="1"/>
  <c r="W842" i="1"/>
  <c r="S842" i="1"/>
  <c r="O842" i="1"/>
  <c r="M842" i="1"/>
  <c r="H842" i="1"/>
  <c r="G842" i="1"/>
  <c r="F842" i="1"/>
  <c r="AO841" i="1"/>
  <c r="AD841" i="1" s="1"/>
  <c r="AL841" i="1"/>
  <c r="AK841" i="1"/>
  <c r="AF841" i="1"/>
  <c r="AE841" i="1"/>
  <c r="AI841" i="1" s="1"/>
  <c r="AB841" i="1"/>
  <c r="AA841" i="1"/>
  <c r="W841" i="1"/>
  <c r="S841" i="1"/>
  <c r="O841" i="1"/>
  <c r="M841" i="1"/>
  <c r="H841" i="1"/>
  <c r="G841" i="1"/>
  <c r="F841" i="1"/>
  <c r="AO840" i="1"/>
  <c r="AL840" i="1"/>
  <c r="AK840" i="1"/>
  <c r="AF840" i="1"/>
  <c r="AD840" i="1"/>
  <c r="AA840" i="1"/>
  <c r="AE840" i="1" s="1"/>
  <c r="W840" i="1"/>
  <c r="S840" i="1"/>
  <c r="O840" i="1"/>
  <c r="M840" i="1"/>
  <c r="H840" i="1"/>
  <c r="G840" i="1"/>
  <c r="F840" i="1"/>
  <c r="AO839" i="1"/>
  <c r="AD839" i="1" s="1"/>
  <c r="AL839" i="1"/>
  <c r="AK839" i="1"/>
  <c r="AF839" i="1"/>
  <c r="AE839" i="1"/>
  <c r="AI839" i="1" s="1"/>
  <c r="AB839" i="1"/>
  <c r="AA839" i="1"/>
  <c r="W839" i="1"/>
  <c r="S839" i="1"/>
  <c r="O839" i="1"/>
  <c r="M839" i="1"/>
  <c r="H839" i="1"/>
  <c r="G839" i="1"/>
  <c r="F839" i="1"/>
  <c r="AO838" i="1"/>
  <c r="AL838" i="1"/>
  <c r="AK838" i="1"/>
  <c r="AF838" i="1"/>
  <c r="AD838" i="1"/>
  <c r="AA838" i="1"/>
  <c r="AE838" i="1" s="1"/>
  <c r="W838" i="1"/>
  <c r="S838" i="1"/>
  <c r="O838" i="1"/>
  <c r="M838" i="1"/>
  <c r="H838" i="1"/>
  <c r="G838" i="1"/>
  <c r="F838" i="1"/>
  <c r="AO837" i="1"/>
  <c r="AD837" i="1" s="1"/>
  <c r="AL837" i="1"/>
  <c r="AK837" i="1"/>
  <c r="AF837" i="1"/>
  <c r="AE837" i="1"/>
  <c r="AI837" i="1" s="1"/>
  <c r="AB837" i="1"/>
  <c r="AA837" i="1"/>
  <c r="W837" i="1"/>
  <c r="S837" i="1"/>
  <c r="O837" i="1"/>
  <c r="M837" i="1"/>
  <c r="H837" i="1"/>
  <c r="G837" i="1"/>
  <c r="F837" i="1"/>
  <c r="AO836" i="1"/>
  <c r="AL836" i="1"/>
  <c r="AK836" i="1"/>
  <c r="AF836" i="1"/>
  <c r="AD836" i="1"/>
  <c r="AA836" i="1"/>
  <c r="AE836" i="1" s="1"/>
  <c r="W836" i="1"/>
  <c r="S836" i="1"/>
  <c r="O836" i="1"/>
  <c r="M836" i="1"/>
  <c r="H836" i="1"/>
  <c r="G836" i="1"/>
  <c r="F836" i="1"/>
  <c r="AO835" i="1"/>
  <c r="AD835" i="1" s="1"/>
  <c r="AL835" i="1"/>
  <c r="AK835" i="1"/>
  <c r="AF835" i="1"/>
  <c r="AE835" i="1"/>
  <c r="AI835" i="1" s="1"/>
  <c r="AB835" i="1"/>
  <c r="AA835" i="1"/>
  <c r="W835" i="1"/>
  <c r="S835" i="1"/>
  <c r="O835" i="1"/>
  <c r="M835" i="1"/>
  <c r="H835" i="1"/>
  <c r="G835" i="1"/>
  <c r="F835" i="1"/>
  <c r="AO834" i="1"/>
  <c r="AL834" i="1"/>
  <c r="AK834" i="1"/>
  <c r="AF834" i="1"/>
  <c r="AD834" i="1"/>
  <c r="AA834" i="1"/>
  <c r="AE834" i="1" s="1"/>
  <c r="W834" i="1"/>
  <c r="S834" i="1"/>
  <c r="O834" i="1"/>
  <c r="M834" i="1"/>
  <c r="H834" i="1"/>
  <c r="G834" i="1"/>
  <c r="F834" i="1"/>
  <c r="AO833" i="1"/>
  <c r="AD833" i="1" s="1"/>
  <c r="AL833" i="1"/>
  <c r="AK833" i="1"/>
  <c r="AF833" i="1"/>
  <c r="AE833" i="1"/>
  <c r="AI833" i="1" s="1"/>
  <c r="AB833" i="1"/>
  <c r="AA833" i="1"/>
  <c r="W833" i="1"/>
  <c r="S833" i="1"/>
  <c r="O833" i="1"/>
  <c r="M833" i="1"/>
  <c r="H833" i="1"/>
  <c r="G833" i="1"/>
  <c r="F833" i="1"/>
  <c r="AO832" i="1"/>
  <c r="AL832" i="1"/>
  <c r="AK832" i="1"/>
  <c r="AF832" i="1"/>
  <c r="AD832" i="1"/>
  <c r="AA832" i="1"/>
  <c r="W832" i="1"/>
  <c r="S832" i="1"/>
  <c r="O832" i="1"/>
  <c r="M832" i="1"/>
  <c r="H832" i="1"/>
  <c r="G832" i="1"/>
  <c r="F832" i="1"/>
  <c r="AO831" i="1"/>
  <c r="AD831" i="1" s="1"/>
  <c r="AL831" i="1"/>
  <c r="AK831" i="1"/>
  <c r="AF831" i="1"/>
  <c r="AE831" i="1"/>
  <c r="AB831" i="1"/>
  <c r="AA831" i="1"/>
  <c r="W831" i="1"/>
  <c r="S831" i="1"/>
  <c r="O831" i="1"/>
  <c r="M831" i="1"/>
  <c r="H831" i="1"/>
  <c r="G831" i="1"/>
  <c r="F831" i="1"/>
  <c r="AO830" i="1"/>
  <c r="AL830" i="1"/>
  <c r="AK830" i="1"/>
  <c r="AF830" i="1"/>
  <c r="AD830" i="1"/>
  <c r="AA830" i="1"/>
  <c r="W830" i="1"/>
  <c r="S830" i="1"/>
  <c r="O830" i="1"/>
  <c r="M830" i="1"/>
  <c r="H830" i="1"/>
  <c r="G830" i="1"/>
  <c r="F830" i="1"/>
  <c r="AO829" i="1"/>
  <c r="AD829" i="1" s="1"/>
  <c r="AL829" i="1"/>
  <c r="AK829" i="1"/>
  <c r="AF829" i="1"/>
  <c r="AE829" i="1"/>
  <c r="AB829" i="1"/>
  <c r="AA829" i="1"/>
  <c r="W829" i="1"/>
  <c r="S829" i="1"/>
  <c r="O829" i="1"/>
  <c r="M829" i="1"/>
  <c r="H829" i="1"/>
  <c r="G829" i="1"/>
  <c r="F829" i="1"/>
  <c r="AO828" i="1"/>
  <c r="AL828" i="1"/>
  <c r="AK828" i="1"/>
  <c r="AF828" i="1"/>
  <c r="AD828" i="1"/>
  <c r="AA828" i="1"/>
  <c r="W828" i="1"/>
  <c r="S828" i="1"/>
  <c r="O828" i="1"/>
  <c r="M828" i="1"/>
  <c r="H828" i="1"/>
  <c r="G828" i="1"/>
  <c r="F828" i="1"/>
  <c r="AO827" i="1"/>
  <c r="AD827" i="1" s="1"/>
  <c r="AL827" i="1"/>
  <c r="AK827" i="1"/>
  <c r="AF827" i="1"/>
  <c r="AE827" i="1"/>
  <c r="AB827" i="1"/>
  <c r="AA827" i="1"/>
  <c r="W827" i="1"/>
  <c r="S827" i="1"/>
  <c r="O827" i="1"/>
  <c r="M827" i="1"/>
  <c r="H827" i="1"/>
  <c r="G827" i="1"/>
  <c r="F827" i="1"/>
  <c r="AO826" i="1"/>
  <c r="AL826" i="1"/>
  <c r="AK826" i="1"/>
  <c r="AF826" i="1"/>
  <c r="AD826" i="1"/>
  <c r="AA826" i="1"/>
  <c r="W826" i="1"/>
  <c r="S826" i="1"/>
  <c r="O826" i="1"/>
  <c r="M826" i="1"/>
  <c r="H826" i="1"/>
  <c r="G826" i="1"/>
  <c r="F826" i="1"/>
  <c r="AO825" i="1"/>
  <c r="AD825" i="1" s="1"/>
  <c r="AL825" i="1"/>
  <c r="AK825" i="1"/>
  <c r="AF825" i="1"/>
  <c r="AE825" i="1"/>
  <c r="AB825" i="1"/>
  <c r="AA825" i="1"/>
  <c r="W825" i="1"/>
  <c r="S825" i="1"/>
  <c r="O825" i="1"/>
  <c r="M825" i="1"/>
  <c r="H825" i="1"/>
  <c r="G825" i="1"/>
  <c r="F825" i="1"/>
  <c r="AO824" i="1"/>
  <c r="AL824" i="1"/>
  <c r="AK824" i="1"/>
  <c r="AF824" i="1"/>
  <c r="AD824" i="1"/>
  <c r="AA824" i="1"/>
  <c r="W824" i="1"/>
  <c r="S824" i="1"/>
  <c r="O824" i="1"/>
  <c r="M824" i="1"/>
  <c r="H824" i="1"/>
  <c r="G824" i="1"/>
  <c r="F824" i="1"/>
  <c r="AO823" i="1"/>
  <c r="AD823" i="1" s="1"/>
  <c r="AL823" i="1"/>
  <c r="AK823" i="1"/>
  <c r="AF823" i="1"/>
  <c r="AE823" i="1"/>
  <c r="AB823" i="1"/>
  <c r="AA823" i="1"/>
  <c r="W823" i="1"/>
  <c r="S823" i="1"/>
  <c r="O823" i="1"/>
  <c r="M823" i="1"/>
  <c r="H823" i="1"/>
  <c r="G823" i="1"/>
  <c r="F823" i="1"/>
  <c r="AO822" i="1"/>
  <c r="AL822" i="1"/>
  <c r="AK822" i="1"/>
  <c r="AF822" i="1"/>
  <c r="AD822" i="1"/>
  <c r="AA822" i="1"/>
  <c r="W822" i="1"/>
  <c r="S822" i="1"/>
  <c r="O822" i="1"/>
  <c r="M822" i="1"/>
  <c r="H822" i="1"/>
  <c r="G822" i="1"/>
  <c r="F822" i="1"/>
  <c r="AO821" i="1"/>
  <c r="AD821" i="1" s="1"/>
  <c r="AL821" i="1"/>
  <c r="AK821" i="1"/>
  <c r="AF821" i="1"/>
  <c r="AE821" i="1"/>
  <c r="AB821" i="1"/>
  <c r="AA821" i="1"/>
  <c r="W821" i="1"/>
  <c r="S821" i="1"/>
  <c r="O821" i="1"/>
  <c r="M821" i="1"/>
  <c r="H821" i="1"/>
  <c r="G821" i="1"/>
  <c r="F821" i="1"/>
  <c r="AO820" i="1"/>
  <c r="AL820" i="1"/>
  <c r="AK820" i="1"/>
  <c r="AF820" i="1"/>
  <c r="AD820" i="1"/>
  <c r="AA820" i="1"/>
  <c r="W820" i="1"/>
  <c r="S820" i="1"/>
  <c r="O820" i="1"/>
  <c r="M820" i="1"/>
  <c r="H820" i="1"/>
  <c r="G820" i="1"/>
  <c r="F820" i="1"/>
  <c r="AO819" i="1"/>
  <c r="AD819" i="1" s="1"/>
  <c r="AL819" i="1"/>
  <c r="AK819" i="1"/>
  <c r="AF819" i="1"/>
  <c r="AE819" i="1"/>
  <c r="AB819" i="1"/>
  <c r="AA819" i="1"/>
  <c r="W819" i="1"/>
  <c r="S819" i="1"/>
  <c r="O819" i="1"/>
  <c r="M819" i="1"/>
  <c r="H819" i="1"/>
  <c r="G819" i="1"/>
  <c r="F819" i="1"/>
  <c r="AO818" i="1"/>
  <c r="AL818" i="1"/>
  <c r="AK818" i="1"/>
  <c r="AF818" i="1"/>
  <c r="AD818" i="1"/>
  <c r="AA818" i="1"/>
  <c r="W818" i="1"/>
  <c r="S818" i="1"/>
  <c r="O818" i="1"/>
  <c r="M818" i="1"/>
  <c r="H818" i="1"/>
  <c r="G818" i="1"/>
  <c r="F818" i="1"/>
  <c r="AO817" i="1"/>
  <c r="AD817" i="1" s="1"/>
  <c r="AL817" i="1"/>
  <c r="AK817" i="1"/>
  <c r="AF817" i="1"/>
  <c r="AE817" i="1"/>
  <c r="AB817" i="1"/>
  <c r="AA817" i="1"/>
  <c r="W817" i="1"/>
  <c r="S817" i="1"/>
  <c r="O817" i="1"/>
  <c r="M817" i="1"/>
  <c r="H817" i="1"/>
  <c r="G817" i="1"/>
  <c r="F817" i="1"/>
  <c r="AO816" i="1"/>
  <c r="AL816" i="1"/>
  <c r="AK816" i="1"/>
  <c r="AF816" i="1"/>
  <c r="AD816" i="1"/>
  <c r="AA816" i="1"/>
  <c r="W816" i="1"/>
  <c r="S816" i="1"/>
  <c r="O816" i="1"/>
  <c r="M816" i="1"/>
  <c r="H816" i="1"/>
  <c r="G816" i="1"/>
  <c r="F816" i="1"/>
  <c r="AO815" i="1"/>
  <c r="AD815" i="1" s="1"/>
  <c r="AL815" i="1"/>
  <c r="AK815" i="1"/>
  <c r="AF815" i="1"/>
  <c r="AE815" i="1"/>
  <c r="AB815" i="1"/>
  <c r="AA815" i="1"/>
  <c r="W815" i="1"/>
  <c r="S815" i="1"/>
  <c r="O815" i="1"/>
  <c r="M815" i="1"/>
  <c r="H815" i="1"/>
  <c r="G815" i="1"/>
  <c r="F815" i="1"/>
  <c r="AO814" i="1"/>
  <c r="AL814" i="1"/>
  <c r="AK814" i="1"/>
  <c r="AF814" i="1"/>
  <c r="AD814" i="1"/>
  <c r="AA814" i="1"/>
  <c r="W814" i="1"/>
  <c r="S814" i="1"/>
  <c r="O814" i="1"/>
  <c r="M814" i="1"/>
  <c r="H814" i="1"/>
  <c r="G814" i="1"/>
  <c r="F814" i="1"/>
  <c r="AO813" i="1"/>
  <c r="AD813" i="1" s="1"/>
  <c r="AL813" i="1"/>
  <c r="AK813" i="1"/>
  <c r="AF813" i="1"/>
  <c r="AE813" i="1"/>
  <c r="AB813" i="1"/>
  <c r="AA813" i="1"/>
  <c r="W813" i="1"/>
  <c r="S813" i="1"/>
  <c r="O813" i="1"/>
  <c r="M813" i="1"/>
  <c r="H813" i="1"/>
  <c r="G813" i="1"/>
  <c r="F813" i="1"/>
  <c r="AO812" i="1"/>
  <c r="AL812" i="1"/>
  <c r="AK812" i="1"/>
  <c r="AF812" i="1"/>
  <c r="AD812" i="1"/>
  <c r="AB812" i="1"/>
  <c r="AA812" i="1"/>
  <c r="AE812" i="1" s="1"/>
  <c r="AI812" i="1" s="1"/>
  <c r="W812" i="1"/>
  <c r="S812" i="1"/>
  <c r="O812" i="1"/>
  <c r="M812" i="1"/>
  <c r="H812" i="1"/>
  <c r="G812" i="1"/>
  <c r="F812" i="1"/>
  <c r="AO811" i="1"/>
  <c r="AL811" i="1"/>
  <c r="AK811" i="1"/>
  <c r="AF811" i="1"/>
  <c r="AD811" i="1"/>
  <c r="AA811" i="1"/>
  <c r="AE811" i="1" s="1"/>
  <c r="W811" i="1"/>
  <c r="S811" i="1"/>
  <c r="O811" i="1"/>
  <c r="M811" i="1"/>
  <c r="H811" i="1"/>
  <c r="G811" i="1"/>
  <c r="F811" i="1"/>
  <c r="AO810" i="1"/>
  <c r="AD810" i="1" s="1"/>
  <c r="AL810" i="1"/>
  <c r="AK810" i="1"/>
  <c r="AF810" i="1"/>
  <c r="AE810" i="1"/>
  <c r="AI810" i="1" s="1"/>
  <c r="AB810" i="1"/>
  <c r="AA810" i="1"/>
  <c r="W810" i="1"/>
  <c r="S810" i="1"/>
  <c r="O810" i="1"/>
  <c r="M810" i="1"/>
  <c r="H810" i="1"/>
  <c r="G810" i="1"/>
  <c r="F810" i="1"/>
  <c r="AO809" i="1"/>
  <c r="AL809" i="1"/>
  <c r="AK809" i="1"/>
  <c r="AF809" i="1"/>
  <c r="AD809" i="1"/>
  <c r="AA809" i="1"/>
  <c r="AE809" i="1" s="1"/>
  <c r="W809" i="1"/>
  <c r="S809" i="1"/>
  <c r="O809" i="1"/>
  <c r="M809" i="1"/>
  <c r="H809" i="1"/>
  <c r="G809" i="1"/>
  <c r="F809" i="1"/>
  <c r="AO808" i="1"/>
  <c r="AD808" i="1" s="1"/>
  <c r="AL808" i="1"/>
  <c r="AK808" i="1"/>
  <c r="AF808" i="1"/>
  <c r="AE808" i="1"/>
  <c r="AI808" i="1" s="1"/>
  <c r="AB808" i="1"/>
  <c r="AA808" i="1"/>
  <c r="W808" i="1"/>
  <c r="S808" i="1"/>
  <c r="O808" i="1"/>
  <c r="M808" i="1"/>
  <c r="H808" i="1"/>
  <c r="G808" i="1"/>
  <c r="F808" i="1"/>
  <c r="AO807" i="1"/>
  <c r="AL807" i="1"/>
  <c r="AK807" i="1"/>
  <c r="AF807" i="1"/>
  <c r="AD807" i="1"/>
  <c r="AA807" i="1"/>
  <c r="AE807" i="1" s="1"/>
  <c r="W807" i="1"/>
  <c r="S807" i="1"/>
  <c r="O807" i="1"/>
  <c r="M807" i="1"/>
  <c r="H807" i="1"/>
  <c r="G807" i="1"/>
  <c r="F807" i="1"/>
  <c r="AO806" i="1"/>
  <c r="AD806" i="1" s="1"/>
  <c r="AL806" i="1"/>
  <c r="AK806" i="1"/>
  <c r="AF806" i="1"/>
  <c r="AE806" i="1"/>
  <c r="AI806" i="1" s="1"/>
  <c r="AB806" i="1"/>
  <c r="AA806" i="1"/>
  <c r="W806" i="1"/>
  <c r="S806" i="1"/>
  <c r="O806" i="1"/>
  <c r="M806" i="1"/>
  <c r="H806" i="1"/>
  <c r="G806" i="1"/>
  <c r="F806" i="1"/>
  <c r="AO805" i="1"/>
  <c r="AL805" i="1"/>
  <c r="AK805" i="1"/>
  <c r="AF805" i="1"/>
  <c r="AD805" i="1"/>
  <c r="AA805" i="1"/>
  <c r="AE805" i="1" s="1"/>
  <c r="W805" i="1"/>
  <c r="S805" i="1"/>
  <c r="O805" i="1"/>
  <c r="M805" i="1"/>
  <c r="H805" i="1"/>
  <c r="G805" i="1"/>
  <c r="F805" i="1"/>
  <c r="AO804" i="1"/>
  <c r="AD804" i="1" s="1"/>
  <c r="AL804" i="1"/>
  <c r="AK804" i="1"/>
  <c r="AF804" i="1"/>
  <c r="AE804" i="1"/>
  <c r="AI804" i="1" s="1"/>
  <c r="AB804" i="1"/>
  <c r="AA804" i="1"/>
  <c r="W804" i="1"/>
  <c r="S804" i="1"/>
  <c r="O804" i="1"/>
  <c r="M804" i="1"/>
  <c r="H804" i="1"/>
  <c r="G804" i="1"/>
  <c r="F804" i="1"/>
  <c r="AO803" i="1"/>
  <c r="AL803" i="1"/>
  <c r="AK803" i="1"/>
  <c r="AF803" i="1"/>
  <c r="AD803" i="1"/>
  <c r="AA803" i="1"/>
  <c r="AE803" i="1" s="1"/>
  <c r="W803" i="1"/>
  <c r="S803" i="1"/>
  <c r="O803" i="1"/>
  <c r="M803" i="1"/>
  <c r="H803" i="1"/>
  <c r="G803" i="1"/>
  <c r="F803" i="1"/>
  <c r="AO802" i="1"/>
  <c r="AD802" i="1" s="1"/>
  <c r="AL802" i="1"/>
  <c r="AK802" i="1"/>
  <c r="AF802" i="1"/>
  <c r="AE802" i="1"/>
  <c r="AI802" i="1" s="1"/>
  <c r="AB802" i="1"/>
  <c r="AA802" i="1"/>
  <c r="W802" i="1"/>
  <c r="S802" i="1"/>
  <c r="O802" i="1"/>
  <c r="M802" i="1"/>
  <c r="H802" i="1"/>
  <c r="G802" i="1"/>
  <c r="F802" i="1"/>
  <c r="AO801" i="1"/>
  <c r="AL801" i="1"/>
  <c r="AK801" i="1"/>
  <c r="AF801" i="1"/>
  <c r="AD801" i="1"/>
  <c r="AA801" i="1"/>
  <c r="AE801" i="1" s="1"/>
  <c r="W801" i="1"/>
  <c r="S801" i="1"/>
  <c r="O801" i="1"/>
  <c r="M801" i="1"/>
  <c r="H801" i="1"/>
  <c r="G801" i="1"/>
  <c r="F801" i="1"/>
  <c r="AO800" i="1"/>
  <c r="AD800" i="1" s="1"/>
  <c r="AL800" i="1"/>
  <c r="AK800" i="1"/>
  <c r="AF800" i="1"/>
  <c r="AE800" i="1"/>
  <c r="AI800" i="1" s="1"/>
  <c r="AB800" i="1"/>
  <c r="AA800" i="1"/>
  <c r="W800" i="1"/>
  <c r="S800" i="1"/>
  <c r="O800" i="1"/>
  <c r="M800" i="1"/>
  <c r="H800" i="1"/>
  <c r="G800" i="1"/>
  <c r="F800" i="1"/>
  <c r="AO799" i="1"/>
  <c r="AL799" i="1"/>
  <c r="AK799" i="1"/>
  <c r="AF799" i="1"/>
  <c r="AD799" i="1"/>
  <c r="AA799" i="1"/>
  <c r="AE799" i="1" s="1"/>
  <c r="W799" i="1"/>
  <c r="S799" i="1"/>
  <c r="O799" i="1"/>
  <c r="M799" i="1"/>
  <c r="H799" i="1"/>
  <c r="G799" i="1"/>
  <c r="F799" i="1"/>
  <c r="AO798" i="1"/>
  <c r="AD798" i="1" s="1"/>
  <c r="AL798" i="1"/>
  <c r="AK798" i="1"/>
  <c r="AF798" i="1"/>
  <c r="AE798" i="1"/>
  <c r="AI798" i="1" s="1"/>
  <c r="AB798" i="1"/>
  <c r="AA798" i="1"/>
  <c r="W798" i="1"/>
  <c r="S798" i="1"/>
  <c r="O798" i="1"/>
  <c r="M798" i="1"/>
  <c r="H798" i="1"/>
  <c r="G798" i="1"/>
  <c r="F798" i="1"/>
  <c r="AO797" i="1"/>
  <c r="AL797" i="1"/>
  <c r="AK797" i="1"/>
  <c r="AF797" i="1"/>
  <c r="AD797" i="1"/>
  <c r="AA797" i="1"/>
  <c r="AE797" i="1" s="1"/>
  <c r="W797" i="1"/>
  <c r="S797" i="1"/>
  <c r="O797" i="1"/>
  <c r="M797" i="1"/>
  <c r="H797" i="1"/>
  <c r="G797" i="1"/>
  <c r="F797" i="1"/>
  <c r="AO796" i="1"/>
  <c r="AD796" i="1" s="1"/>
  <c r="AL796" i="1"/>
  <c r="AK796" i="1"/>
  <c r="AF796" i="1"/>
  <c r="AE796" i="1"/>
  <c r="AI796" i="1" s="1"/>
  <c r="AB796" i="1"/>
  <c r="AA796" i="1"/>
  <c r="W796" i="1"/>
  <c r="S796" i="1"/>
  <c r="O796" i="1"/>
  <c r="M796" i="1"/>
  <c r="H796" i="1"/>
  <c r="G796" i="1"/>
  <c r="F796" i="1"/>
  <c r="AO795" i="1"/>
  <c r="AL795" i="1"/>
  <c r="AK795" i="1"/>
  <c r="AF795" i="1"/>
  <c r="AD795" i="1"/>
  <c r="AA795" i="1"/>
  <c r="AE795" i="1" s="1"/>
  <c r="W795" i="1"/>
  <c r="S795" i="1"/>
  <c r="O795" i="1"/>
  <c r="M795" i="1"/>
  <c r="H795" i="1"/>
  <c r="G795" i="1"/>
  <c r="F795" i="1"/>
  <c r="AO794" i="1"/>
  <c r="AD794" i="1" s="1"/>
  <c r="AL794" i="1"/>
  <c r="AK794" i="1"/>
  <c r="AF794" i="1"/>
  <c r="AE794" i="1"/>
  <c r="AI794" i="1" s="1"/>
  <c r="AB794" i="1"/>
  <c r="AA794" i="1"/>
  <c r="W794" i="1"/>
  <c r="S794" i="1"/>
  <c r="O794" i="1"/>
  <c r="M794" i="1"/>
  <c r="H794" i="1"/>
  <c r="G794" i="1"/>
  <c r="F794" i="1"/>
  <c r="AO793" i="1"/>
  <c r="AL793" i="1"/>
  <c r="AK793" i="1"/>
  <c r="AF793" i="1"/>
  <c r="AD793" i="1"/>
  <c r="AA793" i="1"/>
  <c r="AE793" i="1" s="1"/>
  <c r="W793" i="1"/>
  <c r="S793" i="1"/>
  <c r="O793" i="1"/>
  <c r="M793" i="1"/>
  <c r="H793" i="1"/>
  <c r="G793" i="1"/>
  <c r="F793" i="1"/>
  <c r="AO792" i="1"/>
  <c r="AD792" i="1" s="1"/>
  <c r="AL792" i="1"/>
  <c r="AK792" i="1"/>
  <c r="AF792" i="1"/>
  <c r="AE792" i="1"/>
  <c r="AI792" i="1" s="1"/>
  <c r="AB792" i="1"/>
  <c r="AA792" i="1"/>
  <c r="W792" i="1"/>
  <c r="S792" i="1"/>
  <c r="O792" i="1"/>
  <c r="M792" i="1"/>
  <c r="H792" i="1"/>
  <c r="G792" i="1"/>
  <c r="F792" i="1"/>
  <c r="AO791" i="1"/>
  <c r="AL791" i="1"/>
  <c r="AK791" i="1"/>
  <c r="AF791" i="1"/>
  <c r="AD791" i="1"/>
  <c r="AA791" i="1"/>
  <c r="AE791" i="1" s="1"/>
  <c r="W791" i="1"/>
  <c r="S791" i="1"/>
  <c r="O791" i="1"/>
  <c r="M791" i="1"/>
  <c r="H791" i="1"/>
  <c r="G791" i="1"/>
  <c r="F791" i="1"/>
  <c r="AO790" i="1"/>
  <c r="AD790" i="1" s="1"/>
  <c r="AL790" i="1"/>
  <c r="AK790" i="1"/>
  <c r="AF790" i="1"/>
  <c r="AE790" i="1"/>
  <c r="AI790" i="1" s="1"/>
  <c r="AB790" i="1"/>
  <c r="AA790" i="1"/>
  <c r="W790" i="1"/>
  <c r="S790" i="1"/>
  <c r="O790" i="1"/>
  <c r="M790" i="1"/>
  <c r="H790" i="1"/>
  <c r="G790" i="1"/>
  <c r="F790" i="1"/>
  <c r="AO789" i="1"/>
  <c r="AL789" i="1"/>
  <c r="AK789" i="1"/>
  <c r="AF789" i="1"/>
  <c r="AD789" i="1"/>
  <c r="AA789" i="1"/>
  <c r="AE789" i="1" s="1"/>
  <c r="W789" i="1"/>
  <c r="S789" i="1"/>
  <c r="O789" i="1"/>
  <c r="M789" i="1"/>
  <c r="H789" i="1"/>
  <c r="G789" i="1"/>
  <c r="F789" i="1"/>
  <c r="AO788" i="1"/>
  <c r="AD788" i="1" s="1"/>
  <c r="AL788" i="1"/>
  <c r="AK788" i="1"/>
  <c r="AF788" i="1"/>
  <c r="AE788" i="1"/>
  <c r="AI788" i="1" s="1"/>
  <c r="AB788" i="1"/>
  <c r="AA788" i="1"/>
  <c r="W788" i="1"/>
  <c r="S788" i="1"/>
  <c r="O788" i="1"/>
  <c r="M788" i="1"/>
  <c r="H788" i="1"/>
  <c r="G788" i="1"/>
  <c r="F788" i="1"/>
  <c r="AO787" i="1"/>
  <c r="AL787" i="1"/>
  <c r="AK787" i="1"/>
  <c r="AF787" i="1"/>
  <c r="AD787" i="1"/>
  <c r="AA787" i="1"/>
  <c r="AE787" i="1" s="1"/>
  <c r="W787" i="1"/>
  <c r="S787" i="1"/>
  <c r="O787" i="1"/>
  <c r="M787" i="1"/>
  <c r="H787" i="1"/>
  <c r="G787" i="1"/>
  <c r="F787" i="1"/>
  <c r="AO786" i="1"/>
  <c r="AD786" i="1" s="1"/>
  <c r="AL786" i="1"/>
  <c r="AK786" i="1"/>
  <c r="AF786" i="1"/>
  <c r="AE786" i="1"/>
  <c r="AI786" i="1" s="1"/>
  <c r="AB786" i="1"/>
  <c r="AA786" i="1"/>
  <c r="W786" i="1"/>
  <c r="S786" i="1"/>
  <c r="O786" i="1"/>
  <c r="M786" i="1"/>
  <c r="H786" i="1"/>
  <c r="G786" i="1"/>
  <c r="F786" i="1"/>
  <c r="AO785" i="1"/>
  <c r="AL785" i="1"/>
  <c r="AK785" i="1"/>
  <c r="AF785" i="1"/>
  <c r="AD785" i="1"/>
  <c r="AA785" i="1"/>
  <c r="AE785" i="1" s="1"/>
  <c r="W785" i="1"/>
  <c r="S785" i="1"/>
  <c r="O785" i="1"/>
  <c r="M785" i="1"/>
  <c r="H785" i="1"/>
  <c r="G785" i="1"/>
  <c r="F785" i="1"/>
  <c r="AO784" i="1"/>
  <c r="AD784" i="1" s="1"/>
  <c r="AL784" i="1"/>
  <c r="AK784" i="1"/>
  <c r="AF784" i="1"/>
  <c r="AE784" i="1"/>
  <c r="AI784" i="1" s="1"/>
  <c r="AB784" i="1"/>
  <c r="AA784" i="1"/>
  <c r="W784" i="1"/>
  <c r="S784" i="1"/>
  <c r="O784" i="1"/>
  <c r="M784" i="1"/>
  <c r="H784" i="1"/>
  <c r="G784" i="1"/>
  <c r="F784" i="1"/>
  <c r="AO783" i="1"/>
  <c r="AL783" i="1"/>
  <c r="AK783" i="1"/>
  <c r="AF783" i="1"/>
  <c r="AD783" i="1"/>
  <c r="AA783" i="1"/>
  <c r="AE783" i="1" s="1"/>
  <c r="W783" i="1"/>
  <c r="S783" i="1"/>
  <c r="O783" i="1"/>
  <c r="M783" i="1"/>
  <c r="H783" i="1"/>
  <c r="G783" i="1"/>
  <c r="F783" i="1"/>
  <c r="AO782" i="1"/>
  <c r="AD782" i="1" s="1"/>
  <c r="AL782" i="1"/>
  <c r="AK782" i="1"/>
  <c r="AF782" i="1"/>
  <c r="AE782" i="1"/>
  <c r="AI782" i="1" s="1"/>
  <c r="AB782" i="1"/>
  <c r="AA782" i="1"/>
  <c r="W782" i="1"/>
  <c r="S782" i="1"/>
  <c r="O782" i="1"/>
  <c r="M782" i="1"/>
  <c r="H782" i="1"/>
  <c r="G782" i="1"/>
  <c r="F782" i="1"/>
  <c r="AO781" i="1"/>
  <c r="AL781" i="1"/>
  <c r="AK781" i="1"/>
  <c r="AF781" i="1"/>
  <c r="AD781" i="1"/>
  <c r="AA781" i="1"/>
  <c r="AE781" i="1" s="1"/>
  <c r="W781" i="1"/>
  <c r="S781" i="1"/>
  <c r="O781" i="1"/>
  <c r="M781" i="1"/>
  <c r="H781" i="1"/>
  <c r="G781" i="1"/>
  <c r="F781" i="1"/>
  <c r="AO780" i="1"/>
  <c r="AD780" i="1" s="1"/>
  <c r="AL780" i="1"/>
  <c r="AK780" i="1"/>
  <c r="AF780" i="1"/>
  <c r="AE780" i="1"/>
  <c r="AI780" i="1" s="1"/>
  <c r="AB780" i="1"/>
  <c r="AA780" i="1"/>
  <c r="W780" i="1"/>
  <c r="S780" i="1"/>
  <c r="O780" i="1"/>
  <c r="M780" i="1"/>
  <c r="H780" i="1"/>
  <c r="G780" i="1"/>
  <c r="F780" i="1"/>
  <c r="AO779" i="1"/>
  <c r="AL779" i="1"/>
  <c r="AK779" i="1"/>
  <c r="AF779" i="1"/>
  <c r="AD779" i="1"/>
  <c r="AA779" i="1"/>
  <c r="AE779" i="1" s="1"/>
  <c r="W779" i="1"/>
  <c r="S779" i="1"/>
  <c r="O779" i="1"/>
  <c r="M779" i="1"/>
  <c r="H779" i="1"/>
  <c r="G779" i="1"/>
  <c r="F779" i="1"/>
  <c r="AO778" i="1"/>
  <c r="AD778" i="1" s="1"/>
  <c r="AL778" i="1"/>
  <c r="AK778" i="1"/>
  <c r="AF778" i="1"/>
  <c r="AE778" i="1"/>
  <c r="AI778" i="1" s="1"/>
  <c r="AB778" i="1"/>
  <c r="AA778" i="1"/>
  <c r="W778" i="1"/>
  <c r="S778" i="1"/>
  <c r="O778" i="1"/>
  <c r="M778" i="1"/>
  <c r="H778" i="1"/>
  <c r="G778" i="1"/>
  <c r="F778" i="1"/>
  <c r="AO777" i="1"/>
  <c r="AL777" i="1"/>
  <c r="AK777" i="1"/>
  <c r="AF777" i="1"/>
  <c r="AD777" i="1"/>
  <c r="AA777" i="1"/>
  <c r="AE777" i="1" s="1"/>
  <c r="W777" i="1"/>
  <c r="S777" i="1"/>
  <c r="O777" i="1"/>
  <c r="M777" i="1"/>
  <c r="H777" i="1"/>
  <c r="G777" i="1"/>
  <c r="F777" i="1"/>
  <c r="AO776" i="1"/>
  <c r="AD776" i="1" s="1"/>
  <c r="AL776" i="1"/>
  <c r="AK776" i="1"/>
  <c r="AF776" i="1"/>
  <c r="AE776" i="1"/>
  <c r="AI776" i="1" s="1"/>
  <c r="AB776" i="1"/>
  <c r="AA776" i="1"/>
  <c r="W776" i="1"/>
  <c r="S776" i="1"/>
  <c r="O776" i="1"/>
  <c r="M776" i="1"/>
  <c r="H776" i="1"/>
  <c r="G776" i="1"/>
  <c r="F776" i="1"/>
  <c r="AO775" i="1"/>
  <c r="AL775" i="1"/>
  <c r="AK775" i="1"/>
  <c r="AF775" i="1"/>
  <c r="AD775" i="1"/>
  <c r="AA775" i="1"/>
  <c r="AE775" i="1" s="1"/>
  <c r="W775" i="1"/>
  <c r="S775" i="1"/>
  <c r="O775" i="1"/>
  <c r="M775" i="1"/>
  <c r="H775" i="1"/>
  <c r="G775" i="1"/>
  <c r="F775" i="1"/>
  <c r="AO774" i="1"/>
  <c r="AD774" i="1" s="1"/>
  <c r="AL774" i="1"/>
  <c r="AK774" i="1"/>
  <c r="AF774" i="1"/>
  <c r="AE774" i="1"/>
  <c r="AI774" i="1" s="1"/>
  <c r="AB774" i="1"/>
  <c r="AA774" i="1"/>
  <c r="W774" i="1"/>
  <c r="S774" i="1"/>
  <c r="O774" i="1"/>
  <c r="M774" i="1"/>
  <c r="H774" i="1"/>
  <c r="G774" i="1"/>
  <c r="F774" i="1"/>
  <c r="AO773" i="1"/>
  <c r="AL773" i="1"/>
  <c r="AK773" i="1"/>
  <c r="AF773" i="1"/>
  <c r="AD773" i="1"/>
  <c r="AA773" i="1"/>
  <c r="AE773" i="1" s="1"/>
  <c r="W773" i="1"/>
  <c r="S773" i="1"/>
  <c r="O773" i="1"/>
  <c r="M773" i="1"/>
  <c r="H773" i="1"/>
  <c r="G773" i="1"/>
  <c r="F773" i="1"/>
  <c r="AO772" i="1"/>
  <c r="AD772" i="1" s="1"/>
  <c r="AL772" i="1"/>
  <c r="AK772" i="1"/>
  <c r="AF772" i="1"/>
  <c r="AE772" i="1"/>
  <c r="AI772" i="1" s="1"/>
  <c r="AB772" i="1"/>
  <c r="AA772" i="1"/>
  <c r="W772" i="1"/>
  <c r="S772" i="1"/>
  <c r="O772" i="1"/>
  <c r="M772" i="1"/>
  <c r="H772" i="1"/>
  <c r="G772" i="1"/>
  <c r="F772" i="1"/>
  <c r="AO771" i="1"/>
  <c r="AL771" i="1"/>
  <c r="AK771" i="1"/>
  <c r="AF771" i="1"/>
  <c r="AD771" i="1"/>
  <c r="AA771" i="1"/>
  <c r="AE771" i="1" s="1"/>
  <c r="W771" i="1"/>
  <c r="S771" i="1"/>
  <c r="O771" i="1"/>
  <c r="M771" i="1"/>
  <c r="H771" i="1"/>
  <c r="G771" i="1"/>
  <c r="F771" i="1"/>
  <c r="AO770" i="1"/>
  <c r="AD770" i="1" s="1"/>
  <c r="AL770" i="1"/>
  <c r="AK770" i="1"/>
  <c r="AF770" i="1"/>
  <c r="AE770" i="1"/>
  <c r="AI770" i="1" s="1"/>
  <c r="AB770" i="1"/>
  <c r="AA770" i="1"/>
  <c r="W770" i="1"/>
  <c r="S770" i="1"/>
  <c r="O770" i="1"/>
  <c r="M770" i="1"/>
  <c r="H770" i="1"/>
  <c r="G770" i="1"/>
  <c r="F770" i="1"/>
  <c r="AO769" i="1"/>
  <c r="AL769" i="1"/>
  <c r="AK769" i="1"/>
  <c r="AF769" i="1"/>
  <c r="AD769" i="1"/>
  <c r="AA769" i="1"/>
  <c r="AE769" i="1" s="1"/>
  <c r="W769" i="1"/>
  <c r="S769" i="1"/>
  <c r="O769" i="1"/>
  <c r="M769" i="1"/>
  <c r="H769" i="1"/>
  <c r="G769" i="1"/>
  <c r="F769" i="1"/>
  <c r="AO768" i="1"/>
  <c r="AD768" i="1" s="1"/>
  <c r="AL768" i="1"/>
  <c r="AK768" i="1"/>
  <c r="AF768" i="1"/>
  <c r="AE768" i="1"/>
  <c r="AI768" i="1" s="1"/>
  <c r="AB768" i="1"/>
  <c r="AA768" i="1"/>
  <c r="W768" i="1"/>
  <c r="S768" i="1"/>
  <c r="O768" i="1"/>
  <c r="M768" i="1"/>
  <c r="H768" i="1"/>
  <c r="G768" i="1"/>
  <c r="F768" i="1"/>
  <c r="AO767" i="1"/>
  <c r="AL767" i="1"/>
  <c r="AK767" i="1"/>
  <c r="AF767" i="1"/>
  <c r="AD767" i="1"/>
  <c r="AA767" i="1"/>
  <c r="AE767" i="1" s="1"/>
  <c r="W767" i="1"/>
  <c r="S767" i="1"/>
  <c r="O767" i="1"/>
  <c r="M767" i="1"/>
  <c r="H767" i="1"/>
  <c r="G767" i="1"/>
  <c r="F767" i="1"/>
  <c r="AO766" i="1"/>
  <c r="AD766" i="1" s="1"/>
  <c r="AL766" i="1"/>
  <c r="AK766" i="1"/>
  <c r="AF766" i="1"/>
  <c r="AE766" i="1"/>
  <c r="AI766" i="1" s="1"/>
  <c r="AB766" i="1"/>
  <c r="AA766" i="1"/>
  <c r="W766" i="1"/>
  <c r="S766" i="1"/>
  <c r="O766" i="1"/>
  <c r="M766" i="1"/>
  <c r="H766" i="1"/>
  <c r="G766" i="1"/>
  <c r="F766" i="1"/>
  <c r="AO765" i="1"/>
  <c r="AL765" i="1"/>
  <c r="AK765" i="1"/>
  <c r="AF765" i="1"/>
  <c r="AD765" i="1"/>
  <c r="AA765" i="1"/>
  <c r="AE765" i="1" s="1"/>
  <c r="W765" i="1"/>
  <c r="S765" i="1"/>
  <c r="O765" i="1"/>
  <c r="M765" i="1"/>
  <c r="H765" i="1"/>
  <c r="G765" i="1"/>
  <c r="F765" i="1"/>
  <c r="AO764" i="1"/>
  <c r="AD764" i="1" s="1"/>
  <c r="AL764" i="1"/>
  <c r="AK764" i="1"/>
  <c r="AF764" i="1"/>
  <c r="AE764" i="1"/>
  <c r="AI764" i="1" s="1"/>
  <c r="AB764" i="1"/>
  <c r="AA764" i="1"/>
  <c r="W764" i="1"/>
  <c r="S764" i="1"/>
  <c r="O764" i="1"/>
  <c r="M764" i="1"/>
  <c r="H764" i="1"/>
  <c r="G764" i="1"/>
  <c r="F764" i="1"/>
  <c r="AO763" i="1"/>
  <c r="AL763" i="1"/>
  <c r="AK763" i="1"/>
  <c r="AF763" i="1"/>
  <c r="AD763" i="1"/>
  <c r="AA763" i="1"/>
  <c r="AE763" i="1" s="1"/>
  <c r="W763" i="1"/>
  <c r="S763" i="1"/>
  <c r="O763" i="1"/>
  <c r="M763" i="1"/>
  <c r="H763" i="1"/>
  <c r="G763" i="1"/>
  <c r="F763" i="1"/>
  <c r="AO762" i="1"/>
  <c r="AD762" i="1" s="1"/>
  <c r="AL762" i="1"/>
  <c r="AK762" i="1"/>
  <c r="AF762" i="1"/>
  <c r="AE762" i="1"/>
  <c r="AI762" i="1" s="1"/>
  <c r="AB762" i="1"/>
  <c r="AA762" i="1"/>
  <c r="W762" i="1"/>
  <c r="S762" i="1"/>
  <c r="O762" i="1"/>
  <c r="M762" i="1"/>
  <c r="H762" i="1"/>
  <c r="G762" i="1"/>
  <c r="F762" i="1"/>
  <c r="AO761" i="1"/>
  <c r="AL761" i="1"/>
  <c r="AK761" i="1"/>
  <c r="AF761" i="1"/>
  <c r="AD761" i="1"/>
  <c r="AA761" i="1"/>
  <c r="AE761" i="1" s="1"/>
  <c r="W761" i="1"/>
  <c r="S761" i="1"/>
  <c r="O761" i="1"/>
  <c r="M761" i="1"/>
  <c r="H761" i="1"/>
  <c r="G761" i="1"/>
  <c r="F761" i="1"/>
  <c r="AO760" i="1"/>
  <c r="AD760" i="1" s="1"/>
  <c r="AL760" i="1"/>
  <c r="AK760" i="1"/>
  <c r="AF760" i="1"/>
  <c r="AE760" i="1"/>
  <c r="AI760" i="1" s="1"/>
  <c r="AB760" i="1"/>
  <c r="AA760" i="1"/>
  <c r="W760" i="1"/>
  <c r="S760" i="1"/>
  <c r="O760" i="1"/>
  <c r="M760" i="1"/>
  <c r="H760" i="1"/>
  <c r="G760" i="1"/>
  <c r="F760" i="1"/>
  <c r="AO759" i="1"/>
  <c r="AL759" i="1"/>
  <c r="AK759" i="1"/>
  <c r="AF759" i="1"/>
  <c r="AD759" i="1"/>
  <c r="AA759" i="1"/>
  <c r="AE759" i="1" s="1"/>
  <c r="W759" i="1"/>
  <c r="S759" i="1"/>
  <c r="O759" i="1"/>
  <c r="M759" i="1"/>
  <c r="H759" i="1"/>
  <c r="G759" i="1"/>
  <c r="F759" i="1"/>
  <c r="AO758" i="1"/>
  <c r="AD758" i="1" s="1"/>
  <c r="AL758" i="1"/>
  <c r="AK758" i="1"/>
  <c r="AF758" i="1"/>
  <c r="AE758" i="1"/>
  <c r="AI758" i="1" s="1"/>
  <c r="AB758" i="1"/>
  <c r="AA758" i="1"/>
  <c r="W758" i="1"/>
  <c r="S758" i="1"/>
  <c r="O758" i="1"/>
  <c r="M758" i="1"/>
  <c r="H758" i="1"/>
  <c r="G758" i="1"/>
  <c r="F758" i="1"/>
  <c r="AO757" i="1"/>
  <c r="AL757" i="1"/>
  <c r="AK757" i="1"/>
  <c r="AF757" i="1"/>
  <c r="AD757" i="1"/>
  <c r="AA757" i="1"/>
  <c r="AE757" i="1" s="1"/>
  <c r="W757" i="1"/>
  <c r="S757" i="1"/>
  <c r="O757" i="1"/>
  <c r="M757" i="1"/>
  <c r="H757" i="1"/>
  <c r="G757" i="1"/>
  <c r="F757" i="1"/>
  <c r="AO756" i="1"/>
  <c r="AD756" i="1" s="1"/>
  <c r="AL756" i="1"/>
  <c r="AK756" i="1"/>
  <c r="AF756" i="1"/>
  <c r="AE756" i="1"/>
  <c r="AI756" i="1" s="1"/>
  <c r="AB756" i="1"/>
  <c r="AA756" i="1"/>
  <c r="W756" i="1"/>
  <c r="S756" i="1"/>
  <c r="O756" i="1"/>
  <c r="M756" i="1"/>
  <c r="H756" i="1"/>
  <c r="G756" i="1"/>
  <c r="F756" i="1"/>
  <c r="AO755" i="1"/>
  <c r="AL755" i="1"/>
  <c r="AK755" i="1"/>
  <c r="AF755" i="1"/>
  <c r="AD755" i="1"/>
  <c r="AA755" i="1"/>
  <c r="AE755" i="1" s="1"/>
  <c r="W755" i="1"/>
  <c r="S755" i="1"/>
  <c r="O755" i="1"/>
  <c r="M755" i="1"/>
  <c r="H755" i="1"/>
  <c r="G755" i="1"/>
  <c r="F755" i="1"/>
  <c r="AO754" i="1"/>
  <c r="AD754" i="1" s="1"/>
  <c r="AL754" i="1"/>
  <c r="AK754" i="1"/>
  <c r="AF754" i="1"/>
  <c r="AE754" i="1"/>
  <c r="AI754" i="1" s="1"/>
  <c r="AB754" i="1"/>
  <c r="AA754" i="1"/>
  <c r="W754" i="1"/>
  <c r="S754" i="1"/>
  <c r="O754" i="1"/>
  <c r="M754" i="1"/>
  <c r="H754" i="1"/>
  <c r="G754" i="1"/>
  <c r="F754" i="1"/>
  <c r="AO753" i="1"/>
  <c r="AL753" i="1"/>
  <c r="AK753" i="1"/>
  <c r="AF753" i="1"/>
  <c r="AD753" i="1"/>
  <c r="AA753" i="1"/>
  <c r="AE753" i="1" s="1"/>
  <c r="W753" i="1"/>
  <c r="S753" i="1"/>
  <c r="O753" i="1"/>
  <c r="M753" i="1"/>
  <c r="H753" i="1"/>
  <c r="G753" i="1"/>
  <c r="F753" i="1"/>
  <c r="AO752" i="1"/>
  <c r="AD752" i="1" s="1"/>
  <c r="AL752" i="1"/>
  <c r="AK752" i="1"/>
  <c r="AF752" i="1"/>
  <c r="AE752" i="1"/>
  <c r="AI752" i="1" s="1"/>
  <c r="AB752" i="1"/>
  <c r="AA752" i="1"/>
  <c r="W752" i="1"/>
  <c r="S752" i="1"/>
  <c r="O752" i="1"/>
  <c r="M752" i="1"/>
  <c r="H752" i="1"/>
  <c r="G752" i="1"/>
  <c r="F752" i="1"/>
  <c r="AO751" i="1"/>
  <c r="AL751" i="1"/>
  <c r="AK751" i="1"/>
  <c r="AF751" i="1"/>
  <c r="AD751" i="1"/>
  <c r="AA751" i="1"/>
  <c r="AE751" i="1" s="1"/>
  <c r="W751" i="1"/>
  <c r="S751" i="1"/>
  <c r="O751" i="1"/>
  <c r="M751" i="1"/>
  <c r="H751" i="1"/>
  <c r="G751" i="1"/>
  <c r="F751" i="1"/>
  <c r="AO750" i="1"/>
  <c r="AD750" i="1" s="1"/>
  <c r="AL750" i="1"/>
  <c r="AK750" i="1"/>
  <c r="AF750" i="1"/>
  <c r="AE750" i="1"/>
  <c r="AI750" i="1" s="1"/>
  <c r="AB750" i="1"/>
  <c r="AA750" i="1"/>
  <c r="W750" i="1"/>
  <c r="S750" i="1"/>
  <c r="O750" i="1"/>
  <c r="M750" i="1"/>
  <c r="H750" i="1"/>
  <c r="G750" i="1"/>
  <c r="F750" i="1"/>
  <c r="AO749" i="1"/>
  <c r="AL749" i="1"/>
  <c r="AK749" i="1"/>
  <c r="AF749" i="1"/>
  <c r="AD749" i="1"/>
  <c r="AA749" i="1"/>
  <c r="AE749" i="1" s="1"/>
  <c r="W749" i="1"/>
  <c r="S749" i="1"/>
  <c r="O749" i="1"/>
  <c r="M749" i="1"/>
  <c r="H749" i="1"/>
  <c r="G749" i="1"/>
  <c r="F749" i="1"/>
  <c r="AO748" i="1"/>
  <c r="AD748" i="1" s="1"/>
  <c r="AL748" i="1"/>
  <c r="AK748" i="1"/>
  <c r="AF748" i="1"/>
  <c r="AE748" i="1"/>
  <c r="AB748" i="1"/>
  <c r="AA748" i="1"/>
  <c r="W748" i="1"/>
  <c r="S748" i="1"/>
  <c r="O748" i="1"/>
  <c r="M748" i="1"/>
  <c r="H748" i="1"/>
  <c r="G748" i="1"/>
  <c r="F748" i="1"/>
  <c r="AO747" i="1"/>
  <c r="AL747" i="1"/>
  <c r="AK747" i="1"/>
  <c r="AF747" i="1"/>
  <c r="AD747" i="1"/>
  <c r="AA747" i="1"/>
  <c r="W747" i="1"/>
  <c r="S747" i="1"/>
  <c r="O747" i="1"/>
  <c r="M747" i="1"/>
  <c r="H747" i="1"/>
  <c r="G747" i="1"/>
  <c r="F747" i="1"/>
  <c r="AO746" i="1"/>
  <c r="AD746" i="1" s="1"/>
  <c r="AL746" i="1"/>
  <c r="AK746" i="1"/>
  <c r="AF746" i="1"/>
  <c r="AE746" i="1"/>
  <c r="AB746" i="1"/>
  <c r="AA746" i="1"/>
  <c r="W746" i="1"/>
  <c r="S746" i="1"/>
  <c r="O746" i="1"/>
  <c r="M746" i="1"/>
  <c r="H746" i="1"/>
  <c r="G746" i="1"/>
  <c r="F746" i="1"/>
  <c r="AO745" i="1"/>
  <c r="AL745" i="1"/>
  <c r="AK745" i="1"/>
  <c r="AF745" i="1"/>
  <c r="AD745" i="1"/>
  <c r="AA745" i="1"/>
  <c r="W745" i="1"/>
  <c r="S745" i="1"/>
  <c r="O745" i="1"/>
  <c r="M745" i="1"/>
  <c r="H745" i="1"/>
  <c r="G745" i="1"/>
  <c r="F745" i="1"/>
  <c r="AO744" i="1"/>
  <c r="AD744" i="1" s="1"/>
  <c r="AL744" i="1"/>
  <c r="AK744" i="1"/>
  <c r="AF744" i="1"/>
  <c r="AE744" i="1"/>
  <c r="AB744" i="1"/>
  <c r="AA744" i="1"/>
  <c r="W744" i="1"/>
  <c r="S744" i="1"/>
  <c r="O744" i="1"/>
  <c r="M744" i="1"/>
  <c r="H744" i="1"/>
  <c r="G744" i="1"/>
  <c r="F744" i="1"/>
  <c r="AO743" i="1"/>
  <c r="AL743" i="1"/>
  <c r="AK743" i="1"/>
  <c r="AF743" i="1"/>
  <c r="AD743" i="1"/>
  <c r="AA743" i="1"/>
  <c r="W743" i="1"/>
  <c r="S743" i="1"/>
  <c r="O743" i="1"/>
  <c r="M743" i="1"/>
  <c r="H743" i="1"/>
  <c r="G743" i="1"/>
  <c r="F743" i="1"/>
  <c r="AO742" i="1"/>
  <c r="AD742" i="1" s="1"/>
  <c r="AL742" i="1"/>
  <c r="AK742" i="1"/>
  <c r="AF742" i="1"/>
  <c r="AE742" i="1"/>
  <c r="AB742" i="1"/>
  <c r="AA742" i="1"/>
  <c r="W742" i="1"/>
  <c r="S742" i="1"/>
  <c r="O742" i="1"/>
  <c r="M742" i="1"/>
  <c r="H742" i="1"/>
  <c r="G742" i="1"/>
  <c r="F742" i="1"/>
  <c r="AO741" i="1"/>
  <c r="AL741" i="1"/>
  <c r="AK741" i="1"/>
  <c r="AF741" i="1"/>
  <c r="AD741" i="1"/>
  <c r="AA741" i="1"/>
  <c r="W741" i="1"/>
  <c r="S741" i="1"/>
  <c r="O741" i="1"/>
  <c r="M741" i="1"/>
  <c r="H741" i="1"/>
  <c r="G741" i="1"/>
  <c r="F741" i="1"/>
  <c r="AO740" i="1"/>
  <c r="AL740" i="1"/>
  <c r="AK740" i="1"/>
  <c r="AF740" i="1"/>
  <c r="AD740" i="1"/>
  <c r="AA740" i="1"/>
  <c r="AE740" i="1" s="1"/>
  <c r="W740" i="1"/>
  <c r="S740" i="1"/>
  <c r="O740" i="1"/>
  <c r="M740" i="1"/>
  <c r="H740" i="1"/>
  <c r="G740" i="1"/>
  <c r="F740" i="1"/>
  <c r="AO739" i="1"/>
  <c r="AD739" i="1" s="1"/>
  <c r="AL739" i="1"/>
  <c r="AK739" i="1"/>
  <c r="AF739" i="1"/>
  <c r="AE739" i="1"/>
  <c r="AI739" i="1" s="1"/>
  <c r="AB739" i="1"/>
  <c r="AA739" i="1"/>
  <c r="W739" i="1"/>
  <c r="S739" i="1"/>
  <c r="O739" i="1"/>
  <c r="M739" i="1"/>
  <c r="H739" i="1"/>
  <c r="G739" i="1"/>
  <c r="F739" i="1"/>
  <c r="AO738" i="1"/>
  <c r="AL738" i="1"/>
  <c r="AK738" i="1"/>
  <c r="AF738" i="1"/>
  <c r="AD738" i="1"/>
  <c r="AA738" i="1"/>
  <c r="AE738" i="1" s="1"/>
  <c r="W738" i="1"/>
  <c r="S738" i="1"/>
  <c r="O738" i="1"/>
  <c r="M738" i="1"/>
  <c r="H738" i="1"/>
  <c r="G738" i="1"/>
  <c r="F738" i="1"/>
  <c r="AO737" i="1"/>
  <c r="AD737" i="1" s="1"/>
  <c r="AL737" i="1"/>
  <c r="AK737" i="1"/>
  <c r="AF737" i="1"/>
  <c r="AE737" i="1"/>
  <c r="AI737" i="1" s="1"/>
  <c r="AB737" i="1"/>
  <c r="AA737" i="1"/>
  <c r="W737" i="1"/>
  <c r="S737" i="1"/>
  <c r="O737" i="1"/>
  <c r="M737" i="1"/>
  <c r="H737" i="1"/>
  <c r="G737" i="1"/>
  <c r="F737" i="1"/>
  <c r="AO736" i="1"/>
  <c r="AL736" i="1"/>
  <c r="AK736" i="1"/>
  <c r="AF736" i="1"/>
  <c r="AD736" i="1"/>
  <c r="AA736" i="1"/>
  <c r="AE736" i="1" s="1"/>
  <c r="W736" i="1"/>
  <c r="S736" i="1"/>
  <c r="O736" i="1"/>
  <c r="M736" i="1"/>
  <c r="H736" i="1"/>
  <c r="G736" i="1"/>
  <c r="F736" i="1"/>
  <c r="AO735" i="1"/>
  <c r="AD735" i="1" s="1"/>
  <c r="AL735" i="1"/>
  <c r="AK735" i="1"/>
  <c r="AF735" i="1"/>
  <c r="AE735" i="1"/>
  <c r="AI735" i="1" s="1"/>
  <c r="AB735" i="1"/>
  <c r="AA735" i="1"/>
  <c r="W735" i="1"/>
  <c r="S735" i="1"/>
  <c r="O735" i="1"/>
  <c r="M735" i="1"/>
  <c r="H735" i="1"/>
  <c r="G735" i="1"/>
  <c r="F735" i="1"/>
  <c r="AO734" i="1"/>
  <c r="AL734" i="1"/>
  <c r="AK734" i="1"/>
  <c r="AF734" i="1"/>
  <c r="AD734" i="1"/>
  <c r="AA734" i="1"/>
  <c r="AE734" i="1" s="1"/>
  <c r="W734" i="1"/>
  <c r="S734" i="1"/>
  <c r="O734" i="1"/>
  <c r="M734" i="1"/>
  <c r="H734" i="1"/>
  <c r="G734" i="1"/>
  <c r="F734" i="1"/>
  <c r="AO733" i="1"/>
  <c r="AD733" i="1" s="1"/>
  <c r="AL733" i="1"/>
  <c r="AK733" i="1"/>
  <c r="AF733" i="1"/>
  <c r="AE733" i="1"/>
  <c r="AI733" i="1" s="1"/>
  <c r="AB733" i="1"/>
  <c r="AA733" i="1"/>
  <c r="W733" i="1"/>
  <c r="S733" i="1"/>
  <c r="O733" i="1"/>
  <c r="M733" i="1"/>
  <c r="H733" i="1"/>
  <c r="G733" i="1"/>
  <c r="F733" i="1"/>
  <c r="AO732" i="1"/>
  <c r="AL732" i="1"/>
  <c r="AK732" i="1"/>
  <c r="AF732" i="1"/>
  <c r="AD732" i="1"/>
  <c r="AA732" i="1"/>
  <c r="AE732" i="1" s="1"/>
  <c r="W732" i="1"/>
  <c r="S732" i="1"/>
  <c r="O732" i="1"/>
  <c r="M732" i="1"/>
  <c r="H732" i="1"/>
  <c r="G732" i="1"/>
  <c r="F732" i="1"/>
  <c r="AO731" i="1"/>
  <c r="AD731" i="1" s="1"/>
  <c r="AL731" i="1"/>
  <c r="AK731" i="1"/>
  <c r="AF731" i="1"/>
  <c r="AE731" i="1"/>
  <c r="AI731" i="1" s="1"/>
  <c r="AB731" i="1"/>
  <c r="AA731" i="1"/>
  <c r="W731" i="1"/>
  <c r="S731" i="1"/>
  <c r="O731" i="1"/>
  <c r="M731" i="1"/>
  <c r="H731" i="1"/>
  <c r="G731" i="1"/>
  <c r="F731" i="1"/>
  <c r="AO730" i="1"/>
  <c r="AL730" i="1"/>
  <c r="AK730" i="1"/>
  <c r="AF730" i="1"/>
  <c r="AD730" i="1"/>
  <c r="AA730" i="1"/>
  <c r="AE730" i="1" s="1"/>
  <c r="W730" i="1"/>
  <c r="S730" i="1"/>
  <c r="O730" i="1"/>
  <c r="M730" i="1"/>
  <c r="H730" i="1"/>
  <c r="G730" i="1"/>
  <c r="F730" i="1"/>
  <c r="AO729" i="1"/>
  <c r="AD729" i="1" s="1"/>
  <c r="AL729" i="1"/>
  <c r="AK729" i="1"/>
  <c r="AF729" i="1"/>
  <c r="AE729" i="1"/>
  <c r="AI729" i="1" s="1"/>
  <c r="AB729" i="1"/>
  <c r="AA729" i="1"/>
  <c r="W729" i="1"/>
  <c r="S729" i="1"/>
  <c r="O729" i="1"/>
  <c r="M729" i="1"/>
  <c r="H729" i="1"/>
  <c r="G729" i="1"/>
  <c r="F729" i="1"/>
  <c r="AO728" i="1"/>
  <c r="AL728" i="1"/>
  <c r="AK728" i="1"/>
  <c r="AF728" i="1"/>
  <c r="AD728" i="1"/>
  <c r="AA728" i="1"/>
  <c r="AE728" i="1" s="1"/>
  <c r="W728" i="1"/>
  <c r="S728" i="1"/>
  <c r="O728" i="1"/>
  <c r="M728" i="1"/>
  <c r="H728" i="1"/>
  <c r="G728" i="1"/>
  <c r="F728" i="1"/>
  <c r="AO727" i="1"/>
  <c r="AD727" i="1" s="1"/>
  <c r="AL727" i="1"/>
  <c r="AK727" i="1"/>
  <c r="AF727" i="1"/>
  <c r="AE727" i="1"/>
  <c r="AI727" i="1" s="1"/>
  <c r="AB727" i="1"/>
  <c r="AA727" i="1"/>
  <c r="W727" i="1"/>
  <c r="S727" i="1"/>
  <c r="O727" i="1"/>
  <c r="M727" i="1"/>
  <c r="H727" i="1"/>
  <c r="G727" i="1"/>
  <c r="F727" i="1"/>
  <c r="AO726" i="1"/>
  <c r="AL726" i="1"/>
  <c r="AK726" i="1"/>
  <c r="AF726" i="1"/>
  <c r="AD726" i="1"/>
  <c r="AA726" i="1"/>
  <c r="AE726" i="1" s="1"/>
  <c r="W726" i="1"/>
  <c r="S726" i="1"/>
  <c r="O726" i="1"/>
  <c r="M726" i="1"/>
  <c r="H726" i="1"/>
  <c r="G726" i="1"/>
  <c r="F726" i="1"/>
  <c r="AO725" i="1"/>
  <c r="AD725" i="1" s="1"/>
  <c r="AL725" i="1"/>
  <c r="AK725" i="1"/>
  <c r="AF725" i="1"/>
  <c r="AE725" i="1"/>
  <c r="AI725" i="1" s="1"/>
  <c r="AB725" i="1"/>
  <c r="AA725" i="1"/>
  <c r="W725" i="1"/>
  <c r="S725" i="1"/>
  <c r="O725" i="1"/>
  <c r="M725" i="1"/>
  <c r="H725" i="1"/>
  <c r="G725" i="1"/>
  <c r="F725" i="1"/>
  <c r="AO724" i="1"/>
  <c r="AL724" i="1"/>
  <c r="AK724" i="1"/>
  <c r="AF724" i="1"/>
  <c r="AD724" i="1"/>
  <c r="AA724" i="1"/>
  <c r="AE724" i="1" s="1"/>
  <c r="W724" i="1"/>
  <c r="S724" i="1"/>
  <c r="O724" i="1"/>
  <c r="M724" i="1"/>
  <c r="H724" i="1"/>
  <c r="G724" i="1"/>
  <c r="F724" i="1"/>
  <c r="AO723" i="1"/>
  <c r="AD723" i="1" s="1"/>
  <c r="AL723" i="1"/>
  <c r="AK723" i="1"/>
  <c r="AF723" i="1"/>
  <c r="AE723" i="1"/>
  <c r="AI723" i="1" s="1"/>
  <c r="AB723" i="1"/>
  <c r="AA723" i="1"/>
  <c r="W723" i="1"/>
  <c r="S723" i="1"/>
  <c r="O723" i="1"/>
  <c r="M723" i="1"/>
  <c r="H723" i="1"/>
  <c r="G723" i="1"/>
  <c r="F723" i="1"/>
  <c r="AO722" i="1"/>
  <c r="AL722" i="1"/>
  <c r="AK722" i="1"/>
  <c r="AF722" i="1"/>
  <c r="AD722" i="1"/>
  <c r="AA722" i="1"/>
  <c r="AE722" i="1" s="1"/>
  <c r="W722" i="1"/>
  <c r="S722" i="1"/>
  <c r="O722" i="1"/>
  <c r="M722" i="1"/>
  <c r="H722" i="1"/>
  <c r="G722" i="1"/>
  <c r="F722" i="1"/>
  <c r="AO721" i="1"/>
  <c r="AD721" i="1" s="1"/>
  <c r="AL721" i="1"/>
  <c r="AK721" i="1"/>
  <c r="AF721" i="1"/>
  <c r="AE721" i="1"/>
  <c r="AI721" i="1" s="1"/>
  <c r="AB721" i="1"/>
  <c r="AA721" i="1"/>
  <c r="W721" i="1"/>
  <c r="S721" i="1"/>
  <c r="O721" i="1"/>
  <c r="M721" i="1"/>
  <c r="H721" i="1"/>
  <c r="G721" i="1"/>
  <c r="F721" i="1"/>
  <c r="AO720" i="1"/>
  <c r="AL720" i="1"/>
  <c r="AK720" i="1"/>
  <c r="AF720" i="1"/>
  <c r="AD720" i="1"/>
  <c r="AA720" i="1"/>
  <c r="AE720" i="1" s="1"/>
  <c r="W720" i="1"/>
  <c r="S720" i="1"/>
  <c r="O720" i="1"/>
  <c r="M720" i="1"/>
  <c r="H720" i="1"/>
  <c r="G720" i="1"/>
  <c r="F720" i="1"/>
  <c r="AO719" i="1"/>
  <c r="AD719" i="1" s="1"/>
  <c r="AL719" i="1"/>
  <c r="AK719" i="1"/>
  <c r="AF719" i="1"/>
  <c r="AE719" i="1"/>
  <c r="AI719" i="1" s="1"/>
  <c r="AB719" i="1"/>
  <c r="AA719" i="1"/>
  <c r="W719" i="1"/>
  <c r="S719" i="1"/>
  <c r="O719" i="1"/>
  <c r="M719" i="1"/>
  <c r="H719" i="1"/>
  <c r="G719" i="1"/>
  <c r="F719" i="1"/>
  <c r="AO718" i="1"/>
  <c r="AL718" i="1"/>
  <c r="AK718" i="1"/>
  <c r="AF718" i="1"/>
  <c r="AD718" i="1"/>
  <c r="AA718" i="1"/>
  <c r="AE718" i="1" s="1"/>
  <c r="W718" i="1"/>
  <c r="S718" i="1"/>
  <c r="O718" i="1"/>
  <c r="M718" i="1"/>
  <c r="H718" i="1"/>
  <c r="G718" i="1"/>
  <c r="F718" i="1"/>
  <c r="AO717" i="1"/>
  <c r="AD717" i="1" s="1"/>
  <c r="AL717" i="1"/>
  <c r="AK717" i="1"/>
  <c r="AF717" i="1"/>
  <c r="AE717" i="1"/>
  <c r="AI717" i="1" s="1"/>
  <c r="AB717" i="1"/>
  <c r="AA717" i="1"/>
  <c r="W717" i="1"/>
  <c r="S717" i="1"/>
  <c r="O717" i="1"/>
  <c r="M717" i="1"/>
  <c r="H717" i="1"/>
  <c r="G717" i="1"/>
  <c r="F717" i="1"/>
  <c r="AO716" i="1"/>
  <c r="AL716" i="1"/>
  <c r="AK716" i="1"/>
  <c r="AF716" i="1"/>
  <c r="AD716" i="1"/>
  <c r="AA716" i="1"/>
  <c r="AE716" i="1" s="1"/>
  <c r="W716" i="1"/>
  <c r="S716" i="1"/>
  <c r="O716" i="1"/>
  <c r="M716" i="1"/>
  <c r="H716" i="1"/>
  <c r="G716" i="1"/>
  <c r="F716" i="1"/>
  <c r="AO715" i="1"/>
  <c r="AD715" i="1" s="1"/>
  <c r="AL715" i="1"/>
  <c r="AK715" i="1"/>
  <c r="AF715" i="1"/>
  <c r="AE715" i="1"/>
  <c r="AI715" i="1" s="1"/>
  <c r="AB715" i="1"/>
  <c r="AA715" i="1"/>
  <c r="W715" i="1"/>
  <c r="S715" i="1"/>
  <c r="O715" i="1"/>
  <c r="M715" i="1"/>
  <c r="H715" i="1"/>
  <c r="G715" i="1"/>
  <c r="F715" i="1"/>
  <c r="AO714" i="1"/>
  <c r="AL714" i="1"/>
  <c r="AK714" i="1"/>
  <c r="AF714" i="1"/>
  <c r="AD714" i="1"/>
  <c r="AA714" i="1"/>
  <c r="AE714" i="1" s="1"/>
  <c r="W714" i="1"/>
  <c r="S714" i="1"/>
  <c r="O714" i="1"/>
  <c r="M714" i="1"/>
  <c r="H714" i="1"/>
  <c r="G714" i="1"/>
  <c r="F714" i="1"/>
  <c r="AO713" i="1"/>
  <c r="AD713" i="1" s="1"/>
  <c r="AL713" i="1"/>
  <c r="AK713" i="1"/>
  <c r="AF713" i="1"/>
  <c r="AE713" i="1"/>
  <c r="AI713" i="1" s="1"/>
  <c r="AB713" i="1"/>
  <c r="AA713" i="1"/>
  <c r="W713" i="1"/>
  <c r="S713" i="1"/>
  <c r="O713" i="1"/>
  <c r="M713" i="1"/>
  <c r="H713" i="1"/>
  <c r="G713" i="1"/>
  <c r="F713" i="1"/>
  <c r="AO712" i="1"/>
  <c r="AL712" i="1"/>
  <c r="AK712" i="1"/>
  <c r="AF712" i="1"/>
  <c r="AD712" i="1"/>
  <c r="AA712" i="1"/>
  <c r="AE712" i="1" s="1"/>
  <c r="W712" i="1"/>
  <c r="S712" i="1"/>
  <c r="O712" i="1"/>
  <c r="M712" i="1"/>
  <c r="H712" i="1"/>
  <c r="G712" i="1"/>
  <c r="F712" i="1"/>
  <c r="AO711" i="1"/>
  <c r="AD711" i="1" s="1"/>
  <c r="AL711" i="1"/>
  <c r="AK711" i="1"/>
  <c r="AF711" i="1"/>
  <c r="AE711" i="1"/>
  <c r="AI711" i="1" s="1"/>
  <c r="AB711" i="1"/>
  <c r="AA711" i="1"/>
  <c r="W711" i="1"/>
  <c r="S711" i="1"/>
  <c r="O711" i="1"/>
  <c r="M711" i="1"/>
  <c r="H711" i="1"/>
  <c r="G711" i="1"/>
  <c r="F711" i="1"/>
  <c r="AO710" i="1"/>
  <c r="AL710" i="1"/>
  <c r="AK710" i="1"/>
  <c r="AF710" i="1"/>
  <c r="AD710" i="1"/>
  <c r="AA710" i="1"/>
  <c r="AE710" i="1" s="1"/>
  <c r="W710" i="1"/>
  <c r="S710" i="1"/>
  <c r="O710" i="1"/>
  <c r="M710" i="1"/>
  <c r="H710" i="1"/>
  <c r="G710" i="1"/>
  <c r="F710" i="1"/>
  <c r="AO709" i="1"/>
  <c r="AD709" i="1" s="1"/>
  <c r="AL709" i="1"/>
  <c r="AK709" i="1"/>
  <c r="AF709" i="1"/>
  <c r="AE709" i="1"/>
  <c r="AI709" i="1" s="1"/>
  <c r="AB709" i="1"/>
  <c r="AA709" i="1"/>
  <c r="W709" i="1"/>
  <c r="S709" i="1"/>
  <c r="O709" i="1"/>
  <c r="M709" i="1"/>
  <c r="H709" i="1"/>
  <c r="G709" i="1"/>
  <c r="F709" i="1"/>
  <c r="AO708" i="1"/>
  <c r="AL708" i="1"/>
  <c r="AK708" i="1"/>
  <c r="AF708" i="1"/>
  <c r="AD708" i="1"/>
  <c r="AA708" i="1"/>
  <c r="AE708" i="1" s="1"/>
  <c r="W708" i="1"/>
  <c r="S708" i="1"/>
  <c r="O708" i="1"/>
  <c r="M708" i="1"/>
  <c r="H708" i="1"/>
  <c r="G708" i="1"/>
  <c r="F708" i="1"/>
  <c r="AO707" i="1"/>
  <c r="AD707" i="1" s="1"/>
  <c r="AL707" i="1"/>
  <c r="AK707" i="1"/>
  <c r="AF707" i="1"/>
  <c r="AE707" i="1"/>
  <c r="AI707" i="1" s="1"/>
  <c r="AB707" i="1"/>
  <c r="AA707" i="1"/>
  <c r="W707" i="1"/>
  <c r="S707" i="1"/>
  <c r="O707" i="1"/>
  <c r="M707" i="1"/>
  <c r="H707" i="1"/>
  <c r="G707" i="1"/>
  <c r="F707" i="1"/>
  <c r="AO706" i="1"/>
  <c r="AL706" i="1"/>
  <c r="AK706" i="1"/>
  <c r="AF706" i="1"/>
  <c r="AD706" i="1"/>
  <c r="AA706" i="1"/>
  <c r="AE706" i="1" s="1"/>
  <c r="W706" i="1"/>
  <c r="S706" i="1"/>
  <c r="O706" i="1"/>
  <c r="M706" i="1"/>
  <c r="H706" i="1"/>
  <c r="G706" i="1"/>
  <c r="F706" i="1"/>
  <c r="AO705" i="1"/>
  <c r="AD705" i="1" s="1"/>
  <c r="AL705" i="1"/>
  <c r="AK705" i="1"/>
  <c r="AF705" i="1"/>
  <c r="AE705" i="1"/>
  <c r="AI705" i="1" s="1"/>
  <c r="AB705" i="1"/>
  <c r="AA705" i="1"/>
  <c r="W705" i="1"/>
  <c r="S705" i="1"/>
  <c r="O705" i="1"/>
  <c r="M705" i="1"/>
  <c r="H705" i="1"/>
  <c r="G705" i="1"/>
  <c r="F705" i="1"/>
  <c r="AO704" i="1"/>
  <c r="AL704" i="1"/>
  <c r="AK704" i="1"/>
  <c r="AF704" i="1"/>
  <c r="AD704" i="1"/>
  <c r="AA704" i="1"/>
  <c r="AE704" i="1" s="1"/>
  <c r="W704" i="1"/>
  <c r="S704" i="1"/>
  <c r="O704" i="1"/>
  <c r="M704" i="1"/>
  <c r="H704" i="1"/>
  <c r="G704" i="1"/>
  <c r="F704" i="1"/>
  <c r="AO703" i="1"/>
  <c r="AD703" i="1" s="1"/>
  <c r="AL703" i="1"/>
  <c r="AK703" i="1"/>
  <c r="AF703" i="1"/>
  <c r="AE703" i="1"/>
  <c r="AI703" i="1" s="1"/>
  <c r="AB703" i="1"/>
  <c r="AA703" i="1"/>
  <c r="W703" i="1"/>
  <c r="S703" i="1"/>
  <c r="O703" i="1"/>
  <c r="M703" i="1"/>
  <c r="H703" i="1"/>
  <c r="G703" i="1"/>
  <c r="F703" i="1"/>
  <c r="AO702" i="1"/>
  <c r="AL702" i="1"/>
  <c r="AK702" i="1"/>
  <c r="AF702" i="1"/>
  <c r="AD702" i="1"/>
  <c r="AA702" i="1"/>
  <c r="AE702" i="1" s="1"/>
  <c r="W702" i="1"/>
  <c r="S702" i="1"/>
  <c r="O702" i="1"/>
  <c r="M702" i="1"/>
  <c r="H702" i="1"/>
  <c r="G702" i="1"/>
  <c r="F702" i="1"/>
  <c r="AO701" i="1"/>
  <c r="AD701" i="1" s="1"/>
  <c r="AL701" i="1"/>
  <c r="AK701" i="1"/>
  <c r="AF701" i="1"/>
  <c r="AE701" i="1"/>
  <c r="AI701" i="1" s="1"/>
  <c r="AB701" i="1"/>
  <c r="AA701" i="1"/>
  <c r="W701" i="1"/>
  <c r="S701" i="1"/>
  <c r="O701" i="1"/>
  <c r="M701" i="1"/>
  <c r="H701" i="1"/>
  <c r="G701" i="1"/>
  <c r="F701" i="1"/>
  <c r="AO700" i="1"/>
  <c r="AL700" i="1"/>
  <c r="AK700" i="1"/>
  <c r="AF700" i="1"/>
  <c r="AD700" i="1"/>
  <c r="AA700" i="1"/>
  <c r="AE700" i="1" s="1"/>
  <c r="W700" i="1"/>
  <c r="S700" i="1"/>
  <c r="O700" i="1"/>
  <c r="M700" i="1"/>
  <c r="H700" i="1"/>
  <c r="G700" i="1"/>
  <c r="F700" i="1"/>
  <c r="AO699" i="1"/>
  <c r="AD699" i="1" s="1"/>
  <c r="AL699" i="1"/>
  <c r="AK699" i="1"/>
  <c r="AF699" i="1"/>
  <c r="AE699" i="1"/>
  <c r="AI699" i="1" s="1"/>
  <c r="AB699" i="1"/>
  <c r="AA699" i="1"/>
  <c r="W699" i="1"/>
  <c r="S699" i="1"/>
  <c r="O699" i="1"/>
  <c r="M699" i="1"/>
  <c r="H699" i="1"/>
  <c r="G699" i="1"/>
  <c r="F699" i="1"/>
  <c r="AO698" i="1"/>
  <c r="AL698" i="1"/>
  <c r="AK698" i="1"/>
  <c r="AF698" i="1"/>
  <c r="AD698" i="1"/>
  <c r="AA698" i="1"/>
  <c r="AE698" i="1" s="1"/>
  <c r="W698" i="1"/>
  <c r="S698" i="1"/>
  <c r="O698" i="1"/>
  <c r="M698" i="1"/>
  <c r="H698" i="1"/>
  <c r="G698" i="1"/>
  <c r="F698" i="1"/>
  <c r="AO697" i="1"/>
  <c r="AD697" i="1" s="1"/>
  <c r="AL697" i="1"/>
  <c r="AK697" i="1"/>
  <c r="AF697" i="1"/>
  <c r="AE697" i="1"/>
  <c r="AI697" i="1" s="1"/>
  <c r="AB697" i="1"/>
  <c r="AA697" i="1"/>
  <c r="W697" i="1"/>
  <c r="S697" i="1"/>
  <c r="O697" i="1"/>
  <c r="M697" i="1"/>
  <c r="H697" i="1"/>
  <c r="G697" i="1"/>
  <c r="F697" i="1"/>
  <c r="AO696" i="1"/>
  <c r="AL696" i="1"/>
  <c r="AK696" i="1"/>
  <c r="AF696" i="1"/>
  <c r="AD696" i="1"/>
  <c r="AA696" i="1"/>
  <c r="AE696" i="1" s="1"/>
  <c r="W696" i="1"/>
  <c r="S696" i="1"/>
  <c r="O696" i="1"/>
  <c r="M696" i="1"/>
  <c r="H696" i="1"/>
  <c r="G696" i="1"/>
  <c r="F696" i="1"/>
  <c r="AO695" i="1"/>
  <c r="AD695" i="1" s="1"/>
  <c r="AL695" i="1"/>
  <c r="AK695" i="1"/>
  <c r="AF695" i="1"/>
  <c r="AE695" i="1"/>
  <c r="AI695" i="1" s="1"/>
  <c r="AB695" i="1"/>
  <c r="AA695" i="1"/>
  <c r="W695" i="1"/>
  <c r="S695" i="1"/>
  <c r="O695" i="1"/>
  <c r="M695" i="1"/>
  <c r="H695" i="1"/>
  <c r="G695" i="1"/>
  <c r="F695" i="1"/>
  <c r="AO694" i="1"/>
  <c r="AL694" i="1"/>
  <c r="AK694" i="1"/>
  <c r="AF694" i="1"/>
  <c r="AD694" i="1"/>
  <c r="AA694" i="1"/>
  <c r="AE694" i="1" s="1"/>
  <c r="W694" i="1"/>
  <c r="S694" i="1"/>
  <c r="O694" i="1"/>
  <c r="M694" i="1"/>
  <c r="H694" i="1"/>
  <c r="G694" i="1"/>
  <c r="F694" i="1"/>
  <c r="AO693" i="1"/>
  <c r="AD693" i="1" s="1"/>
  <c r="AL693" i="1"/>
  <c r="AK693" i="1"/>
  <c r="AF693" i="1"/>
  <c r="AE693" i="1"/>
  <c r="AI693" i="1" s="1"/>
  <c r="AB693" i="1"/>
  <c r="AA693" i="1"/>
  <c r="W693" i="1"/>
  <c r="S693" i="1"/>
  <c r="O693" i="1"/>
  <c r="M693" i="1"/>
  <c r="H693" i="1"/>
  <c r="G693" i="1"/>
  <c r="F693" i="1"/>
  <c r="AO692" i="1"/>
  <c r="AL692" i="1"/>
  <c r="AK692" i="1"/>
  <c r="AF692" i="1"/>
  <c r="AD692" i="1"/>
  <c r="AA692" i="1"/>
  <c r="AE692" i="1" s="1"/>
  <c r="W692" i="1"/>
  <c r="S692" i="1"/>
  <c r="O692" i="1"/>
  <c r="M692" i="1"/>
  <c r="H692" i="1"/>
  <c r="G692" i="1"/>
  <c r="F692" i="1"/>
  <c r="AO691" i="1"/>
  <c r="AD691" i="1" s="1"/>
  <c r="AL691" i="1"/>
  <c r="AK691" i="1"/>
  <c r="AF691" i="1"/>
  <c r="AE691" i="1"/>
  <c r="AI691" i="1" s="1"/>
  <c r="AB691" i="1"/>
  <c r="AA691" i="1"/>
  <c r="W691" i="1"/>
  <c r="S691" i="1"/>
  <c r="O691" i="1"/>
  <c r="M691" i="1"/>
  <c r="H691" i="1"/>
  <c r="G691" i="1"/>
  <c r="F691" i="1"/>
  <c r="AO690" i="1"/>
  <c r="AL690" i="1"/>
  <c r="AK690" i="1"/>
  <c r="AF690" i="1"/>
  <c r="AD690" i="1"/>
  <c r="AA690" i="1"/>
  <c r="AE690" i="1" s="1"/>
  <c r="W690" i="1"/>
  <c r="S690" i="1"/>
  <c r="O690" i="1"/>
  <c r="M690" i="1"/>
  <c r="H690" i="1"/>
  <c r="G690" i="1"/>
  <c r="F690" i="1"/>
  <c r="AO689" i="1"/>
  <c r="AD689" i="1" s="1"/>
  <c r="AL689" i="1"/>
  <c r="AK689" i="1"/>
  <c r="AF689" i="1"/>
  <c r="AE689" i="1"/>
  <c r="AI689" i="1" s="1"/>
  <c r="AB689" i="1"/>
  <c r="AA689" i="1"/>
  <c r="W689" i="1"/>
  <c r="S689" i="1"/>
  <c r="O689" i="1"/>
  <c r="M689" i="1"/>
  <c r="H689" i="1"/>
  <c r="G689" i="1"/>
  <c r="F689" i="1"/>
  <c r="AO688" i="1"/>
  <c r="AL688" i="1"/>
  <c r="AK688" i="1"/>
  <c r="AF688" i="1"/>
  <c r="AD688" i="1"/>
  <c r="AA688" i="1"/>
  <c r="AE688" i="1" s="1"/>
  <c r="W688" i="1"/>
  <c r="S688" i="1"/>
  <c r="O688" i="1"/>
  <c r="M688" i="1"/>
  <c r="H688" i="1"/>
  <c r="G688" i="1"/>
  <c r="F688" i="1"/>
  <c r="AO687" i="1"/>
  <c r="AD687" i="1" s="1"/>
  <c r="AL687" i="1"/>
  <c r="AK687" i="1"/>
  <c r="AF687" i="1"/>
  <c r="AE687" i="1"/>
  <c r="AI687" i="1" s="1"/>
  <c r="AB687" i="1"/>
  <c r="AA687" i="1"/>
  <c r="W687" i="1"/>
  <c r="S687" i="1"/>
  <c r="O687" i="1"/>
  <c r="M687" i="1"/>
  <c r="H687" i="1"/>
  <c r="G687" i="1"/>
  <c r="F687" i="1"/>
  <c r="AO686" i="1"/>
  <c r="AL686" i="1"/>
  <c r="AK686" i="1"/>
  <c r="AF686" i="1"/>
  <c r="AD686" i="1"/>
  <c r="AA686" i="1"/>
  <c r="AE686" i="1" s="1"/>
  <c r="W686" i="1"/>
  <c r="S686" i="1"/>
  <c r="O686" i="1"/>
  <c r="M686" i="1"/>
  <c r="H686" i="1"/>
  <c r="G686" i="1"/>
  <c r="F686" i="1"/>
  <c r="AO685" i="1"/>
  <c r="AD685" i="1" s="1"/>
  <c r="AL685" i="1"/>
  <c r="AK685" i="1"/>
  <c r="AF685" i="1"/>
  <c r="AE685" i="1"/>
  <c r="AI685" i="1" s="1"/>
  <c r="AB685" i="1"/>
  <c r="AA685" i="1"/>
  <c r="W685" i="1"/>
  <c r="S685" i="1"/>
  <c r="O685" i="1"/>
  <c r="M685" i="1"/>
  <c r="H685" i="1"/>
  <c r="G685" i="1"/>
  <c r="F685" i="1"/>
  <c r="AO684" i="1"/>
  <c r="AL684" i="1"/>
  <c r="AK684" i="1"/>
  <c r="AF684" i="1"/>
  <c r="AD684" i="1"/>
  <c r="AA684" i="1"/>
  <c r="AE684" i="1" s="1"/>
  <c r="W684" i="1"/>
  <c r="S684" i="1"/>
  <c r="O684" i="1"/>
  <c r="M684" i="1"/>
  <c r="H684" i="1"/>
  <c r="G684" i="1"/>
  <c r="F684" i="1"/>
  <c r="AO683" i="1"/>
  <c r="AD683" i="1" s="1"/>
  <c r="AL683" i="1"/>
  <c r="AK683" i="1"/>
  <c r="AF683" i="1"/>
  <c r="AE683" i="1"/>
  <c r="AI683" i="1" s="1"/>
  <c r="AB683" i="1"/>
  <c r="AA683" i="1"/>
  <c r="W683" i="1"/>
  <c r="S683" i="1"/>
  <c r="O683" i="1"/>
  <c r="M683" i="1"/>
  <c r="H683" i="1"/>
  <c r="G683" i="1"/>
  <c r="F683" i="1"/>
  <c r="AO682" i="1"/>
  <c r="AL682" i="1"/>
  <c r="AK682" i="1"/>
  <c r="AF682" i="1"/>
  <c r="AD682" i="1"/>
  <c r="AA682" i="1"/>
  <c r="AE682" i="1" s="1"/>
  <c r="W682" i="1"/>
  <c r="S682" i="1"/>
  <c r="O682" i="1"/>
  <c r="M682" i="1"/>
  <c r="H682" i="1"/>
  <c r="G682" i="1"/>
  <c r="F682" i="1"/>
  <c r="AO681" i="1"/>
  <c r="AD681" i="1" s="1"/>
  <c r="AL681" i="1"/>
  <c r="AK681" i="1"/>
  <c r="AF681" i="1"/>
  <c r="AE681" i="1"/>
  <c r="AI681" i="1" s="1"/>
  <c r="AB681" i="1"/>
  <c r="AA681" i="1"/>
  <c r="W681" i="1"/>
  <c r="S681" i="1"/>
  <c r="O681" i="1"/>
  <c r="M681" i="1"/>
  <c r="H681" i="1"/>
  <c r="G681" i="1"/>
  <c r="F681" i="1"/>
  <c r="AO680" i="1"/>
  <c r="AL680" i="1"/>
  <c r="AK680" i="1"/>
  <c r="AF680" i="1"/>
  <c r="AD680" i="1"/>
  <c r="AA680" i="1"/>
  <c r="AE680" i="1" s="1"/>
  <c r="W680" i="1"/>
  <c r="S680" i="1"/>
  <c r="O680" i="1"/>
  <c r="M680" i="1"/>
  <c r="H680" i="1"/>
  <c r="G680" i="1"/>
  <c r="F680" i="1"/>
  <c r="AO679" i="1"/>
  <c r="AD679" i="1" s="1"/>
  <c r="AL679" i="1"/>
  <c r="AK679" i="1"/>
  <c r="AF679" i="1"/>
  <c r="AE679" i="1"/>
  <c r="AI679" i="1" s="1"/>
  <c r="AB679" i="1"/>
  <c r="AA679" i="1"/>
  <c r="W679" i="1"/>
  <c r="S679" i="1"/>
  <c r="O679" i="1"/>
  <c r="M679" i="1"/>
  <c r="H679" i="1"/>
  <c r="G679" i="1"/>
  <c r="F679" i="1"/>
  <c r="AO678" i="1"/>
  <c r="AL678" i="1"/>
  <c r="AK678" i="1"/>
  <c r="AF678" i="1"/>
  <c r="AD678" i="1"/>
  <c r="AA678" i="1"/>
  <c r="AE678" i="1" s="1"/>
  <c r="W678" i="1"/>
  <c r="S678" i="1"/>
  <c r="O678" i="1"/>
  <c r="M678" i="1"/>
  <c r="H678" i="1"/>
  <c r="G678" i="1"/>
  <c r="F678" i="1"/>
  <c r="AO677" i="1"/>
  <c r="AD677" i="1" s="1"/>
  <c r="AL677" i="1"/>
  <c r="AK677" i="1"/>
  <c r="AF677" i="1"/>
  <c r="AE677" i="1"/>
  <c r="AI677" i="1" s="1"/>
  <c r="AB677" i="1"/>
  <c r="AA677" i="1"/>
  <c r="W677" i="1"/>
  <c r="S677" i="1"/>
  <c r="O677" i="1"/>
  <c r="M677" i="1"/>
  <c r="H677" i="1"/>
  <c r="G677" i="1"/>
  <c r="F677" i="1"/>
  <c r="AO676" i="1"/>
  <c r="AL676" i="1"/>
  <c r="AK676" i="1"/>
  <c r="AF676" i="1"/>
  <c r="AD676" i="1"/>
  <c r="AA676" i="1"/>
  <c r="AE676" i="1" s="1"/>
  <c r="W676" i="1"/>
  <c r="S676" i="1"/>
  <c r="O676" i="1"/>
  <c r="M676" i="1"/>
  <c r="H676" i="1"/>
  <c r="G676" i="1"/>
  <c r="F676" i="1"/>
  <c r="AO675" i="1"/>
  <c r="AD675" i="1" s="1"/>
  <c r="AL675" i="1"/>
  <c r="AK675" i="1"/>
  <c r="AF675" i="1"/>
  <c r="AE675" i="1"/>
  <c r="AI675" i="1" s="1"/>
  <c r="AB675" i="1"/>
  <c r="AA675" i="1"/>
  <c r="W675" i="1"/>
  <c r="S675" i="1"/>
  <c r="O675" i="1"/>
  <c r="M675" i="1"/>
  <c r="H675" i="1"/>
  <c r="G675" i="1"/>
  <c r="F675" i="1"/>
  <c r="AO674" i="1"/>
  <c r="AL674" i="1"/>
  <c r="AK674" i="1"/>
  <c r="AF674" i="1"/>
  <c r="AD674" i="1"/>
  <c r="AA674" i="1"/>
  <c r="AE674" i="1" s="1"/>
  <c r="W674" i="1"/>
  <c r="S674" i="1"/>
  <c r="O674" i="1"/>
  <c r="M674" i="1"/>
  <c r="H674" i="1"/>
  <c r="G674" i="1"/>
  <c r="F674" i="1"/>
  <c r="AO673" i="1"/>
  <c r="AD673" i="1" s="1"/>
  <c r="AL673" i="1"/>
  <c r="AK673" i="1"/>
  <c r="AF673" i="1"/>
  <c r="AE673" i="1"/>
  <c r="AI673" i="1" s="1"/>
  <c r="AB673" i="1"/>
  <c r="AA673" i="1"/>
  <c r="W673" i="1"/>
  <c r="S673" i="1"/>
  <c r="O673" i="1"/>
  <c r="M673" i="1"/>
  <c r="H673" i="1"/>
  <c r="G673" i="1"/>
  <c r="F673" i="1"/>
  <c r="AO672" i="1"/>
  <c r="AL672" i="1"/>
  <c r="AK672" i="1"/>
  <c r="AF672" i="1"/>
  <c r="AD672" i="1"/>
  <c r="AA672" i="1"/>
  <c r="AE672" i="1" s="1"/>
  <c r="W672" i="1"/>
  <c r="S672" i="1"/>
  <c r="O672" i="1"/>
  <c r="M672" i="1"/>
  <c r="H672" i="1"/>
  <c r="G672" i="1"/>
  <c r="F672" i="1"/>
  <c r="AO671" i="1"/>
  <c r="AD671" i="1" s="1"/>
  <c r="AL671" i="1"/>
  <c r="AK671" i="1"/>
  <c r="AF671" i="1"/>
  <c r="AE671" i="1"/>
  <c r="AI671" i="1" s="1"/>
  <c r="AB671" i="1"/>
  <c r="AA671" i="1"/>
  <c r="W671" i="1"/>
  <c r="S671" i="1"/>
  <c r="O671" i="1"/>
  <c r="M671" i="1"/>
  <c r="H671" i="1"/>
  <c r="G671" i="1"/>
  <c r="F671" i="1"/>
  <c r="AO670" i="1"/>
  <c r="AL670" i="1"/>
  <c r="AK670" i="1"/>
  <c r="AF670" i="1"/>
  <c r="AD670" i="1"/>
  <c r="AA670" i="1"/>
  <c r="AE670" i="1" s="1"/>
  <c r="W670" i="1"/>
  <c r="S670" i="1"/>
  <c r="O670" i="1"/>
  <c r="M670" i="1"/>
  <c r="H670" i="1"/>
  <c r="G670" i="1"/>
  <c r="F670" i="1"/>
  <c r="AO669" i="1"/>
  <c r="AD669" i="1" s="1"/>
  <c r="AL669" i="1"/>
  <c r="AK669" i="1"/>
  <c r="AF669" i="1"/>
  <c r="AE669" i="1"/>
  <c r="AI669" i="1" s="1"/>
  <c r="AB669" i="1"/>
  <c r="AA669" i="1"/>
  <c r="W669" i="1"/>
  <c r="S669" i="1"/>
  <c r="O669" i="1"/>
  <c r="M669" i="1"/>
  <c r="H669" i="1"/>
  <c r="G669" i="1"/>
  <c r="F669" i="1"/>
  <c r="AO668" i="1"/>
  <c r="AL668" i="1"/>
  <c r="AK668" i="1"/>
  <c r="AF668" i="1"/>
  <c r="AD668" i="1"/>
  <c r="AA668" i="1"/>
  <c r="AE668" i="1" s="1"/>
  <c r="W668" i="1"/>
  <c r="S668" i="1"/>
  <c r="O668" i="1"/>
  <c r="M668" i="1"/>
  <c r="H668" i="1"/>
  <c r="G668" i="1"/>
  <c r="F668" i="1"/>
  <c r="AO667" i="1"/>
  <c r="AD667" i="1" s="1"/>
  <c r="AL667" i="1"/>
  <c r="AK667" i="1"/>
  <c r="AF667" i="1"/>
  <c r="AE667" i="1"/>
  <c r="AI667" i="1" s="1"/>
  <c r="AB667" i="1"/>
  <c r="AA667" i="1"/>
  <c r="W667" i="1"/>
  <c r="S667" i="1"/>
  <c r="O667" i="1"/>
  <c r="M667" i="1"/>
  <c r="H667" i="1"/>
  <c r="G667" i="1"/>
  <c r="F667" i="1"/>
  <c r="AO666" i="1"/>
  <c r="AL666" i="1"/>
  <c r="AK666" i="1"/>
  <c r="AF666" i="1"/>
  <c r="AD666" i="1"/>
  <c r="AA666" i="1"/>
  <c r="AE666" i="1" s="1"/>
  <c r="W666" i="1"/>
  <c r="S666" i="1"/>
  <c r="O666" i="1"/>
  <c r="M666" i="1"/>
  <c r="H666" i="1"/>
  <c r="G666" i="1"/>
  <c r="F666" i="1"/>
  <c r="AO665" i="1"/>
  <c r="AD665" i="1" s="1"/>
  <c r="AL665" i="1"/>
  <c r="AK665" i="1"/>
  <c r="AF665" i="1"/>
  <c r="AE665" i="1"/>
  <c r="AI665" i="1" s="1"/>
  <c r="AB665" i="1"/>
  <c r="AA665" i="1"/>
  <c r="W665" i="1"/>
  <c r="S665" i="1"/>
  <c r="O665" i="1"/>
  <c r="M665" i="1"/>
  <c r="H665" i="1"/>
  <c r="G665" i="1"/>
  <c r="F665" i="1"/>
  <c r="AO664" i="1"/>
  <c r="AL664" i="1"/>
  <c r="AK664" i="1"/>
  <c r="AF664" i="1"/>
  <c r="AD664" i="1"/>
  <c r="AA664" i="1"/>
  <c r="AE664" i="1" s="1"/>
  <c r="W664" i="1"/>
  <c r="S664" i="1"/>
  <c r="O664" i="1"/>
  <c r="M664" i="1"/>
  <c r="H664" i="1"/>
  <c r="G664" i="1"/>
  <c r="F664" i="1"/>
  <c r="AO663" i="1"/>
  <c r="AD663" i="1" s="1"/>
  <c r="AL663" i="1"/>
  <c r="AK663" i="1"/>
  <c r="AF663" i="1"/>
  <c r="AE663" i="1"/>
  <c r="AI663" i="1" s="1"/>
  <c r="AB663" i="1"/>
  <c r="AA663" i="1"/>
  <c r="W663" i="1"/>
  <c r="S663" i="1"/>
  <c r="O663" i="1"/>
  <c r="M663" i="1"/>
  <c r="H663" i="1"/>
  <c r="G663" i="1"/>
  <c r="F663" i="1"/>
  <c r="AO662" i="1"/>
  <c r="AL662" i="1"/>
  <c r="AK662" i="1"/>
  <c r="AF662" i="1"/>
  <c r="AD662" i="1"/>
  <c r="AA662" i="1"/>
  <c r="AE662" i="1" s="1"/>
  <c r="W662" i="1"/>
  <c r="S662" i="1"/>
  <c r="O662" i="1"/>
  <c r="M662" i="1"/>
  <c r="H662" i="1"/>
  <c r="G662" i="1"/>
  <c r="F662" i="1"/>
  <c r="AO661" i="1"/>
  <c r="AD661" i="1" s="1"/>
  <c r="AL661" i="1"/>
  <c r="AK661" i="1"/>
  <c r="AF661" i="1"/>
  <c r="AE661" i="1"/>
  <c r="AI661" i="1" s="1"/>
  <c r="AB661" i="1"/>
  <c r="AA661" i="1"/>
  <c r="W661" i="1"/>
  <c r="S661" i="1"/>
  <c r="O661" i="1"/>
  <c r="M661" i="1"/>
  <c r="H661" i="1"/>
  <c r="G661" i="1"/>
  <c r="F661" i="1"/>
  <c r="AO660" i="1"/>
  <c r="AL660" i="1"/>
  <c r="AK660" i="1"/>
  <c r="AF660" i="1"/>
  <c r="AD660" i="1"/>
  <c r="AA660" i="1"/>
  <c r="AE660" i="1" s="1"/>
  <c r="W660" i="1"/>
  <c r="S660" i="1"/>
  <c r="O660" i="1"/>
  <c r="M660" i="1"/>
  <c r="H660" i="1"/>
  <c r="G660" i="1"/>
  <c r="F660" i="1"/>
  <c r="AO659" i="1"/>
  <c r="AD659" i="1" s="1"/>
  <c r="AL659" i="1"/>
  <c r="AK659" i="1"/>
  <c r="AF659" i="1"/>
  <c r="AE659" i="1"/>
  <c r="AI659" i="1" s="1"/>
  <c r="AB659" i="1"/>
  <c r="AA659" i="1"/>
  <c r="W659" i="1"/>
  <c r="S659" i="1"/>
  <c r="O659" i="1"/>
  <c r="M659" i="1"/>
  <c r="H659" i="1"/>
  <c r="G659" i="1"/>
  <c r="F659" i="1"/>
  <c r="AO658" i="1"/>
  <c r="AL658" i="1"/>
  <c r="AK658" i="1"/>
  <c r="AF658" i="1"/>
  <c r="AD658" i="1"/>
  <c r="AA658" i="1"/>
  <c r="AE658" i="1" s="1"/>
  <c r="W658" i="1"/>
  <c r="S658" i="1"/>
  <c r="O658" i="1"/>
  <c r="M658" i="1"/>
  <c r="H658" i="1"/>
  <c r="G658" i="1"/>
  <c r="F658" i="1"/>
  <c r="AO657" i="1"/>
  <c r="AD657" i="1" s="1"/>
  <c r="AL657" i="1"/>
  <c r="AK657" i="1"/>
  <c r="AF657" i="1"/>
  <c r="AE657" i="1"/>
  <c r="AI657" i="1" s="1"/>
  <c r="AB657" i="1"/>
  <c r="AA657" i="1"/>
  <c r="W657" i="1"/>
  <c r="S657" i="1"/>
  <c r="O657" i="1"/>
  <c r="M657" i="1"/>
  <c r="H657" i="1"/>
  <c r="G657" i="1"/>
  <c r="F657" i="1"/>
  <c r="AO656" i="1"/>
  <c r="AL656" i="1"/>
  <c r="AK656" i="1"/>
  <c r="AF656" i="1"/>
  <c r="AD656" i="1"/>
  <c r="AA656" i="1"/>
  <c r="AE656" i="1" s="1"/>
  <c r="W656" i="1"/>
  <c r="S656" i="1"/>
  <c r="O656" i="1"/>
  <c r="M656" i="1"/>
  <c r="H656" i="1"/>
  <c r="G656" i="1"/>
  <c r="F656" i="1"/>
  <c r="AO655" i="1"/>
  <c r="AD655" i="1" s="1"/>
  <c r="AL655" i="1"/>
  <c r="AK655" i="1"/>
  <c r="AF655" i="1"/>
  <c r="AE655" i="1"/>
  <c r="AI655" i="1" s="1"/>
  <c r="AB655" i="1"/>
  <c r="AA655" i="1"/>
  <c r="W655" i="1"/>
  <c r="S655" i="1"/>
  <c r="O655" i="1"/>
  <c r="M655" i="1"/>
  <c r="H655" i="1"/>
  <c r="G655" i="1"/>
  <c r="F655" i="1"/>
  <c r="AO654" i="1"/>
  <c r="AL654" i="1"/>
  <c r="AK654" i="1"/>
  <c r="AF654" i="1"/>
  <c r="AD654" i="1"/>
  <c r="AA654" i="1"/>
  <c r="AE654" i="1" s="1"/>
  <c r="W654" i="1"/>
  <c r="S654" i="1"/>
  <c r="O654" i="1"/>
  <c r="M654" i="1"/>
  <c r="H654" i="1"/>
  <c r="G654" i="1"/>
  <c r="F654" i="1"/>
  <c r="AO653" i="1"/>
  <c r="AD653" i="1" s="1"/>
  <c r="AL653" i="1"/>
  <c r="AK653" i="1"/>
  <c r="AF653" i="1"/>
  <c r="AE653" i="1"/>
  <c r="AB653" i="1"/>
  <c r="AA653" i="1"/>
  <c r="W653" i="1"/>
  <c r="S653" i="1"/>
  <c r="O653" i="1"/>
  <c r="M653" i="1"/>
  <c r="H653" i="1"/>
  <c r="G653" i="1"/>
  <c r="F653" i="1"/>
  <c r="AO652" i="1"/>
  <c r="AL652" i="1"/>
  <c r="AK652" i="1"/>
  <c r="AF652" i="1"/>
  <c r="AD652" i="1"/>
  <c r="AA652" i="1"/>
  <c r="W652" i="1"/>
  <c r="S652" i="1"/>
  <c r="O652" i="1"/>
  <c r="M652" i="1"/>
  <c r="H652" i="1"/>
  <c r="G652" i="1"/>
  <c r="F652" i="1"/>
  <c r="AO651" i="1"/>
  <c r="AD651" i="1" s="1"/>
  <c r="AL651" i="1"/>
  <c r="AK651" i="1"/>
  <c r="AF651" i="1"/>
  <c r="AE651" i="1"/>
  <c r="AB651" i="1"/>
  <c r="AA651" i="1"/>
  <c r="W651" i="1"/>
  <c r="S651" i="1"/>
  <c r="O651" i="1"/>
  <c r="M651" i="1"/>
  <c r="H651" i="1"/>
  <c r="G651" i="1"/>
  <c r="F651" i="1"/>
  <c r="AO650" i="1"/>
  <c r="AL650" i="1"/>
  <c r="AK650" i="1"/>
  <c r="AF650" i="1"/>
  <c r="AD650" i="1"/>
  <c r="AA650" i="1"/>
  <c r="W650" i="1"/>
  <c r="S650" i="1"/>
  <c r="O650" i="1"/>
  <c r="M650" i="1"/>
  <c r="H650" i="1"/>
  <c r="G650" i="1"/>
  <c r="F650" i="1"/>
  <c r="AO649" i="1"/>
  <c r="AD649" i="1" s="1"/>
  <c r="AL649" i="1"/>
  <c r="AK649" i="1"/>
  <c r="AF649" i="1"/>
  <c r="AE649" i="1"/>
  <c r="AB649" i="1"/>
  <c r="AA649" i="1"/>
  <c r="W649" i="1"/>
  <c r="S649" i="1"/>
  <c r="O649" i="1"/>
  <c r="M649" i="1"/>
  <c r="H649" i="1"/>
  <c r="G649" i="1"/>
  <c r="F649" i="1"/>
  <c r="AO648" i="1"/>
  <c r="AL648" i="1"/>
  <c r="AK648" i="1"/>
  <c r="AF648" i="1"/>
  <c r="AD648" i="1"/>
  <c r="AA648" i="1"/>
  <c r="W648" i="1"/>
  <c r="S648" i="1"/>
  <c r="O648" i="1"/>
  <c r="M648" i="1"/>
  <c r="H648" i="1"/>
  <c r="G648" i="1"/>
  <c r="F648" i="1"/>
  <c r="AO647" i="1"/>
  <c r="AD647" i="1" s="1"/>
  <c r="AL647" i="1"/>
  <c r="AK647" i="1"/>
  <c r="AF647" i="1"/>
  <c r="AE647" i="1"/>
  <c r="AB647" i="1"/>
  <c r="AA647" i="1"/>
  <c r="W647" i="1"/>
  <c r="S647" i="1"/>
  <c r="O647" i="1"/>
  <c r="M647" i="1"/>
  <c r="H647" i="1"/>
  <c r="G647" i="1"/>
  <c r="F647" i="1"/>
  <c r="AO646" i="1"/>
  <c r="AL646" i="1"/>
  <c r="AK646" i="1"/>
  <c r="AF646" i="1"/>
  <c r="AD646" i="1"/>
  <c r="AA646" i="1"/>
  <c r="W646" i="1"/>
  <c r="S646" i="1"/>
  <c r="O646" i="1"/>
  <c r="M646" i="1"/>
  <c r="H646" i="1"/>
  <c r="G646" i="1"/>
  <c r="F646" i="1"/>
  <c r="AO645" i="1"/>
  <c r="AD645" i="1" s="1"/>
  <c r="AL645" i="1"/>
  <c r="AK645" i="1"/>
  <c r="AF645" i="1"/>
  <c r="AE645" i="1"/>
  <c r="AB645" i="1"/>
  <c r="AA645" i="1"/>
  <c r="W645" i="1"/>
  <c r="S645" i="1"/>
  <c r="O645" i="1"/>
  <c r="M645" i="1"/>
  <c r="H645" i="1"/>
  <c r="G645" i="1"/>
  <c r="F645" i="1"/>
  <c r="AO644" i="1"/>
  <c r="AL644" i="1"/>
  <c r="AK644" i="1"/>
  <c r="AF644" i="1"/>
  <c r="AD644" i="1"/>
  <c r="AA644" i="1"/>
  <c r="W644" i="1"/>
  <c r="S644" i="1"/>
  <c r="O644" i="1"/>
  <c r="M644" i="1"/>
  <c r="H644" i="1"/>
  <c r="G644" i="1"/>
  <c r="F644" i="1"/>
  <c r="AO643" i="1"/>
  <c r="AD643" i="1" s="1"/>
  <c r="AL643" i="1"/>
  <c r="AK643" i="1"/>
  <c r="AF643" i="1"/>
  <c r="AE643" i="1"/>
  <c r="AB643" i="1"/>
  <c r="AA643" i="1"/>
  <c r="W643" i="1"/>
  <c r="S643" i="1"/>
  <c r="O643" i="1"/>
  <c r="M643" i="1"/>
  <c r="H643" i="1"/>
  <c r="G643" i="1"/>
  <c r="F643" i="1"/>
  <c r="AO642" i="1"/>
  <c r="AL642" i="1"/>
  <c r="AK642" i="1"/>
  <c r="AF642" i="1"/>
  <c r="AD642" i="1"/>
  <c r="AA642" i="1"/>
  <c r="W642" i="1"/>
  <c r="S642" i="1"/>
  <c r="O642" i="1"/>
  <c r="M642" i="1"/>
  <c r="H642" i="1"/>
  <c r="G642" i="1"/>
  <c r="F642" i="1"/>
  <c r="AO641" i="1"/>
  <c r="AD641" i="1" s="1"/>
  <c r="AL641" i="1"/>
  <c r="AK641" i="1"/>
  <c r="AF641" i="1"/>
  <c r="AE641" i="1"/>
  <c r="AB641" i="1"/>
  <c r="AA641" i="1"/>
  <c r="W641" i="1"/>
  <c r="S641" i="1"/>
  <c r="O641" i="1"/>
  <c r="M641" i="1"/>
  <c r="H641" i="1"/>
  <c r="G641" i="1"/>
  <c r="F641" i="1"/>
  <c r="AO640" i="1"/>
  <c r="AL640" i="1"/>
  <c r="AK640" i="1"/>
  <c r="AF640" i="1"/>
  <c r="AD640" i="1"/>
  <c r="AA640" i="1"/>
  <c r="W640" i="1"/>
  <c r="S640" i="1"/>
  <c r="O640" i="1"/>
  <c r="M640" i="1"/>
  <c r="H640" i="1"/>
  <c r="G640" i="1"/>
  <c r="F640" i="1"/>
  <c r="AO639" i="1"/>
  <c r="AD639" i="1" s="1"/>
  <c r="AL639" i="1"/>
  <c r="AK639" i="1"/>
  <c r="AF639" i="1"/>
  <c r="AE639" i="1"/>
  <c r="AB639" i="1"/>
  <c r="AA639" i="1"/>
  <c r="W639" i="1"/>
  <c r="S639" i="1"/>
  <c r="O639" i="1"/>
  <c r="M639" i="1"/>
  <c r="H639" i="1"/>
  <c r="G639" i="1"/>
  <c r="F639" i="1"/>
  <c r="AO638" i="1"/>
  <c r="AL638" i="1"/>
  <c r="AK638" i="1"/>
  <c r="AF638" i="1"/>
  <c r="AD638" i="1"/>
  <c r="AA638" i="1"/>
  <c r="W638" i="1"/>
  <c r="S638" i="1"/>
  <c r="O638" i="1"/>
  <c r="M638" i="1"/>
  <c r="H638" i="1"/>
  <c r="G638" i="1"/>
  <c r="F638" i="1"/>
  <c r="AO637" i="1"/>
  <c r="AD637" i="1" s="1"/>
  <c r="AL637" i="1"/>
  <c r="AK637" i="1"/>
  <c r="AF637" i="1"/>
  <c r="AE637" i="1"/>
  <c r="AB637" i="1"/>
  <c r="AA637" i="1"/>
  <c r="W637" i="1"/>
  <c r="S637" i="1"/>
  <c r="O637" i="1"/>
  <c r="M637" i="1"/>
  <c r="H637" i="1"/>
  <c r="G637" i="1"/>
  <c r="F637" i="1"/>
  <c r="AO636" i="1"/>
  <c r="AL636" i="1"/>
  <c r="AK636" i="1"/>
  <c r="AF636" i="1"/>
  <c r="AD636" i="1"/>
  <c r="AA636" i="1"/>
  <c r="W636" i="1"/>
  <c r="S636" i="1"/>
  <c r="O636" i="1"/>
  <c r="M636" i="1"/>
  <c r="H636" i="1"/>
  <c r="G636" i="1"/>
  <c r="F636" i="1"/>
  <c r="AO635" i="1"/>
  <c r="AD635" i="1" s="1"/>
  <c r="AL635" i="1"/>
  <c r="AK635" i="1"/>
  <c r="AF635" i="1"/>
  <c r="AE635" i="1"/>
  <c r="AB635" i="1"/>
  <c r="AA635" i="1"/>
  <c r="W635" i="1"/>
  <c r="S635" i="1"/>
  <c r="O635" i="1"/>
  <c r="M635" i="1"/>
  <c r="H635" i="1"/>
  <c r="G635" i="1"/>
  <c r="F635" i="1"/>
  <c r="AO634" i="1"/>
  <c r="AL634" i="1"/>
  <c r="AK634" i="1"/>
  <c r="AF634" i="1"/>
  <c r="AD634" i="1"/>
  <c r="AA634" i="1"/>
  <c r="W634" i="1"/>
  <c r="S634" i="1"/>
  <c r="O634" i="1"/>
  <c r="M634" i="1"/>
  <c r="H634" i="1"/>
  <c r="G634" i="1"/>
  <c r="F634" i="1"/>
  <c r="AO633" i="1"/>
  <c r="AD633" i="1" s="1"/>
  <c r="AL633" i="1"/>
  <c r="AK633" i="1"/>
  <c r="AF633" i="1"/>
  <c r="AE633" i="1"/>
  <c r="AB633" i="1"/>
  <c r="AA633" i="1"/>
  <c r="W633" i="1"/>
  <c r="S633" i="1"/>
  <c r="O633" i="1"/>
  <c r="M633" i="1"/>
  <c r="H633" i="1"/>
  <c r="G633" i="1"/>
  <c r="F633" i="1"/>
  <c r="AO632" i="1"/>
  <c r="AL632" i="1"/>
  <c r="AK632" i="1"/>
  <c r="AF632" i="1"/>
  <c r="AD632" i="1"/>
  <c r="AA632" i="1"/>
  <c r="W632" i="1"/>
  <c r="S632" i="1"/>
  <c r="O632" i="1"/>
  <c r="M632" i="1"/>
  <c r="H632" i="1"/>
  <c r="G632" i="1"/>
  <c r="F632" i="1"/>
  <c r="AO631" i="1"/>
  <c r="AD631" i="1" s="1"/>
  <c r="AL631" i="1"/>
  <c r="AK631" i="1"/>
  <c r="AF631" i="1"/>
  <c r="AE631" i="1"/>
  <c r="AB631" i="1"/>
  <c r="AA631" i="1"/>
  <c r="W631" i="1"/>
  <c r="S631" i="1"/>
  <c r="O631" i="1"/>
  <c r="M631" i="1"/>
  <c r="H631" i="1"/>
  <c r="G631" i="1"/>
  <c r="F631" i="1"/>
  <c r="AO630" i="1"/>
  <c r="AL630" i="1"/>
  <c r="AK630" i="1"/>
  <c r="AF630" i="1"/>
  <c r="AD630" i="1"/>
  <c r="AA630" i="1"/>
  <c r="W630" i="1"/>
  <c r="S630" i="1"/>
  <c r="O630" i="1"/>
  <c r="M630" i="1"/>
  <c r="H630" i="1"/>
  <c r="G630" i="1"/>
  <c r="F630" i="1"/>
  <c r="AO629" i="1"/>
  <c r="AD629" i="1" s="1"/>
  <c r="AL629" i="1"/>
  <c r="AK629" i="1"/>
  <c r="AF629" i="1"/>
  <c r="AE629" i="1"/>
  <c r="AB629" i="1"/>
  <c r="AA629" i="1"/>
  <c r="W629" i="1"/>
  <c r="S629" i="1"/>
  <c r="O629" i="1"/>
  <c r="M629" i="1"/>
  <c r="H629" i="1"/>
  <c r="G629" i="1"/>
  <c r="F629" i="1"/>
  <c r="AO628" i="1"/>
  <c r="AL628" i="1"/>
  <c r="AK628" i="1"/>
  <c r="AF628" i="1"/>
  <c r="AD628" i="1"/>
  <c r="AA628" i="1"/>
  <c r="W628" i="1"/>
  <c r="S628" i="1"/>
  <c r="O628" i="1"/>
  <c r="M628" i="1"/>
  <c r="H628" i="1"/>
  <c r="G628" i="1"/>
  <c r="F628" i="1"/>
  <c r="AO627" i="1"/>
  <c r="AD627" i="1" s="1"/>
  <c r="AL627" i="1"/>
  <c r="AK627" i="1"/>
  <c r="AF627" i="1"/>
  <c r="AE627" i="1"/>
  <c r="AB627" i="1"/>
  <c r="AA627" i="1"/>
  <c r="W627" i="1"/>
  <c r="S627" i="1"/>
  <c r="O627" i="1"/>
  <c r="M627" i="1"/>
  <c r="H627" i="1"/>
  <c r="G627" i="1"/>
  <c r="F627" i="1"/>
  <c r="AO626" i="1"/>
  <c r="AL626" i="1"/>
  <c r="AK626" i="1"/>
  <c r="AF626" i="1"/>
  <c r="AD626" i="1"/>
  <c r="AA626" i="1"/>
  <c r="W626" i="1"/>
  <c r="S626" i="1"/>
  <c r="O626" i="1"/>
  <c r="M626" i="1"/>
  <c r="H626" i="1"/>
  <c r="G626" i="1"/>
  <c r="F626" i="1"/>
  <c r="AO625" i="1"/>
  <c r="AD625" i="1" s="1"/>
  <c r="AL625" i="1"/>
  <c r="AK625" i="1"/>
  <c r="AF625" i="1"/>
  <c r="AE625" i="1"/>
  <c r="AB625" i="1"/>
  <c r="AA625" i="1"/>
  <c r="W625" i="1"/>
  <c r="S625" i="1"/>
  <c r="O625" i="1"/>
  <c r="M625" i="1"/>
  <c r="H625" i="1"/>
  <c r="G625" i="1"/>
  <c r="F625" i="1"/>
  <c r="AO624" i="1"/>
  <c r="AL624" i="1"/>
  <c r="AK624" i="1"/>
  <c r="AF624" i="1"/>
  <c r="AD624" i="1"/>
  <c r="AA624" i="1"/>
  <c r="W624" i="1"/>
  <c r="S624" i="1"/>
  <c r="O624" i="1"/>
  <c r="M624" i="1"/>
  <c r="H624" i="1"/>
  <c r="G624" i="1"/>
  <c r="F624" i="1"/>
  <c r="AO623" i="1"/>
  <c r="AD623" i="1" s="1"/>
  <c r="AL623" i="1"/>
  <c r="AK623" i="1"/>
  <c r="AF623" i="1"/>
  <c r="AE623" i="1"/>
  <c r="AB623" i="1"/>
  <c r="AA623" i="1"/>
  <c r="W623" i="1"/>
  <c r="S623" i="1"/>
  <c r="O623" i="1"/>
  <c r="M623" i="1"/>
  <c r="H623" i="1"/>
  <c r="G623" i="1"/>
  <c r="F623" i="1"/>
  <c r="AO622" i="1"/>
  <c r="AL622" i="1"/>
  <c r="AK622" i="1"/>
  <c r="AF622" i="1"/>
  <c r="AD622" i="1"/>
  <c r="AA622" i="1"/>
  <c r="W622" i="1"/>
  <c r="S622" i="1"/>
  <c r="O622" i="1"/>
  <c r="M622" i="1"/>
  <c r="H622" i="1"/>
  <c r="G622" i="1"/>
  <c r="F622" i="1"/>
  <c r="AO621" i="1"/>
  <c r="AD621" i="1" s="1"/>
  <c r="AL621" i="1"/>
  <c r="AK621" i="1"/>
  <c r="AF621" i="1"/>
  <c r="AE621" i="1"/>
  <c r="AB621" i="1"/>
  <c r="AA621" i="1"/>
  <c r="W621" i="1"/>
  <c r="S621" i="1"/>
  <c r="O621" i="1"/>
  <c r="M621" i="1"/>
  <c r="H621" i="1"/>
  <c r="G621" i="1"/>
  <c r="F621" i="1"/>
  <c r="AO620" i="1"/>
  <c r="AL620" i="1"/>
  <c r="AK620" i="1"/>
  <c r="AF620" i="1"/>
  <c r="AD620" i="1"/>
  <c r="AA620" i="1"/>
  <c r="W620" i="1"/>
  <c r="S620" i="1"/>
  <c r="O620" i="1"/>
  <c r="M620" i="1"/>
  <c r="H620" i="1"/>
  <c r="G620" i="1"/>
  <c r="F620" i="1"/>
  <c r="AO619" i="1"/>
  <c r="AD619" i="1" s="1"/>
  <c r="AL619" i="1"/>
  <c r="AK619" i="1"/>
  <c r="AF619" i="1"/>
  <c r="AE619" i="1"/>
  <c r="AB619" i="1"/>
  <c r="AA619" i="1"/>
  <c r="W619" i="1"/>
  <c r="S619" i="1"/>
  <c r="O619" i="1"/>
  <c r="M619" i="1"/>
  <c r="H619" i="1"/>
  <c r="G619" i="1"/>
  <c r="F619" i="1"/>
  <c r="AO618" i="1"/>
  <c r="AL618" i="1"/>
  <c r="AK618" i="1"/>
  <c r="AF618" i="1"/>
  <c r="AD618" i="1"/>
  <c r="AA618" i="1"/>
  <c r="W618" i="1"/>
  <c r="S618" i="1"/>
  <c r="O618" i="1"/>
  <c r="M618" i="1"/>
  <c r="H618" i="1"/>
  <c r="G618" i="1"/>
  <c r="F618" i="1"/>
  <c r="AO617" i="1"/>
  <c r="AD617" i="1" s="1"/>
  <c r="AL617" i="1"/>
  <c r="AK617" i="1"/>
  <c r="AF617" i="1"/>
  <c r="AE617" i="1"/>
  <c r="AB617" i="1"/>
  <c r="AA617" i="1"/>
  <c r="W617" i="1"/>
  <c r="S617" i="1"/>
  <c r="O617" i="1"/>
  <c r="M617" i="1"/>
  <c r="H617" i="1"/>
  <c r="G617" i="1"/>
  <c r="F617" i="1"/>
  <c r="AO616" i="1"/>
  <c r="AL616" i="1"/>
  <c r="AK616" i="1"/>
  <c r="AF616" i="1"/>
  <c r="AD616" i="1"/>
  <c r="AA616" i="1"/>
  <c r="W616" i="1"/>
  <c r="S616" i="1"/>
  <c r="O616" i="1"/>
  <c r="M616" i="1"/>
  <c r="H616" i="1"/>
  <c r="G616" i="1"/>
  <c r="F616" i="1"/>
  <c r="AO615" i="1"/>
  <c r="AD615" i="1" s="1"/>
  <c r="AL615" i="1"/>
  <c r="AK615" i="1"/>
  <c r="AF615" i="1"/>
  <c r="AE615" i="1"/>
  <c r="AB615" i="1"/>
  <c r="AA615" i="1"/>
  <c r="W615" i="1"/>
  <c r="S615" i="1"/>
  <c r="O615" i="1"/>
  <c r="M615" i="1"/>
  <c r="H615" i="1"/>
  <c r="G615" i="1"/>
  <c r="F615" i="1"/>
  <c r="AO614" i="1"/>
  <c r="AL614" i="1"/>
  <c r="AK614" i="1"/>
  <c r="AF614" i="1"/>
  <c r="AD614" i="1"/>
  <c r="AA614" i="1"/>
  <c r="W614" i="1"/>
  <c r="S614" i="1"/>
  <c r="O614" i="1"/>
  <c r="M614" i="1"/>
  <c r="H614" i="1"/>
  <c r="G614" i="1"/>
  <c r="F614" i="1"/>
  <c r="AO613" i="1"/>
  <c r="AD613" i="1" s="1"/>
  <c r="AL613" i="1"/>
  <c r="AK613" i="1"/>
  <c r="AF613" i="1"/>
  <c r="AE613" i="1"/>
  <c r="AB613" i="1"/>
  <c r="AA613" i="1"/>
  <c r="W613" i="1"/>
  <c r="S613" i="1"/>
  <c r="O613" i="1"/>
  <c r="M613" i="1"/>
  <c r="H613" i="1"/>
  <c r="G613" i="1"/>
  <c r="F613" i="1"/>
  <c r="AO612" i="1"/>
  <c r="AL612" i="1"/>
  <c r="AK612" i="1"/>
  <c r="AF612" i="1"/>
  <c r="AD612" i="1"/>
  <c r="AA612" i="1"/>
  <c r="W612" i="1"/>
  <c r="S612" i="1"/>
  <c r="O612" i="1"/>
  <c r="M612" i="1"/>
  <c r="H612" i="1"/>
  <c r="G612" i="1"/>
  <c r="F612" i="1"/>
  <c r="AO611" i="1"/>
  <c r="AD611" i="1" s="1"/>
  <c r="AL611" i="1"/>
  <c r="AK611" i="1"/>
  <c r="AF611" i="1"/>
  <c r="AE611" i="1"/>
  <c r="AB611" i="1"/>
  <c r="AA611" i="1"/>
  <c r="W611" i="1"/>
  <c r="S611" i="1"/>
  <c r="O611" i="1"/>
  <c r="M611" i="1"/>
  <c r="H611" i="1"/>
  <c r="G611" i="1"/>
  <c r="F611" i="1"/>
  <c r="AO610" i="1"/>
  <c r="AL610" i="1"/>
  <c r="AK610" i="1"/>
  <c r="AF610" i="1"/>
  <c r="AD610" i="1"/>
  <c r="AA610" i="1"/>
  <c r="W610" i="1"/>
  <c r="S610" i="1"/>
  <c r="O610" i="1"/>
  <c r="M610" i="1"/>
  <c r="H610" i="1"/>
  <c r="G610" i="1"/>
  <c r="F610" i="1"/>
  <c r="AO609" i="1"/>
  <c r="AL609" i="1"/>
  <c r="AK609" i="1"/>
  <c r="AF609" i="1"/>
  <c r="AE609" i="1"/>
  <c r="AD609" i="1"/>
  <c r="AB609" i="1"/>
  <c r="AA609" i="1"/>
  <c r="W609" i="1"/>
  <c r="S609" i="1"/>
  <c r="O609" i="1"/>
  <c r="M609" i="1"/>
  <c r="H609" i="1"/>
  <c r="G609" i="1"/>
  <c r="F609" i="1"/>
  <c r="AO608" i="1"/>
  <c r="AL608" i="1"/>
  <c r="AK608" i="1"/>
  <c r="AF608" i="1"/>
  <c r="AD608" i="1"/>
  <c r="AA608" i="1"/>
  <c r="AE608" i="1" s="1"/>
  <c r="W608" i="1"/>
  <c r="S608" i="1"/>
  <c r="O608" i="1"/>
  <c r="M608" i="1"/>
  <c r="H608" i="1"/>
  <c r="G608" i="1"/>
  <c r="F608" i="1"/>
  <c r="AO607" i="1"/>
  <c r="AD607" i="1" s="1"/>
  <c r="AL607" i="1"/>
  <c r="AK607" i="1"/>
  <c r="AF607" i="1"/>
  <c r="AE607" i="1"/>
  <c r="AB607" i="1"/>
  <c r="AA607" i="1"/>
  <c r="W607" i="1"/>
  <c r="S607" i="1"/>
  <c r="O607" i="1"/>
  <c r="M607" i="1"/>
  <c r="H607" i="1"/>
  <c r="G607" i="1"/>
  <c r="F607" i="1"/>
  <c r="AO606" i="1"/>
  <c r="AL606" i="1"/>
  <c r="AK606" i="1"/>
  <c r="AF606" i="1"/>
  <c r="AD606" i="1"/>
  <c r="AA606" i="1"/>
  <c r="AE606" i="1" s="1"/>
  <c r="W606" i="1"/>
  <c r="S606" i="1"/>
  <c r="O606" i="1"/>
  <c r="M606" i="1"/>
  <c r="H606" i="1"/>
  <c r="G606" i="1"/>
  <c r="F606" i="1"/>
  <c r="AO605" i="1"/>
  <c r="AD605" i="1" s="1"/>
  <c r="AL605" i="1"/>
  <c r="AK605" i="1"/>
  <c r="AF605" i="1"/>
  <c r="AE605" i="1"/>
  <c r="AB605" i="1"/>
  <c r="AA605" i="1"/>
  <c r="W605" i="1"/>
  <c r="S605" i="1"/>
  <c r="O605" i="1"/>
  <c r="M605" i="1"/>
  <c r="H605" i="1"/>
  <c r="G605" i="1"/>
  <c r="F605" i="1"/>
  <c r="AO604" i="1"/>
  <c r="AL604" i="1"/>
  <c r="AK604" i="1"/>
  <c r="AF604" i="1"/>
  <c r="AD604" i="1"/>
  <c r="AA604" i="1"/>
  <c r="AE604" i="1" s="1"/>
  <c r="W604" i="1"/>
  <c r="S604" i="1"/>
  <c r="O604" i="1"/>
  <c r="M604" i="1"/>
  <c r="H604" i="1"/>
  <c r="G604" i="1"/>
  <c r="F604" i="1"/>
  <c r="AO603" i="1"/>
  <c r="AD603" i="1" s="1"/>
  <c r="AL603" i="1"/>
  <c r="AK603" i="1"/>
  <c r="AF603" i="1"/>
  <c r="AE603" i="1"/>
  <c r="AB603" i="1"/>
  <c r="AA603" i="1"/>
  <c r="W603" i="1"/>
  <c r="S603" i="1"/>
  <c r="O603" i="1"/>
  <c r="M603" i="1"/>
  <c r="H603" i="1"/>
  <c r="G603" i="1"/>
  <c r="F603" i="1"/>
  <c r="AO602" i="1"/>
  <c r="AL602" i="1"/>
  <c r="AK602" i="1"/>
  <c r="AF602" i="1"/>
  <c r="AD602" i="1"/>
  <c r="AA602" i="1"/>
  <c r="AE602" i="1" s="1"/>
  <c r="W602" i="1"/>
  <c r="S602" i="1"/>
  <c r="O602" i="1"/>
  <c r="M602" i="1"/>
  <c r="H602" i="1"/>
  <c r="G602" i="1"/>
  <c r="F602" i="1"/>
  <c r="AO601" i="1"/>
  <c r="AD601" i="1" s="1"/>
  <c r="AL601" i="1"/>
  <c r="AK601" i="1"/>
  <c r="AF601" i="1"/>
  <c r="AE601" i="1"/>
  <c r="AB601" i="1"/>
  <c r="AA601" i="1"/>
  <c r="W601" i="1"/>
  <c r="S601" i="1"/>
  <c r="O601" i="1"/>
  <c r="M601" i="1"/>
  <c r="H601" i="1"/>
  <c r="G601" i="1"/>
  <c r="F601" i="1"/>
  <c r="AO600" i="1"/>
  <c r="AL600" i="1"/>
  <c r="AK600" i="1"/>
  <c r="AF600" i="1"/>
  <c r="AD600" i="1"/>
  <c r="AA600" i="1"/>
  <c r="AE600" i="1" s="1"/>
  <c r="W600" i="1"/>
  <c r="S600" i="1"/>
  <c r="O600" i="1"/>
  <c r="M600" i="1"/>
  <c r="H600" i="1"/>
  <c r="G600" i="1"/>
  <c r="F600" i="1"/>
  <c r="AO599" i="1"/>
  <c r="AD599" i="1" s="1"/>
  <c r="AL599" i="1"/>
  <c r="AK599" i="1"/>
  <c r="AF599" i="1"/>
  <c r="AE599" i="1"/>
  <c r="AB599" i="1"/>
  <c r="AA599" i="1"/>
  <c r="W599" i="1"/>
  <c r="S599" i="1"/>
  <c r="O599" i="1"/>
  <c r="M599" i="1"/>
  <c r="H599" i="1"/>
  <c r="G599" i="1"/>
  <c r="F599" i="1"/>
  <c r="AO598" i="1"/>
  <c r="AL598" i="1"/>
  <c r="AK598" i="1"/>
  <c r="AF598" i="1"/>
  <c r="AD598" i="1"/>
  <c r="AA598" i="1"/>
  <c r="AE598" i="1" s="1"/>
  <c r="W598" i="1"/>
  <c r="S598" i="1"/>
  <c r="O598" i="1"/>
  <c r="M598" i="1"/>
  <c r="H598" i="1"/>
  <c r="G598" i="1"/>
  <c r="F598" i="1"/>
  <c r="AO597" i="1"/>
  <c r="AD597" i="1" s="1"/>
  <c r="AL597" i="1"/>
  <c r="AK597" i="1"/>
  <c r="AF597" i="1"/>
  <c r="AE597" i="1"/>
  <c r="AB597" i="1"/>
  <c r="AA597" i="1"/>
  <c r="W597" i="1"/>
  <c r="S597" i="1"/>
  <c r="O597" i="1"/>
  <c r="M597" i="1"/>
  <c r="H597" i="1"/>
  <c r="G597" i="1"/>
  <c r="F597" i="1"/>
  <c r="AO596" i="1"/>
  <c r="AL596" i="1"/>
  <c r="AK596" i="1"/>
  <c r="AF596" i="1"/>
  <c r="AD596" i="1"/>
  <c r="AA596" i="1"/>
  <c r="AE596" i="1" s="1"/>
  <c r="W596" i="1"/>
  <c r="S596" i="1"/>
  <c r="O596" i="1"/>
  <c r="M596" i="1"/>
  <c r="H596" i="1"/>
  <c r="G596" i="1"/>
  <c r="F596" i="1"/>
  <c r="AO595" i="1"/>
  <c r="AD595" i="1" s="1"/>
  <c r="AL595" i="1"/>
  <c r="AK595" i="1"/>
  <c r="AF595" i="1"/>
  <c r="AE595" i="1"/>
  <c r="AB595" i="1"/>
  <c r="AA595" i="1"/>
  <c r="W595" i="1"/>
  <c r="S595" i="1"/>
  <c r="O595" i="1"/>
  <c r="M595" i="1"/>
  <c r="H595" i="1"/>
  <c r="G595" i="1"/>
  <c r="F595" i="1"/>
  <c r="AO594" i="1"/>
  <c r="AL594" i="1"/>
  <c r="AK594" i="1"/>
  <c r="AF594" i="1"/>
  <c r="AD594" i="1"/>
  <c r="AA594" i="1"/>
  <c r="AE594" i="1" s="1"/>
  <c r="W594" i="1"/>
  <c r="S594" i="1"/>
  <c r="O594" i="1"/>
  <c r="M594" i="1"/>
  <c r="H594" i="1"/>
  <c r="G594" i="1"/>
  <c r="F594" i="1"/>
  <c r="AO593" i="1"/>
  <c r="AD593" i="1" s="1"/>
  <c r="AL593" i="1"/>
  <c r="AK593" i="1"/>
  <c r="AF593" i="1"/>
  <c r="AE593" i="1"/>
  <c r="AB593" i="1"/>
  <c r="AA593" i="1"/>
  <c r="W593" i="1"/>
  <c r="S593" i="1"/>
  <c r="O593" i="1"/>
  <c r="M593" i="1"/>
  <c r="H593" i="1"/>
  <c r="G593" i="1"/>
  <c r="F593" i="1"/>
  <c r="AO592" i="1"/>
  <c r="AL592" i="1"/>
  <c r="AK592" i="1"/>
  <c r="AF592" i="1"/>
  <c r="AD592" i="1"/>
  <c r="AA592" i="1"/>
  <c r="AE592" i="1" s="1"/>
  <c r="W592" i="1"/>
  <c r="S592" i="1"/>
  <c r="O592" i="1"/>
  <c r="M592" i="1"/>
  <c r="H592" i="1"/>
  <c r="G592" i="1"/>
  <c r="F592" i="1"/>
  <c r="AO591" i="1"/>
  <c r="AD591" i="1" s="1"/>
  <c r="AL591" i="1"/>
  <c r="AK591" i="1"/>
  <c r="AF591" i="1"/>
  <c r="AE591" i="1"/>
  <c r="AB591" i="1"/>
  <c r="AA591" i="1"/>
  <c r="W591" i="1"/>
  <c r="S591" i="1"/>
  <c r="O591" i="1"/>
  <c r="M591" i="1"/>
  <c r="H591" i="1"/>
  <c r="G591" i="1"/>
  <c r="F591" i="1"/>
  <c r="AO590" i="1"/>
  <c r="AL590" i="1"/>
  <c r="AK590" i="1"/>
  <c r="AF590" i="1"/>
  <c r="AD590" i="1"/>
  <c r="AA590" i="1"/>
  <c r="AE590" i="1" s="1"/>
  <c r="W590" i="1"/>
  <c r="S590" i="1"/>
  <c r="O590" i="1"/>
  <c r="M590" i="1"/>
  <c r="H590" i="1"/>
  <c r="G590" i="1"/>
  <c r="F590" i="1"/>
  <c r="AO589" i="1"/>
  <c r="AD589" i="1" s="1"/>
  <c r="AL589" i="1"/>
  <c r="AK589" i="1"/>
  <c r="AF589" i="1"/>
  <c r="AE589" i="1"/>
  <c r="AB589" i="1"/>
  <c r="AA589" i="1"/>
  <c r="W589" i="1"/>
  <c r="S589" i="1"/>
  <c r="O589" i="1"/>
  <c r="M589" i="1"/>
  <c r="H589" i="1"/>
  <c r="G589" i="1"/>
  <c r="F589" i="1"/>
  <c r="AO588" i="1"/>
  <c r="AL588" i="1"/>
  <c r="AK588" i="1"/>
  <c r="AF588" i="1"/>
  <c r="AD588" i="1"/>
  <c r="AA588" i="1"/>
  <c r="AE588" i="1" s="1"/>
  <c r="W588" i="1"/>
  <c r="S588" i="1"/>
  <c r="O588" i="1"/>
  <c r="M588" i="1"/>
  <c r="H588" i="1"/>
  <c r="G588" i="1"/>
  <c r="F588" i="1"/>
  <c r="AO587" i="1"/>
  <c r="AD587" i="1" s="1"/>
  <c r="AL587" i="1"/>
  <c r="AK587" i="1"/>
  <c r="AF587" i="1"/>
  <c r="AE587" i="1"/>
  <c r="AB587" i="1"/>
  <c r="AA587" i="1"/>
  <c r="W587" i="1"/>
  <c r="S587" i="1"/>
  <c r="O587" i="1"/>
  <c r="M587" i="1"/>
  <c r="H587" i="1"/>
  <c r="G587" i="1"/>
  <c r="F587" i="1"/>
  <c r="AO586" i="1"/>
  <c r="AL586" i="1"/>
  <c r="AK586" i="1"/>
  <c r="AF586" i="1"/>
  <c r="AD586" i="1"/>
  <c r="AA586" i="1"/>
  <c r="AE586" i="1" s="1"/>
  <c r="W586" i="1"/>
  <c r="S586" i="1"/>
  <c r="O586" i="1"/>
  <c r="M586" i="1"/>
  <c r="H586" i="1"/>
  <c r="G586" i="1"/>
  <c r="F586" i="1"/>
  <c r="AO585" i="1"/>
  <c r="AD585" i="1" s="1"/>
  <c r="AL585" i="1"/>
  <c r="AK585" i="1"/>
  <c r="AF585" i="1"/>
  <c r="AE585" i="1"/>
  <c r="AB585" i="1"/>
  <c r="AA585" i="1"/>
  <c r="W585" i="1"/>
  <c r="S585" i="1"/>
  <c r="O585" i="1"/>
  <c r="M585" i="1"/>
  <c r="H585" i="1"/>
  <c r="G585" i="1"/>
  <c r="F585" i="1"/>
  <c r="AO584" i="1"/>
  <c r="AL584" i="1"/>
  <c r="AK584" i="1"/>
  <c r="AF584" i="1"/>
  <c r="AD584" i="1"/>
  <c r="AA584" i="1"/>
  <c r="AE584" i="1" s="1"/>
  <c r="W584" i="1"/>
  <c r="S584" i="1"/>
  <c r="O584" i="1"/>
  <c r="M584" i="1"/>
  <c r="H584" i="1"/>
  <c r="G584" i="1"/>
  <c r="F584" i="1"/>
  <c r="AO583" i="1"/>
  <c r="AD583" i="1" s="1"/>
  <c r="AL583" i="1"/>
  <c r="AK583" i="1"/>
  <c r="AF583" i="1"/>
  <c r="AE583" i="1"/>
  <c r="AB583" i="1"/>
  <c r="AA583" i="1"/>
  <c r="W583" i="1"/>
  <c r="S583" i="1"/>
  <c r="O583" i="1"/>
  <c r="M583" i="1"/>
  <c r="H583" i="1"/>
  <c r="G583" i="1"/>
  <c r="F583" i="1"/>
  <c r="AO582" i="1"/>
  <c r="AL582" i="1"/>
  <c r="AK582" i="1"/>
  <c r="AF582" i="1"/>
  <c r="AD582" i="1"/>
  <c r="AA582" i="1"/>
  <c r="AE582" i="1" s="1"/>
  <c r="W582" i="1"/>
  <c r="S582" i="1"/>
  <c r="O582" i="1"/>
  <c r="M582" i="1"/>
  <c r="H582" i="1"/>
  <c r="G582" i="1"/>
  <c r="F582" i="1"/>
  <c r="AO581" i="1"/>
  <c r="AD581" i="1" s="1"/>
  <c r="AL581" i="1"/>
  <c r="AK581" i="1"/>
  <c r="AF581" i="1"/>
  <c r="AE581" i="1"/>
  <c r="AB581" i="1"/>
  <c r="AA581" i="1"/>
  <c r="W581" i="1"/>
  <c r="S581" i="1"/>
  <c r="O581" i="1"/>
  <c r="M581" i="1"/>
  <c r="H581" i="1"/>
  <c r="G581" i="1"/>
  <c r="F581" i="1"/>
  <c r="AO580" i="1"/>
  <c r="AL580" i="1"/>
  <c r="AK580" i="1"/>
  <c r="AF580" i="1"/>
  <c r="AD580" i="1"/>
  <c r="AA580" i="1"/>
  <c r="AE580" i="1" s="1"/>
  <c r="W580" i="1"/>
  <c r="S580" i="1"/>
  <c r="O580" i="1"/>
  <c r="M580" i="1"/>
  <c r="H580" i="1"/>
  <c r="G580" i="1"/>
  <c r="F580" i="1"/>
  <c r="AO579" i="1"/>
  <c r="AD579" i="1" s="1"/>
  <c r="AL579" i="1"/>
  <c r="AK579" i="1"/>
  <c r="AF579" i="1"/>
  <c r="AE579" i="1"/>
  <c r="AB579" i="1"/>
  <c r="AA579" i="1"/>
  <c r="W579" i="1"/>
  <c r="S579" i="1"/>
  <c r="O579" i="1"/>
  <c r="M579" i="1"/>
  <c r="H579" i="1"/>
  <c r="G579" i="1"/>
  <c r="F579" i="1"/>
  <c r="AO578" i="1"/>
  <c r="AL578" i="1"/>
  <c r="AK578" i="1"/>
  <c r="AF578" i="1"/>
  <c r="AD578" i="1"/>
  <c r="AA578" i="1"/>
  <c r="AE578" i="1" s="1"/>
  <c r="W578" i="1"/>
  <c r="S578" i="1"/>
  <c r="O578" i="1"/>
  <c r="M578" i="1"/>
  <c r="H578" i="1"/>
  <c r="G578" i="1"/>
  <c r="F578" i="1"/>
  <c r="AO577" i="1"/>
  <c r="AD577" i="1" s="1"/>
  <c r="AL577" i="1"/>
  <c r="AK577" i="1"/>
  <c r="AF577" i="1"/>
  <c r="AE577" i="1"/>
  <c r="AB577" i="1"/>
  <c r="AA577" i="1"/>
  <c r="W577" i="1"/>
  <c r="S577" i="1"/>
  <c r="O577" i="1"/>
  <c r="M577" i="1"/>
  <c r="H577" i="1"/>
  <c r="G577" i="1"/>
  <c r="F577" i="1"/>
  <c r="AO576" i="1"/>
  <c r="AL576" i="1"/>
  <c r="AK576" i="1"/>
  <c r="AF576" i="1"/>
  <c r="AD576" i="1"/>
  <c r="AA576" i="1"/>
  <c r="W576" i="1"/>
  <c r="S576" i="1"/>
  <c r="O576" i="1"/>
  <c r="M576" i="1"/>
  <c r="H576" i="1"/>
  <c r="G576" i="1"/>
  <c r="F576" i="1"/>
  <c r="AO575" i="1"/>
  <c r="AD575" i="1" s="1"/>
  <c r="AL575" i="1"/>
  <c r="AK575" i="1"/>
  <c r="AF575" i="1"/>
  <c r="AE575" i="1"/>
  <c r="AB575" i="1"/>
  <c r="AA575" i="1"/>
  <c r="W575" i="1"/>
  <c r="S575" i="1"/>
  <c r="O575" i="1"/>
  <c r="M575" i="1"/>
  <c r="H575" i="1"/>
  <c r="G575" i="1"/>
  <c r="F575" i="1"/>
  <c r="AO574" i="1"/>
  <c r="AL574" i="1"/>
  <c r="AK574" i="1"/>
  <c r="AF574" i="1"/>
  <c r="AD574" i="1"/>
  <c r="AA574" i="1"/>
  <c r="W574" i="1"/>
  <c r="S574" i="1"/>
  <c r="O574" i="1"/>
  <c r="M574" i="1"/>
  <c r="H574" i="1"/>
  <c r="G574" i="1"/>
  <c r="F574" i="1"/>
  <c r="AO573" i="1"/>
  <c r="AD573" i="1" s="1"/>
  <c r="AL573" i="1"/>
  <c r="AK573" i="1"/>
  <c r="AF573" i="1"/>
  <c r="AE573" i="1"/>
  <c r="AB573" i="1"/>
  <c r="AA573" i="1"/>
  <c r="W573" i="1"/>
  <c r="S573" i="1"/>
  <c r="O573" i="1"/>
  <c r="M573" i="1"/>
  <c r="H573" i="1"/>
  <c r="G573" i="1"/>
  <c r="F573" i="1"/>
  <c r="AO572" i="1"/>
  <c r="AL572" i="1"/>
  <c r="AK572" i="1"/>
  <c r="AF572" i="1"/>
  <c r="AD572" i="1"/>
  <c r="AA572" i="1"/>
  <c r="W572" i="1"/>
  <c r="S572" i="1"/>
  <c r="O572" i="1"/>
  <c r="M572" i="1"/>
  <c r="H572" i="1"/>
  <c r="G572" i="1"/>
  <c r="F572" i="1"/>
  <c r="AO571" i="1"/>
  <c r="AD571" i="1" s="1"/>
  <c r="AL571" i="1"/>
  <c r="AK571" i="1"/>
  <c r="AF571" i="1"/>
  <c r="AE571" i="1"/>
  <c r="AB571" i="1"/>
  <c r="AA571" i="1"/>
  <c r="W571" i="1"/>
  <c r="S571" i="1"/>
  <c r="O571" i="1"/>
  <c r="M571" i="1"/>
  <c r="H571" i="1"/>
  <c r="G571" i="1"/>
  <c r="F571" i="1"/>
  <c r="AO570" i="1"/>
  <c r="AL570" i="1"/>
  <c r="AK570" i="1"/>
  <c r="AF570" i="1"/>
  <c r="AD570" i="1"/>
  <c r="AA570" i="1"/>
  <c r="W570" i="1"/>
  <c r="S570" i="1"/>
  <c r="O570" i="1"/>
  <c r="M570" i="1"/>
  <c r="H570" i="1"/>
  <c r="G570" i="1"/>
  <c r="F570" i="1"/>
  <c r="AO569" i="1"/>
  <c r="AD569" i="1" s="1"/>
  <c r="AL569" i="1"/>
  <c r="AK569" i="1"/>
  <c r="AF569" i="1"/>
  <c r="AE569" i="1"/>
  <c r="AB569" i="1"/>
  <c r="AA569" i="1"/>
  <c r="W569" i="1"/>
  <c r="S569" i="1"/>
  <c r="O569" i="1"/>
  <c r="M569" i="1"/>
  <c r="H569" i="1"/>
  <c r="G569" i="1"/>
  <c r="F569" i="1"/>
  <c r="AO568" i="1"/>
  <c r="AL568" i="1"/>
  <c r="AK568" i="1"/>
  <c r="AF568" i="1"/>
  <c r="AD568" i="1"/>
  <c r="AA568" i="1"/>
  <c r="W568" i="1"/>
  <c r="S568" i="1"/>
  <c r="O568" i="1"/>
  <c r="M568" i="1"/>
  <c r="H568" i="1"/>
  <c r="G568" i="1"/>
  <c r="F568" i="1"/>
  <c r="AO567" i="1"/>
  <c r="AD567" i="1" s="1"/>
  <c r="AL567" i="1"/>
  <c r="AK567" i="1"/>
  <c r="AF567" i="1"/>
  <c r="AE567" i="1"/>
  <c r="AB567" i="1"/>
  <c r="AA567" i="1"/>
  <c r="W567" i="1"/>
  <c r="S567" i="1"/>
  <c r="O567" i="1"/>
  <c r="M567" i="1"/>
  <c r="H567" i="1"/>
  <c r="G567" i="1"/>
  <c r="F567" i="1"/>
  <c r="AO566" i="1"/>
  <c r="AL566" i="1"/>
  <c r="AK566" i="1"/>
  <c r="AF566" i="1"/>
  <c r="AD566" i="1"/>
  <c r="AA566" i="1"/>
  <c r="W566" i="1"/>
  <c r="S566" i="1"/>
  <c r="O566" i="1"/>
  <c r="M566" i="1"/>
  <c r="H566" i="1"/>
  <c r="G566" i="1"/>
  <c r="F566" i="1"/>
  <c r="AO565" i="1"/>
  <c r="AD565" i="1" s="1"/>
  <c r="AL565" i="1"/>
  <c r="AK565" i="1"/>
  <c r="AF565" i="1"/>
  <c r="AE565" i="1"/>
  <c r="AB565" i="1"/>
  <c r="AA565" i="1"/>
  <c r="W565" i="1"/>
  <c r="S565" i="1"/>
  <c r="O565" i="1"/>
  <c r="M565" i="1"/>
  <c r="H565" i="1"/>
  <c r="G565" i="1"/>
  <c r="F565" i="1"/>
  <c r="AO564" i="1"/>
  <c r="AL564" i="1"/>
  <c r="AK564" i="1"/>
  <c r="AF564" i="1"/>
  <c r="AD564" i="1"/>
  <c r="AA564" i="1"/>
  <c r="W564" i="1"/>
  <c r="S564" i="1"/>
  <c r="O564" i="1"/>
  <c r="M564" i="1"/>
  <c r="H564" i="1"/>
  <c r="G564" i="1"/>
  <c r="F564" i="1"/>
  <c r="AO563" i="1"/>
  <c r="AD563" i="1" s="1"/>
  <c r="AL563" i="1"/>
  <c r="AK563" i="1"/>
  <c r="AF563" i="1"/>
  <c r="AE563" i="1"/>
  <c r="AB563" i="1"/>
  <c r="AA563" i="1"/>
  <c r="W563" i="1"/>
  <c r="S563" i="1"/>
  <c r="O563" i="1"/>
  <c r="M563" i="1"/>
  <c r="H563" i="1"/>
  <c r="G563" i="1"/>
  <c r="F563" i="1"/>
  <c r="AO562" i="1"/>
  <c r="AL562" i="1"/>
  <c r="AK562" i="1"/>
  <c r="AF562" i="1"/>
  <c r="AD562" i="1"/>
  <c r="AA562" i="1"/>
  <c r="W562" i="1"/>
  <c r="S562" i="1"/>
  <c r="O562" i="1"/>
  <c r="M562" i="1"/>
  <c r="H562" i="1"/>
  <c r="G562" i="1"/>
  <c r="F562" i="1"/>
  <c r="AO561" i="1"/>
  <c r="AD561" i="1" s="1"/>
  <c r="AL561" i="1"/>
  <c r="AK561" i="1"/>
  <c r="AF561" i="1"/>
  <c r="AE561" i="1"/>
  <c r="AB561" i="1"/>
  <c r="AA561" i="1"/>
  <c r="W561" i="1"/>
  <c r="S561" i="1"/>
  <c r="O561" i="1"/>
  <c r="M561" i="1"/>
  <c r="H561" i="1"/>
  <c r="G561" i="1"/>
  <c r="F561" i="1"/>
  <c r="AO560" i="1"/>
  <c r="AL560" i="1"/>
  <c r="AK560" i="1"/>
  <c r="AF560" i="1"/>
  <c r="AD560" i="1"/>
  <c r="AA560" i="1"/>
  <c r="W560" i="1"/>
  <c r="S560" i="1"/>
  <c r="O560" i="1"/>
  <c r="M560" i="1"/>
  <c r="H560" i="1"/>
  <c r="G560" i="1"/>
  <c r="F560" i="1"/>
  <c r="AO559" i="1"/>
  <c r="AD559" i="1" s="1"/>
  <c r="AL559" i="1"/>
  <c r="AK559" i="1"/>
  <c r="AF559" i="1"/>
  <c r="AE559" i="1"/>
  <c r="AB559" i="1"/>
  <c r="AA559" i="1"/>
  <c r="W559" i="1"/>
  <c r="S559" i="1"/>
  <c r="O559" i="1"/>
  <c r="M559" i="1"/>
  <c r="H559" i="1"/>
  <c r="G559" i="1"/>
  <c r="F559" i="1"/>
  <c r="AO558" i="1"/>
  <c r="AL558" i="1"/>
  <c r="AK558" i="1"/>
  <c r="AF558" i="1"/>
  <c r="AE558" i="1"/>
  <c r="AI558" i="1" s="1"/>
  <c r="AD558" i="1"/>
  <c r="AB558" i="1"/>
  <c r="AA558" i="1"/>
  <c r="W558" i="1"/>
  <c r="S558" i="1"/>
  <c r="O558" i="1"/>
  <c r="M558" i="1"/>
  <c r="H558" i="1"/>
  <c r="G558" i="1"/>
  <c r="F558" i="1"/>
  <c r="AO557" i="1"/>
  <c r="AL557" i="1"/>
  <c r="AK557" i="1"/>
  <c r="AF557" i="1"/>
  <c r="AD557" i="1"/>
  <c r="AA557" i="1"/>
  <c r="AE557" i="1" s="1"/>
  <c r="W557" i="1"/>
  <c r="S557" i="1"/>
  <c r="O557" i="1"/>
  <c r="M557" i="1"/>
  <c r="H557" i="1"/>
  <c r="G557" i="1"/>
  <c r="F557" i="1"/>
  <c r="AO556" i="1"/>
  <c r="AD556" i="1" s="1"/>
  <c r="AL556" i="1"/>
  <c r="AK556" i="1"/>
  <c r="AF556" i="1"/>
  <c r="AE556" i="1"/>
  <c r="AB556" i="1"/>
  <c r="AA556" i="1"/>
  <c r="W556" i="1"/>
  <c r="S556" i="1"/>
  <c r="O556" i="1"/>
  <c r="M556" i="1"/>
  <c r="H556" i="1"/>
  <c r="G556" i="1"/>
  <c r="F556" i="1"/>
  <c r="AO555" i="1"/>
  <c r="AL555" i="1"/>
  <c r="AK555" i="1"/>
  <c r="AF555" i="1"/>
  <c r="AD555" i="1"/>
  <c r="AA555" i="1"/>
  <c r="AE555" i="1" s="1"/>
  <c r="W555" i="1"/>
  <c r="S555" i="1"/>
  <c r="O555" i="1"/>
  <c r="M555" i="1"/>
  <c r="H555" i="1"/>
  <c r="G555" i="1"/>
  <c r="F555" i="1"/>
  <c r="AO554" i="1"/>
  <c r="AD554" i="1" s="1"/>
  <c r="AL554" i="1"/>
  <c r="AK554" i="1"/>
  <c r="AF554" i="1"/>
  <c r="AE554" i="1"/>
  <c r="AB554" i="1"/>
  <c r="AA554" i="1"/>
  <c r="W554" i="1"/>
  <c r="S554" i="1"/>
  <c r="O554" i="1"/>
  <c r="M554" i="1"/>
  <c r="H554" i="1"/>
  <c r="G554" i="1"/>
  <c r="F554" i="1"/>
  <c r="AO553" i="1"/>
  <c r="AL553" i="1"/>
  <c r="AK553" i="1"/>
  <c r="AF553" i="1"/>
  <c r="AD553" i="1"/>
  <c r="AA553" i="1"/>
  <c r="AE553" i="1" s="1"/>
  <c r="W553" i="1"/>
  <c r="S553" i="1"/>
  <c r="O553" i="1"/>
  <c r="M553" i="1"/>
  <c r="H553" i="1"/>
  <c r="G553" i="1"/>
  <c r="F553" i="1"/>
  <c r="AO552" i="1"/>
  <c r="AD552" i="1" s="1"/>
  <c r="AL552" i="1"/>
  <c r="AK552" i="1"/>
  <c r="AF552" i="1"/>
  <c r="AE552" i="1"/>
  <c r="AB552" i="1"/>
  <c r="AA552" i="1"/>
  <c r="W552" i="1"/>
  <c r="S552" i="1"/>
  <c r="O552" i="1"/>
  <c r="M552" i="1"/>
  <c r="H552" i="1"/>
  <c r="G552" i="1"/>
  <c r="F552" i="1"/>
  <c r="AO551" i="1"/>
  <c r="AL551" i="1"/>
  <c r="AK551" i="1"/>
  <c r="AF551" i="1"/>
  <c r="AD551" i="1"/>
  <c r="AA551" i="1"/>
  <c r="AE551" i="1" s="1"/>
  <c r="W551" i="1"/>
  <c r="S551" i="1"/>
  <c r="O551" i="1"/>
  <c r="M551" i="1"/>
  <c r="H551" i="1"/>
  <c r="G551" i="1"/>
  <c r="F551" i="1"/>
  <c r="AO550" i="1"/>
  <c r="AD550" i="1" s="1"/>
  <c r="AL550" i="1"/>
  <c r="AK550" i="1"/>
  <c r="AF550" i="1"/>
  <c r="AE550" i="1"/>
  <c r="AB550" i="1"/>
  <c r="AA550" i="1"/>
  <c r="W550" i="1"/>
  <c r="S550" i="1"/>
  <c r="O550" i="1"/>
  <c r="M550" i="1"/>
  <c r="H550" i="1"/>
  <c r="G550" i="1"/>
  <c r="F550" i="1"/>
  <c r="AO549" i="1"/>
  <c r="AL549" i="1"/>
  <c r="AK549" i="1"/>
  <c r="AF549" i="1"/>
  <c r="AD549" i="1"/>
  <c r="AA549" i="1"/>
  <c r="AE549" i="1" s="1"/>
  <c r="W549" i="1"/>
  <c r="S549" i="1"/>
  <c r="O549" i="1"/>
  <c r="M549" i="1"/>
  <c r="H549" i="1"/>
  <c r="G549" i="1"/>
  <c r="F549" i="1"/>
  <c r="AO548" i="1"/>
  <c r="AD548" i="1" s="1"/>
  <c r="AL548" i="1"/>
  <c r="AK548" i="1"/>
  <c r="AF548" i="1"/>
  <c r="AE548" i="1"/>
  <c r="AB548" i="1"/>
  <c r="AA548" i="1"/>
  <c r="W548" i="1"/>
  <c r="S548" i="1"/>
  <c r="O548" i="1"/>
  <c r="M548" i="1"/>
  <c r="H548" i="1"/>
  <c r="G548" i="1"/>
  <c r="F548" i="1"/>
  <c r="AO547" i="1"/>
  <c r="AL547" i="1"/>
  <c r="AK547" i="1"/>
  <c r="AF547" i="1"/>
  <c r="AD547" i="1"/>
  <c r="AA547" i="1"/>
  <c r="AE547" i="1" s="1"/>
  <c r="W547" i="1"/>
  <c r="S547" i="1"/>
  <c r="O547" i="1"/>
  <c r="M547" i="1"/>
  <c r="H547" i="1"/>
  <c r="G547" i="1"/>
  <c r="F547" i="1"/>
  <c r="AO546" i="1"/>
  <c r="AD546" i="1" s="1"/>
  <c r="AL546" i="1"/>
  <c r="AK546" i="1"/>
  <c r="AF546" i="1"/>
  <c r="AE546" i="1"/>
  <c r="AB546" i="1"/>
  <c r="AA546" i="1"/>
  <c r="W546" i="1"/>
  <c r="S546" i="1"/>
  <c r="O546" i="1"/>
  <c r="M546" i="1"/>
  <c r="H546" i="1"/>
  <c r="G546" i="1"/>
  <c r="F546" i="1"/>
  <c r="AO545" i="1"/>
  <c r="AL545" i="1"/>
  <c r="AK545" i="1"/>
  <c r="AF545" i="1"/>
  <c r="AD545" i="1"/>
  <c r="AA545" i="1"/>
  <c r="AE545" i="1" s="1"/>
  <c r="W545" i="1"/>
  <c r="S545" i="1"/>
  <c r="O545" i="1"/>
  <c r="M545" i="1"/>
  <c r="H545" i="1"/>
  <c r="G545" i="1"/>
  <c r="F545" i="1"/>
  <c r="AO544" i="1"/>
  <c r="AD544" i="1" s="1"/>
  <c r="AL544" i="1"/>
  <c r="AK544" i="1"/>
  <c r="AF544" i="1"/>
  <c r="AE544" i="1"/>
  <c r="AB544" i="1"/>
  <c r="AA544" i="1"/>
  <c r="W544" i="1"/>
  <c r="S544" i="1"/>
  <c r="O544" i="1"/>
  <c r="M544" i="1"/>
  <c r="H544" i="1"/>
  <c r="G544" i="1"/>
  <c r="F544" i="1"/>
  <c r="AO543" i="1"/>
  <c r="AL543" i="1"/>
  <c r="AK543" i="1"/>
  <c r="AF543" i="1"/>
  <c r="AD543" i="1"/>
  <c r="AA543" i="1"/>
  <c r="AE543" i="1" s="1"/>
  <c r="W543" i="1"/>
  <c r="S543" i="1"/>
  <c r="O543" i="1"/>
  <c r="M543" i="1"/>
  <c r="H543" i="1"/>
  <c r="G543" i="1"/>
  <c r="F543" i="1"/>
  <c r="AO542" i="1"/>
  <c r="AD542" i="1" s="1"/>
  <c r="AL542" i="1"/>
  <c r="AK542" i="1"/>
  <c r="AF542" i="1"/>
  <c r="AE542" i="1"/>
  <c r="AB542" i="1"/>
  <c r="AA542" i="1"/>
  <c r="W542" i="1"/>
  <c r="S542" i="1"/>
  <c r="O542" i="1"/>
  <c r="M542" i="1"/>
  <c r="H542" i="1"/>
  <c r="G542" i="1"/>
  <c r="F542" i="1"/>
  <c r="AO541" i="1"/>
  <c r="AL541" i="1"/>
  <c r="AK541" i="1"/>
  <c r="AF541" i="1"/>
  <c r="AD541" i="1"/>
  <c r="AA541" i="1"/>
  <c r="AE541" i="1" s="1"/>
  <c r="W541" i="1"/>
  <c r="S541" i="1"/>
  <c r="O541" i="1"/>
  <c r="M541" i="1"/>
  <c r="H541" i="1"/>
  <c r="G541" i="1"/>
  <c r="F541" i="1"/>
  <c r="AO540" i="1"/>
  <c r="AD540" i="1" s="1"/>
  <c r="AL540" i="1"/>
  <c r="AK540" i="1"/>
  <c r="AF540" i="1"/>
  <c r="AE540" i="1"/>
  <c r="AB540" i="1"/>
  <c r="AA540" i="1"/>
  <c r="W540" i="1"/>
  <c r="S540" i="1"/>
  <c r="O540" i="1"/>
  <c r="M540" i="1"/>
  <c r="H540" i="1"/>
  <c r="G540" i="1"/>
  <c r="F540" i="1"/>
  <c r="AO539" i="1"/>
  <c r="AL539" i="1"/>
  <c r="AK539" i="1"/>
  <c r="AF539" i="1"/>
  <c r="AD539" i="1"/>
  <c r="AA539" i="1"/>
  <c r="AE539" i="1" s="1"/>
  <c r="W539" i="1"/>
  <c r="S539" i="1"/>
  <c r="O539" i="1"/>
  <c r="M539" i="1"/>
  <c r="H539" i="1"/>
  <c r="G539" i="1"/>
  <c r="F539" i="1"/>
  <c r="AO538" i="1"/>
  <c r="AD538" i="1" s="1"/>
  <c r="AL538" i="1"/>
  <c r="AK538" i="1"/>
  <c r="AF538" i="1"/>
  <c r="AE538" i="1"/>
  <c r="AB538" i="1"/>
  <c r="AA538" i="1"/>
  <c r="W538" i="1"/>
  <c r="S538" i="1"/>
  <c r="O538" i="1"/>
  <c r="M538" i="1"/>
  <c r="H538" i="1"/>
  <c r="G538" i="1"/>
  <c r="F538" i="1"/>
  <c r="AO537" i="1"/>
  <c r="AL537" i="1"/>
  <c r="AK537" i="1"/>
  <c r="AF537" i="1"/>
  <c r="AD537" i="1"/>
  <c r="AA537" i="1"/>
  <c r="AE537" i="1" s="1"/>
  <c r="W537" i="1"/>
  <c r="S537" i="1"/>
  <c r="O537" i="1"/>
  <c r="M537" i="1"/>
  <c r="H537" i="1"/>
  <c r="G537" i="1"/>
  <c r="F537" i="1"/>
  <c r="AO536" i="1"/>
  <c r="AD536" i="1" s="1"/>
  <c r="AL536" i="1"/>
  <c r="AK536" i="1"/>
  <c r="AF536" i="1"/>
  <c r="AE536" i="1"/>
  <c r="AB536" i="1"/>
  <c r="AA536" i="1"/>
  <c r="W536" i="1"/>
  <c r="S536" i="1"/>
  <c r="O536" i="1"/>
  <c r="M536" i="1"/>
  <c r="H536" i="1"/>
  <c r="G536" i="1"/>
  <c r="F536" i="1"/>
  <c r="AO535" i="1"/>
  <c r="AL535" i="1"/>
  <c r="AK535" i="1"/>
  <c r="AF535" i="1"/>
  <c r="AD535" i="1"/>
  <c r="AA535" i="1"/>
  <c r="AE535" i="1" s="1"/>
  <c r="W535" i="1"/>
  <c r="S535" i="1"/>
  <c r="O535" i="1"/>
  <c r="M535" i="1"/>
  <c r="H535" i="1"/>
  <c r="G535" i="1"/>
  <c r="F535" i="1"/>
  <c r="AO534" i="1"/>
  <c r="AD534" i="1" s="1"/>
  <c r="AL534" i="1"/>
  <c r="AK534" i="1"/>
  <c r="AF534" i="1"/>
  <c r="AE534" i="1"/>
  <c r="AB534" i="1"/>
  <c r="AA534" i="1"/>
  <c r="W534" i="1"/>
  <c r="S534" i="1"/>
  <c r="O534" i="1"/>
  <c r="M534" i="1"/>
  <c r="H534" i="1"/>
  <c r="G534" i="1"/>
  <c r="F534" i="1"/>
  <c r="AO533" i="1"/>
  <c r="AL533" i="1"/>
  <c r="AK533" i="1"/>
  <c r="AF533" i="1"/>
  <c r="AD533" i="1"/>
  <c r="AA533" i="1"/>
  <c r="AE533" i="1" s="1"/>
  <c r="W533" i="1"/>
  <c r="S533" i="1"/>
  <c r="O533" i="1"/>
  <c r="M533" i="1"/>
  <c r="H533" i="1"/>
  <c r="G533" i="1"/>
  <c r="F533" i="1"/>
  <c r="AO532" i="1"/>
  <c r="AD532" i="1" s="1"/>
  <c r="AL532" i="1"/>
  <c r="AK532" i="1"/>
  <c r="AF532" i="1"/>
  <c r="AE532" i="1"/>
  <c r="AB532" i="1"/>
  <c r="AA532" i="1"/>
  <c r="W532" i="1"/>
  <c r="S532" i="1"/>
  <c r="O532" i="1"/>
  <c r="M532" i="1"/>
  <c r="H532" i="1"/>
  <c r="G532" i="1"/>
  <c r="F532" i="1"/>
  <c r="AO531" i="1"/>
  <c r="AL531" i="1"/>
  <c r="AK531" i="1"/>
  <c r="AF531" i="1"/>
  <c r="AD531" i="1"/>
  <c r="AA531" i="1"/>
  <c r="AE531" i="1" s="1"/>
  <c r="W531" i="1"/>
  <c r="S531" i="1"/>
  <c r="O531" i="1"/>
  <c r="M531" i="1"/>
  <c r="H531" i="1"/>
  <c r="G531" i="1"/>
  <c r="F531" i="1"/>
  <c r="AO530" i="1"/>
  <c r="AD530" i="1" s="1"/>
  <c r="AL530" i="1"/>
  <c r="AK530" i="1"/>
  <c r="AF530" i="1"/>
  <c r="AE530" i="1"/>
  <c r="AB530" i="1"/>
  <c r="AA530" i="1"/>
  <c r="W530" i="1"/>
  <c r="S530" i="1"/>
  <c r="O530" i="1"/>
  <c r="M530" i="1"/>
  <c r="H530" i="1"/>
  <c r="G530" i="1"/>
  <c r="F530" i="1"/>
  <c r="AO529" i="1"/>
  <c r="AL529" i="1"/>
  <c r="AK529" i="1"/>
  <c r="AF529" i="1"/>
  <c r="AD529" i="1"/>
  <c r="AA529" i="1"/>
  <c r="AE529" i="1" s="1"/>
  <c r="W529" i="1"/>
  <c r="S529" i="1"/>
  <c r="O529" i="1"/>
  <c r="M529" i="1"/>
  <c r="H529" i="1"/>
  <c r="G529" i="1"/>
  <c r="F529" i="1"/>
  <c r="AO528" i="1"/>
  <c r="AD528" i="1" s="1"/>
  <c r="AL528" i="1"/>
  <c r="AK528" i="1"/>
  <c r="AF528" i="1"/>
  <c r="AE528" i="1"/>
  <c r="AB528" i="1"/>
  <c r="AA528" i="1"/>
  <c r="W528" i="1"/>
  <c r="S528" i="1"/>
  <c r="O528" i="1"/>
  <c r="M528" i="1"/>
  <c r="H528" i="1"/>
  <c r="G528" i="1"/>
  <c r="F528" i="1"/>
  <c r="AO527" i="1"/>
  <c r="AL527" i="1"/>
  <c r="AK527" i="1"/>
  <c r="AF527" i="1"/>
  <c r="AD527" i="1"/>
  <c r="AA527" i="1"/>
  <c r="AE527" i="1" s="1"/>
  <c r="W527" i="1"/>
  <c r="S527" i="1"/>
  <c r="O527" i="1"/>
  <c r="M527" i="1"/>
  <c r="H527" i="1"/>
  <c r="G527" i="1"/>
  <c r="F527" i="1"/>
  <c r="AO526" i="1"/>
  <c r="AD526" i="1" s="1"/>
  <c r="AL526" i="1"/>
  <c r="AK526" i="1"/>
  <c r="AF526" i="1"/>
  <c r="AE526" i="1"/>
  <c r="AB526" i="1"/>
  <c r="AA526" i="1"/>
  <c r="W526" i="1"/>
  <c r="S526" i="1"/>
  <c r="O526" i="1"/>
  <c r="M526" i="1"/>
  <c r="H526" i="1"/>
  <c r="G526" i="1"/>
  <c r="F526" i="1"/>
  <c r="AO525" i="1"/>
  <c r="AL525" i="1"/>
  <c r="AK525" i="1"/>
  <c r="AF525" i="1"/>
  <c r="AD525" i="1"/>
  <c r="AA525" i="1"/>
  <c r="AE525" i="1" s="1"/>
  <c r="W525" i="1"/>
  <c r="S525" i="1"/>
  <c r="O525" i="1"/>
  <c r="M525" i="1"/>
  <c r="H525" i="1"/>
  <c r="G525" i="1"/>
  <c r="F525" i="1"/>
  <c r="AO524" i="1"/>
  <c r="AD524" i="1" s="1"/>
  <c r="AL524" i="1"/>
  <c r="AK524" i="1"/>
  <c r="AF524" i="1"/>
  <c r="AE524" i="1"/>
  <c r="AB524" i="1"/>
  <c r="AA524" i="1"/>
  <c r="W524" i="1"/>
  <c r="S524" i="1"/>
  <c r="O524" i="1"/>
  <c r="M524" i="1"/>
  <c r="H524" i="1"/>
  <c r="G524" i="1"/>
  <c r="F524" i="1"/>
  <c r="AO523" i="1"/>
  <c r="AL523" i="1"/>
  <c r="AK523" i="1"/>
  <c r="AF523" i="1"/>
  <c r="AD523" i="1"/>
  <c r="AA523" i="1"/>
  <c r="AE523" i="1" s="1"/>
  <c r="W523" i="1"/>
  <c r="S523" i="1"/>
  <c r="O523" i="1"/>
  <c r="M523" i="1"/>
  <c r="H523" i="1"/>
  <c r="G523" i="1"/>
  <c r="F523" i="1"/>
  <c r="AO522" i="1"/>
  <c r="AD522" i="1" s="1"/>
  <c r="AL522" i="1"/>
  <c r="AK522" i="1"/>
  <c r="AF522" i="1"/>
  <c r="AE522" i="1"/>
  <c r="AB522" i="1"/>
  <c r="AA522" i="1"/>
  <c r="W522" i="1"/>
  <c r="S522" i="1"/>
  <c r="O522" i="1"/>
  <c r="M522" i="1"/>
  <c r="H522" i="1"/>
  <c r="G522" i="1"/>
  <c r="F522" i="1"/>
  <c r="AO521" i="1"/>
  <c r="AL521" i="1"/>
  <c r="AK521" i="1"/>
  <c r="AF521" i="1"/>
  <c r="AD521" i="1"/>
  <c r="AA521" i="1"/>
  <c r="AE521" i="1" s="1"/>
  <c r="W521" i="1"/>
  <c r="S521" i="1"/>
  <c r="O521" i="1"/>
  <c r="M521" i="1"/>
  <c r="H521" i="1"/>
  <c r="G521" i="1"/>
  <c r="F521" i="1"/>
  <c r="AO520" i="1"/>
  <c r="AD520" i="1" s="1"/>
  <c r="AL520" i="1"/>
  <c r="AK520" i="1"/>
  <c r="AF520" i="1"/>
  <c r="AE520" i="1"/>
  <c r="AB520" i="1"/>
  <c r="AA520" i="1"/>
  <c r="W520" i="1"/>
  <c r="S520" i="1"/>
  <c r="O520" i="1"/>
  <c r="M520" i="1"/>
  <c r="H520" i="1"/>
  <c r="G520" i="1"/>
  <c r="F520" i="1"/>
  <c r="AO519" i="1"/>
  <c r="AL519" i="1"/>
  <c r="AK519" i="1"/>
  <c r="AF519" i="1"/>
  <c r="AD519" i="1"/>
  <c r="AA519" i="1"/>
  <c r="AE519" i="1" s="1"/>
  <c r="W519" i="1"/>
  <c r="S519" i="1"/>
  <c r="O519" i="1"/>
  <c r="M519" i="1"/>
  <c r="H519" i="1"/>
  <c r="G519" i="1"/>
  <c r="F519" i="1"/>
  <c r="AO518" i="1"/>
  <c r="AD518" i="1" s="1"/>
  <c r="AL518" i="1"/>
  <c r="AK518" i="1"/>
  <c r="AF518" i="1"/>
  <c r="AE518" i="1"/>
  <c r="AB518" i="1"/>
  <c r="AA518" i="1"/>
  <c r="W518" i="1"/>
  <c r="S518" i="1"/>
  <c r="O518" i="1"/>
  <c r="M518" i="1"/>
  <c r="H518" i="1"/>
  <c r="G518" i="1"/>
  <c r="F518" i="1"/>
  <c r="AO517" i="1"/>
  <c r="AL517" i="1"/>
  <c r="AK517" i="1"/>
  <c r="AF517" i="1"/>
  <c r="AD517" i="1"/>
  <c r="AA517" i="1"/>
  <c r="AE517" i="1" s="1"/>
  <c r="W517" i="1"/>
  <c r="S517" i="1"/>
  <c r="O517" i="1"/>
  <c r="M517" i="1"/>
  <c r="H517" i="1"/>
  <c r="G517" i="1"/>
  <c r="F517" i="1"/>
  <c r="AO516" i="1"/>
  <c r="AD516" i="1" s="1"/>
  <c r="AL516" i="1"/>
  <c r="AK516" i="1"/>
  <c r="AF516" i="1"/>
  <c r="AE516" i="1"/>
  <c r="AB516" i="1"/>
  <c r="AA516" i="1"/>
  <c r="W516" i="1"/>
  <c r="S516" i="1"/>
  <c r="O516" i="1"/>
  <c r="M516" i="1"/>
  <c r="H516" i="1"/>
  <c r="G516" i="1"/>
  <c r="F516" i="1"/>
  <c r="AO515" i="1"/>
  <c r="AL515" i="1"/>
  <c r="AK515" i="1"/>
  <c r="AF515" i="1"/>
  <c r="AD515" i="1"/>
  <c r="AA515" i="1"/>
  <c r="AE515" i="1" s="1"/>
  <c r="W515" i="1"/>
  <c r="S515" i="1"/>
  <c r="O515" i="1"/>
  <c r="M515" i="1"/>
  <c r="H515" i="1"/>
  <c r="G515" i="1"/>
  <c r="F515" i="1"/>
  <c r="AO514" i="1"/>
  <c r="AD514" i="1" s="1"/>
  <c r="AL514" i="1"/>
  <c r="AK514" i="1"/>
  <c r="AF514" i="1"/>
  <c r="AE514" i="1"/>
  <c r="AB514" i="1"/>
  <c r="AA514" i="1"/>
  <c r="W514" i="1"/>
  <c r="S514" i="1"/>
  <c r="O514" i="1"/>
  <c r="M514" i="1"/>
  <c r="H514" i="1"/>
  <c r="G514" i="1"/>
  <c r="F514" i="1"/>
  <c r="AO513" i="1"/>
  <c r="AL513" i="1"/>
  <c r="AK513" i="1"/>
  <c r="AF513" i="1"/>
  <c r="AD513" i="1"/>
  <c r="AA513" i="1"/>
  <c r="AE513" i="1" s="1"/>
  <c r="W513" i="1"/>
  <c r="S513" i="1"/>
  <c r="O513" i="1"/>
  <c r="M513" i="1"/>
  <c r="H513" i="1"/>
  <c r="G513" i="1"/>
  <c r="F513" i="1"/>
  <c r="AO512" i="1"/>
  <c r="AD512" i="1" s="1"/>
  <c r="AL512" i="1"/>
  <c r="AK512" i="1"/>
  <c r="AF512" i="1"/>
  <c r="AE512" i="1"/>
  <c r="AB512" i="1"/>
  <c r="AA512" i="1"/>
  <c r="W512" i="1"/>
  <c r="S512" i="1"/>
  <c r="O512" i="1"/>
  <c r="M512" i="1"/>
  <c r="H512" i="1"/>
  <c r="G512" i="1"/>
  <c r="F512" i="1"/>
  <c r="AO511" i="1"/>
  <c r="AL511" i="1"/>
  <c r="AK511" i="1"/>
  <c r="AF511" i="1"/>
  <c r="AD511" i="1"/>
  <c r="AA511" i="1"/>
  <c r="AE511" i="1" s="1"/>
  <c r="W511" i="1"/>
  <c r="S511" i="1"/>
  <c r="O511" i="1"/>
  <c r="M511" i="1"/>
  <c r="H511" i="1"/>
  <c r="G511" i="1"/>
  <c r="F511" i="1"/>
  <c r="AO510" i="1"/>
  <c r="AD510" i="1" s="1"/>
  <c r="AL510" i="1"/>
  <c r="AK510" i="1"/>
  <c r="AF510" i="1"/>
  <c r="AE510" i="1"/>
  <c r="AB510" i="1"/>
  <c r="AA510" i="1"/>
  <c r="W510" i="1"/>
  <c r="S510" i="1"/>
  <c r="O510" i="1"/>
  <c r="M510" i="1"/>
  <c r="H510" i="1"/>
  <c r="G510" i="1"/>
  <c r="F510" i="1"/>
  <c r="AO509" i="1"/>
  <c r="AL509" i="1"/>
  <c r="AK509" i="1"/>
  <c r="AF509" i="1"/>
  <c r="AD509" i="1"/>
  <c r="AA509" i="1"/>
  <c r="AE509" i="1" s="1"/>
  <c r="W509" i="1"/>
  <c r="S509" i="1"/>
  <c r="O509" i="1"/>
  <c r="M509" i="1"/>
  <c r="H509" i="1"/>
  <c r="G509" i="1"/>
  <c r="F509" i="1"/>
  <c r="AO508" i="1"/>
  <c r="AD508" i="1" s="1"/>
  <c r="AL508" i="1"/>
  <c r="AK508" i="1"/>
  <c r="AF508" i="1"/>
  <c r="AE508" i="1"/>
  <c r="AB508" i="1"/>
  <c r="AA508" i="1"/>
  <c r="W508" i="1"/>
  <c r="S508" i="1"/>
  <c r="O508" i="1"/>
  <c r="M508" i="1"/>
  <c r="H508" i="1"/>
  <c r="G508" i="1"/>
  <c r="F508" i="1"/>
  <c r="AO507" i="1"/>
  <c r="AL507" i="1"/>
  <c r="AK507" i="1"/>
  <c r="AF507" i="1"/>
  <c r="AD507" i="1"/>
  <c r="AA507" i="1"/>
  <c r="AE507" i="1" s="1"/>
  <c r="W507" i="1"/>
  <c r="S507" i="1"/>
  <c r="O507" i="1"/>
  <c r="M507" i="1"/>
  <c r="H507" i="1"/>
  <c r="G507" i="1"/>
  <c r="F507" i="1"/>
  <c r="AO506" i="1"/>
  <c r="AD506" i="1" s="1"/>
  <c r="AL506" i="1"/>
  <c r="AK506" i="1"/>
  <c r="AF506" i="1"/>
  <c r="AE506" i="1"/>
  <c r="AB506" i="1"/>
  <c r="AA506" i="1"/>
  <c r="W506" i="1"/>
  <c r="S506" i="1"/>
  <c r="O506" i="1"/>
  <c r="M506" i="1"/>
  <c r="H506" i="1"/>
  <c r="G506" i="1"/>
  <c r="F506" i="1"/>
  <c r="AO505" i="1"/>
  <c r="AL505" i="1"/>
  <c r="AK505" i="1"/>
  <c r="AF505" i="1"/>
  <c r="AD505" i="1"/>
  <c r="AA505" i="1"/>
  <c r="AE505" i="1" s="1"/>
  <c r="W505" i="1"/>
  <c r="S505" i="1"/>
  <c r="O505" i="1"/>
  <c r="M505" i="1"/>
  <c r="H505" i="1"/>
  <c r="G505" i="1"/>
  <c r="F505" i="1"/>
  <c r="AO504" i="1"/>
  <c r="AD504" i="1" s="1"/>
  <c r="AL504" i="1"/>
  <c r="AK504" i="1"/>
  <c r="AF504" i="1"/>
  <c r="AE504" i="1"/>
  <c r="AB504" i="1"/>
  <c r="AA504" i="1"/>
  <c r="W504" i="1"/>
  <c r="S504" i="1"/>
  <c r="O504" i="1"/>
  <c r="M504" i="1"/>
  <c r="H504" i="1"/>
  <c r="G504" i="1"/>
  <c r="F504" i="1"/>
  <c r="AO503" i="1"/>
  <c r="AL503" i="1"/>
  <c r="AK503" i="1"/>
  <c r="AF503" i="1"/>
  <c r="AD503" i="1"/>
  <c r="AA503" i="1"/>
  <c r="AE503" i="1" s="1"/>
  <c r="W503" i="1"/>
  <c r="S503" i="1"/>
  <c r="O503" i="1"/>
  <c r="M503" i="1"/>
  <c r="H503" i="1"/>
  <c r="G503" i="1"/>
  <c r="F503" i="1"/>
  <c r="AO502" i="1"/>
  <c r="AD502" i="1" s="1"/>
  <c r="AL502" i="1"/>
  <c r="AK502" i="1"/>
  <c r="AF502" i="1"/>
  <c r="AE502" i="1"/>
  <c r="AB502" i="1"/>
  <c r="AA502" i="1"/>
  <c r="W502" i="1"/>
  <c r="S502" i="1"/>
  <c r="O502" i="1"/>
  <c r="M502" i="1"/>
  <c r="H502" i="1"/>
  <c r="G502" i="1"/>
  <c r="F502" i="1"/>
  <c r="AO501" i="1"/>
  <c r="AL501" i="1"/>
  <c r="AK501" i="1"/>
  <c r="AF501" i="1"/>
  <c r="AD501" i="1"/>
  <c r="AA501" i="1"/>
  <c r="AE501" i="1" s="1"/>
  <c r="W501" i="1"/>
  <c r="S501" i="1"/>
  <c r="O501" i="1"/>
  <c r="M501" i="1"/>
  <c r="H501" i="1"/>
  <c r="G501" i="1"/>
  <c r="F501" i="1"/>
  <c r="AO500" i="1"/>
  <c r="AD500" i="1" s="1"/>
  <c r="AL500" i="1"/>
  <c r="AK500" i="1"/>
  <c r="AF500" i="1"/>
  <c r="AE500" i="1"/>
  <c r="AB500" i="1"/>
  <c r="AA500" i="1"/>
  <c r="W500" i="1"/>
  <c r="S500" i="1"/>
  <c r="O500" i="1"/>
  <c r="M500" i="1"/>
  <c r="H500" i="1"/>
  <c r="G500" i="1"/>
  <c r="F500" i="1"/>
  <c r="AO499" i="1"/>
  <c r="AL499" i="1"/>
  <c r="AK499" i="1"/>
  <c r="AF499" i="1"/>
  <c r="AD499" i="1"/>
  <c r="AA499" i="1"/>
  <c r="AE499" i="1" s="1"/>
  <c r="W499" i="1"/>
  <c r="S499" i="1"/>
  <c r="O499" i="1"/>
  <c r="M499" i="1"/>
  <c r="H499" i="1"/>
  <c r="G499" i="1"/>
  <c r="F499" i="1"/>
  <c r="AO498" i="1"/>
  <c r="AD498" i="1" s="1"/>
  <c r="AL498" i="1"/>
  <c r="AK498" i="1"/>
  <c r="AF498" i="1"/>
  <c r="AE498" i="1"/>
  <c r="AB498" i="1"/>
  <c r="AA498" i="1"/>
  <c r="W498" i="1"/>
  <c r="S498" i="1"/>
  <c r="O498" i="1"/>
  <c r="M498" i="1"/>
  <c r="H498" i="1"/>
  <c r="G498" i="1"/>
  <c r="F498" i="1"/>
  <c r="AO497" i="1"/>
  <c r="AL497" i="1"/>
  <c r="AK497" i="1"/>
  <c r="AF497" i="1"/>
  <c r="AD497" i="1"/>
  <c r="AA497" i="1"/>
  <c r="AE497" i="1" s="1"/>
  <c r="W497" i="1"/>
  <c r="S497" i="1"/>
  <c r="O497" i="1"/>
  <c r="M497" i="1"/>
  <c r="H497" i="1"/>
  <c r="G497" i="1"/>
  <c r="F497" i="1"/>
  <c r="AO496" i="1"/>
  <c r="AD496" i="1" s="1"/>
  <c r="AL496" i="1"/>
  <c r="AK496" i="1"/>
  <c r="AF496" i="1"/>
  <c r="AE496" i="1"/>
  <c r="AB496" i="1"/>
  <c r="AA496" i="1"/>
  <c r="W496" i="1"/>
  <c r="S496" i="1"/>
  <c r="O496" i="1"/>
  <c r="M496" i="1"/>
  <c r="H496" i="1"/>
  <c r="G496" i="1"/>
  <c r="F496" i="1"/>
  <c r="AO495" i="1"/>
  <c r="AL495" i="1"/>
  <c r="AK495" i="1"/>
  <c r="AF495" i="1"/>
  <c r="AD495" i="1"/>
  <c r="AA495" i="1"/>
  <c r="AE495" i="1" s="1"/>
  <c r="W495" i="1"/>
  <c r="S495" i="1"/>
  <c r="O495" i="1"/>
  <c r="M495" i="1"/>
  <c r="H495" i="1"/>
  <c r="G495" i="1"/>
  <c r="F495" i="1"/>
  <c r="AO494" i="1"/>
  <c r="AD494" i="1" s="1"/>
  <c r="AL494" i="1"/>
  <c r="AK494" i="1"/>
  <c r="AF494" i="1"/>
  <c r="AE494" i="1"/>
  <c r="AB494" i="1"/>
  <c r="AA494" i="1"/>
  <c r="W494" i="1"/>
  <c r="S494" i="1"/>
  <c r="O494" i="1"/>
  <c r="M494" i="1"/>
  <c r="H494" i="1"/>
  <c r="G494" i="1"/>
  <c r="F494" i="1"/>
  <c r="AO493" i="1"/>
  <c r="AL493" i="1"/>
  <c r="AK493" i="1"/>
  <c r="AF493" i="1"/>
  <c r="AD493" i="1"/>
  <c r="AA493" i="1"/>
  <c r="AE493" i="1" s="1"/>
  <c r="W493" i="1"/>
  <c r="S493" i="1"/>
  <c r="O493" i="1"/>
  <c r="M493" i="1"/>
  <c r="H493" i="1"/>
  <c r="G493" i="1"/>
  <c r="F493" i="1"/>
  <c r="AO492" i="1"/>
  <c r="AD492" i="1" s="1"/>
  <c r="AL492" i="1"/>
  <c r="AK492" i="1"/>
  <c r="AF492" i="1"/>
  <c r="AE492" i="1"/>
  <c r="AB492" i="1"/>
  <c r="AA492" i="1"/>
  <c r="W492" i="1"/>
  <c r="S492" i="1"/>
  <c r="O492" i="1"/>
  <c r="M492" i="1"/>
  <c r="H492" i="1"/>
  <c r="G492" i="1"/>
  <c r="F492" i="1"/>
  <c r="AO491" i="1"/>
  <c r="AL491" i="1"/>
  <c r="AK491" i="1"/>
  <c r="AF491" i="1"/>
  <c r="AD491" i="1"/>
  <c r="AA491" i="1"/>
  <c r="AE491" i="1" s="1"/>
  <c r="W491" i="1"/>
  <c r="S491" i="1"/>
  <c r="O491" i="1"/>
  <c r="M491" i="1"/>
  <c r="H491" i="1"/>
  <c r="G491" i="1"/>
  <c r="F491" i="1"/>
  <c r="AO490" i="1"/>
  <c r="AD490" i="1" s="1"/>
  <c r="AL490" i="1"/>
  <c r="AK490" i="1"/>
  <c r="AF490" i="1"/>
  <c r="AE490" i="1"/>
  <c r="AB490" i="1"/>
  <c r="AA490" i="1"/>
  <c r="W490" i="1"/>
  <c r="S490" i="1"/>
  <c r="O490" i="1"/>
  <c r="M490" i="1"/>
  <c r="H490" i="1"/>
  <c r="G490" i="1"/>
  <c r="F490" i="1"/>
  <c r="AO489" i="1"/>
  <c r="AL489" i="1"/>
  <c r="AK489" i="1"/>
  <c r="AF489" i="1"/>
  <c r="AD489" i="1"/>
  <c r="AA489" i="1"/>
  <c r="AE489" i="1" s="1"/>
  <c r="W489" i="1"/>
  <c r="S489" i="1"/>
  <c r="O489" i="1"/>
  <c r="M489" i="1"/>
  <c r="H489" i="1"/>
  <c r="G489" i="1"/>
  <c r="F489" i="1"/>
  <c r="AO488" i="1"/>
  <c r="AD488" i="1" s="1"/>
  <c r="AL488" i="1"/>
  <c r="AK488" i="1"/>
  <c r="AF488" i="1"/>
  <c r="AE488" i="1"/>
  <c r="AB488" i="1"/>
  <c r="AA488" i="1"/>
  <c r="W488" i="1"/>
  <c r="S488" i="1"/>
  <c r="O488" i="1"/>
  <c r="M488" i="1"/>
  <c r="H488" i="1"/>
  <c r="G488" i="1"/>
  <c r="F488" i="1"/>
  <c r="AO487" i="1"/>
  <c r="AL487" i="1"/>
  <c r="AK487" i="1"/>
  <c r="AF487" i="1"/>
  <c r="AD487" i="1"/>
  <c r="AA487" i="1"/>
  <c r="AE487" i="1" s="1"/>
  <c r="W487" i="1"/>
  <c r="S487" i="1"/>
  <c r="O487" i="1"/>
  <c r="M487" i="1"/>
  <c r="H487" i="1"/>
  <c r="G487" i="1"/>
  <c r="F487" i="1"/>
  <c r="AO486" i="1"/>
  <c r="AD486" i="1" s="1"/>
  <c r="AL486" i="1"/>
  <c r="AK486" i="1"/>
  <c r="AF486" i="1"/>
  <c r="AE486" i="1"/>
  <c r="AB486" i="1"/>
  <c r="AA486" i="1"/>
  <c r="W486" i="1"/>
  <c r="S486" i="1"/>
  <c r="O486" i="1"/>
  <c r="M486" i="1"/>
  <c r="H486" i="1"/>
  <c r="G486" i="1"/>
  <c r="F486" i="1"/>
  <c r="AO485" i="1"/>
  <c r="AL485" i="1"/>
  <c r="AK485" i="1"/>
  <c r="AF485" i="1"/>
  <c r="AD485" i="1"/>
  <c r="AA485" i="1"/>
  <c r="AE485" i="1" s="1"/>
  <c r="W485" i="1"/>
  <c r="S485" i="1"/>
  <c r="O485" i="1"/>
  <c r="M485" i="1"/>
  <c r="H485" i="1"/>
  <c r="G485" i="1"/>
  <c r="F485" i="1"/>
  <c r="AO484" i="1"/>
  <c r="AD484" i="1" s="1"/>
  <c r="AL484" i="1"/>
  <c r="AK484" i="1"/>
  <c r="AF484" i="1"/>
  <c r="AE484" i="1"/>
  <c r="AB484" i="1"/>
  <c r="AA484" i="1"/>
  <c r="W484" i="1"/>
  <c r="S484" i="1"/>
  <c r="O484" i="1"/>
  <c r="M484" i="1"/>
  <c r="H484" i="1"/>
  <c r="G484" i="1"/>
  <c r="F484" i="1"/>
  <c r="AO483" i="1"/>
  <c r="AL483" i="1"/>
  <c r="AK483" i="1"/>
  <c r="AF483" i="1"/>
  <c r="AD483" i="1"/>
  <c r="AA483" i="1"/>
  <c r="AE483" i="1" s="1"/>
  <c r="W483" i="1"/>
  <c r="S483" i="1"/>
  <c r="O483" i="1"/>
  <c r="M483" i="1"/>
  <c r="H483" i="1"/>
  <c r="G483" i="1"/>
  <c r="F483" i="1"/>
  <c r="AO482" i="1"/>
  <c r="AD482" i="1" s="1"/>
  <c r="AL482" i="1"/>
  <c r="AK482" i="1"/>
  <c r="AF482" i="1"/>
  <c r="AE482" i="1"/>
  <c r="AB482" i="1"/>
  <c r="AA482" i="1"/>
  <c r="W482" i="1"/>
  <c r="S482" i="1"/>
  <c r="O482" i="1"/>
  <c r="M482" i="1"/>
  <c r="H482" i="1"/>
  <c r="G482" i="1"/>
  <c r="F482" i="1"/>
  <c r="AO481" i="1"/>
  <c r="AL481" i="1"/>
  <c r="AK481" i="1"/>
  <c r="AF481" i="1"/>
  <c r="AD481" i="1"/>
  <c r="AA481" i="1"/>
  <c r="AE481" i="1" s="1"/>
  <c r="W481" i="1"/>
  <c r="S481" i="1"/>
  <c r="O481" i="1"/>
  <c r="M481" i="1"/>
  <c r="H481" i="1"/>
  <c r="G481" i="1"/>
  <c r="F481" i="1"/>
  <c r="AO480" i="1"/>
  <c r="AD480" i="1" s="1"/>
  <c r="AL480" i="1"/>
  <c r="AK480" i="1"/>
  <c r="AF480" i="1"/>
  <c r="AE480" i="1"/>
  <c r="AB480" i="1"/>
  <c r="AA480" i="1"/>
  <c r="W480" i="1"/>
  <c r="S480" i="1"/>
  <c r="O480" i="1"/>
  <c r="M480" i="1"/>
  <c r="H480" i="1"/>
  <c r="G480" i="1"/>
  <c r="F480" i="1"/>
  <c r="AO479" i="1"/>
  <c r="AL479" i="1"/>
  <c r="AK479" i="1"/>
  <c r="AF479" i="1"/>
  <c r="AD479" i="1"/>
  <c r="AA479" i="1"/>
  <c r="AE479" i="1" s="1"/>
  <c r="W479" i="1"/>
  <c r="S479" i="1"/>
  <c r="O479" i="1"/>
  <c r="M479" i="1"/>
  <c r="H479" i="1"/>
  <c r="G479" i="1"/>
  <c r="F479" i="1"/>
  <c r="AO478" i="1"/>
  <c r="AD478" i="1" s="1"/>
  <c r="AL478" i="1"/>
  <c r="AK478" i="1"/>
  <c r="AF478" i="1"/>
  <c r="AE478" i="1"/>
  <c r="AB478" i="1"/>
  <c r="AA478" i="1"/>
  <c r="W478" i="1"/>
  <c r="S478" i="1"/>
  <c r="O478" i="1"/>
  <c r="M478" i="1"/>
  <c r="H478" i="1"/>
  <c r="G478" i="1"/>
  <c r="F478" i="1"/>
  <c r="AO477" i="1"/>
  <c r="AL477" i="1"/>
  <c r="AK477" i="1"/>
  <c r="AF477" i="1"/>
  <c r="AD477" i="1"/>
  <c r="AA477" i="1"/>
  <c r="AE477" i="1" s="1"/>
  <c r="W477" i="1"/>
  <c r="S477" i="1"/>
  <c r="O477" i="1"/>
  <c r="M477" i="1"/>
  <c r="H477" i="1"/>
  <c r="G477" i="1"/>
  <c r="F477" i="1"/>
  <c r="AO476" i="1"/>
  <c r="AD476" i="1" s="1"/>
  <c r="AL476" i="1"/>
  <c r="AK476" i="1"/>
  <c r="AF476" i="1"/>
  <c r="AE476" i="1"/>
  <c r="AB476" i="1"/>
  <c r="AA476" i="1"/>
  <c r="W476" i="1"/>
  <c r="S476" i="1"/>
  <c r="O476" i="1"/>
  <c r="M476" i="1"/>
  <c r="H476" i="1"/>
  <c r="G476" i="1"/>
  <c r="F476" i="1"/>
  <c r="AO475" i="1"/>
  <c r="AL475" i="1"/>
  <c r="AK475" i="1"/>
  <c r="AF475" i="1"/>
  <c r="AD475" i="1"/>
  <c r="AA475" i="1"/>
  <c r="AE475" i="1" s="1"/>
  <c r="W475" i="1"/>
  <c r="S475" i="1"/>
  <c r="O475" i="1"/>
  <c r="M475" i="1"/>
  <c r="H475" i="1"/>
  <c r="G475" i="1"/>
  <c r="F475" i="1"/>
  <c r="AO474" i="1"/>
  <c r="AD474" i="1" s="1"/>
  <c r="AL474" i="1"/>
  <c r="AK474" i="1"/>
  <c r="AF474" i="1"/>
  <c r="AE474" i="1"/>
  <c r="AB474" i="1"/>
  <c r="AA474" i="1"/>
  <c r="W474" i="1"/>
  <c r="S474" i="1"/>
  <c r="O474" i="1"/>
  <c r="M474" i="1"/>
  <c r="H474" i="1"/>
  <c r="G474" i="1"/>
  <c r="F474" i="1"/>
  <c r="AO473" i="1"/>
  <c r="AL473" i="1"/>
  <c r="AK473" i="1"/>
  <c r="AF473" i="1"/>
  <c r="AD473" i="1"/>
  <c r="AA473" i="1"/>
  <c r="AE473" i="1" s="1"/>
  <c r="W473" i="1"/>
  <c r="S473" i="1"/>
  <c r="O473" i="1"/>
  <c r="M473" i="1"/>
  <c r="H473" i="1"/>
  <c r="G473" i="1"/>
  <c r="F473" i="1"/>
  <c r="AO472" i="1"/>
  <c r="AD472" i="1" s="1"/>
  <c r="AL472" i="1"/>
  <c r="AK472" i="1"/>
  <c r="AF472" i="1"/>
  <c r="AE472" i="1"/>
  <c r="AB472" i="1"/>
  <c r="AA472" i="1"/>
  <c r="W472" i="1"/>
  <c r="S472" i="1"/>
  <c r="O472" i="1"/>
  <c r="M472" i="1"/>
  <c r="H472" i="1"/>
  <c r="G472" i="1"/>
  <c r="F472" i="1"/>
  <c r="AO471" i="1"/>
  <c r="AL471" i="1"/>
  <c r="AK471" i="1"/>
  <c r="AF471" i="1"/>
  <c r="AD471" i="1"/>
  <c r="AA471" i="1"/>
  <c r="AE471" i="1" s="1"/>
  <c r="W471" i="1"/>
  <c r="S471" i="1"/>
  <c r="O471" i="1"/>
  <c r="M471" i="1"/>
  <c r="H471" i="1"/>
  <c r="G471" i="1"/>
  <c r="F471" i="1"/>
  <c r="AO470" i="1"/>
  <c r="AD470" i="1" s="1"/>
  <c r="AL470" i="1"/>
  <c r="AK470" i="1"/>
  <c r="AF470" i="1"/>
  <c r="AE470" i="1"/>
  <c r="AB470" i="1"/>
  <c r="AA470" i="1"/>
  <c r="W470" i="1"/>
  <c r="S470" i="1"/>
  <c r="O470" i="1"/>
  <c r="M470" i="1"/>
  <c r="H470" i="1"/>
  <c r="G470" i="1"/>
  <c r="F470" i="1"/>
  <c r="AO469" i="1"/>
  <c r="AL469" i="1"/>
  <c r="AK469" i="1"/>
  <c r="AF469" i="1"/>
  <c r="AD469" i="1"/>
  <c r="AA469" i="1"/>
  <c r="AE469" i="1" s="1"/>
  <c r="W469" i="1"/>
  <c r="S469" i="1"/>
  <c r="O469" i="1"/>
  <c r="M469" i="1"/>
  <c r="H469" i="1"/>
  <c r="G469" i="1"/>
  <c r="F469" i="1"/>
  <c r="AO468" i="1"/>
  <c r="AD468" i="1" s="1"/>
  <c r="AL468" i="1"/>
  <c r="AK468" i="1"/>
  <c r="AF468" i="1"/>
  <c r="AE468" i="1"/>
  <c r="AB468" i="1"/>
  <c r="AA468" i="1"/>
  <c r="W468" i="1"/>
  <c r="S468" i="1"/>
  <c r="O468" i="1"/>
  <c r="M468" i="1"/>
  <c r="H468" i="1"/>
  <c r="G468" i="1"/>
  <c r="F468" i="1"/>
  <c r="AO467" i="1"/>
  <c r="AL467" i="1"/>
  <c r="AK467" i="1"/>
  <c r="AF467" i="1"/>
  <c r="AD467" i="1"/>
  <c r="AA467" i="1"/>
  <c r="AE467" i="1" s="1"/>
  <c r="W467" i="1"/>
  <c r="S467" i="1"/>
  <c r="O467" i="1"/>
  <c r="M467" i="1"/>
  <c r="H467" i="1"/>
  <c r="G467" i="1"/>
  <c r="F467" i="1"/>
  <c r="AO466" i="1"/>
  <c r="AD466" i="1" s="1"/>
  <c r="AL466" i="1"/>
  <c r="AK466" i="1"/>
  <c r="AF466" i="1"/>
  <c r="AE466" i="1"/>
  <c r="AB466" i="1"/>
  <c r="AA466" i="1"/>
  <c r="W466" i="1"/>
  <c r="S466" i="1"/>
  <c r="O466" i="1"/>
  <c r="M466" i="1"/>
  <c r="H466" i="1"/>
  <c r="G466" i="1"/>
  <c r="F466" i="1"/>
  <c r="AO465" i="1"/>
  <c r="AL465" i="1"/>
  <c r="AK465" i="1"/>
  <c r="AF465" i="1"/>
  <c r="AD465" i="1"/>
  <c r="AA465" i="1"/>
  <c r="AE465" i="1" s="1"/>
  <c r="W465" i="1"/>
  <c r="S465" i="1"/>
  <c r="O465" i="1"/>
  <c r="M465" i="1"/>
  <c r="H465" i="1"/>
  <c r="G465" i="1"/>
  <c r="F465" i="1"/>
  <c r="AO464" i="1"/>
  <c r="AD464" i="1" s="1"/>
  <c r="AL464" i="1"/>
  <c r="AK464" i="1"/>
  <c r="AF464" i="1"/>
  <c r="AE464" i="1"/>
  <c r="AB464" i="1"/>
  <c r="AA464" i="1"/>
  <c r="W464" i="1"/>
  <c r="S464" i="1"/>
  <c r="O464" i="1"/>
  <c r="M464" i="1"/>
  <c r="H464" i="1"/>
  <c r="G464" i="1"/>
  <c r="F464" i="1"/>
  <c r="AO463" i="1"/>
  <c r="AL463" i="1"/>
  <c r="AK463" i="1"/>
  <c r="AF463" i="1"/>
  <c r="AD463" i="1"/>
  <c r="AA463" i="1"/>
  <c r="AE463" i="1" s="1"/>
  <c r="W463" i="1"/>
  <c r="S463" i="1"/>
  <c r="O463" i="1"/>
  <c r="M463" i="1"/>
  <c r="H463" i="1"/>
  <c r="G463" i="1"/>
  <c r="F463" i="1"/>
  <c r="AO462" i="1"/>
  <c r="AD462" i="1" s="1"/>
  <c r="AL462" i="1"/>
  <c r="AK462" i="1"/>
  <c r="AF462" i="1"/>
  <c r="AE462" i="1"/>
  <c r="AB462" i="1"/>
  <c r="AA462" i="1"/>
  <c r="W462" i="1"/>
  <c r="S462" i="1"/>
  <c r="O462" i="1"/>
  <c r="M462" i="1"/>
  <c r="H462" i="1"/>
  <c r="G462" i="1"/>
  <c r="F462" i="1"/>
  <c r="AO461" i="1"/>
  <c r="AL461" i="1"/>
  <c r="AK461" i="1"/>
  <c r="AF461" i="1"/>
  <c r="AD461" i="1"/>
  <c r="AA461" i="1"/>
  <c r="AE461" i="1" s="1"/>
  <c r="W461" i="1"/>
  <c r="S461" i="1"/>
  <c r="O461" i="1"/>
  <c r="M461" i="1"/>
  <c r="H461" i="1"/>
  <c r="G461" i="1"/>
  <c r="F461" i="1"/>
  <c r="AO460" i="1"/>
  <c r="AD460" i="1" s="1"/>
  <c r="AL460" i="1"/>
  <c r="AK460" i="1"/>
  <c r="AF460" i="1"/>
  <c r="AE460" i="1"/>
  <c r="AB460" i="1"/>
  <c r="AA460" i="1"/>
  <c r="W460" i="1"/>
  <c r="S460" i="1"/>
  <c r="O460" i="1"/>
  <c r="M460" i="1"/>
  <c r="H460" i="1"/>
  <c r="G460" i="1"/>
  <c r="F460" i="1"/>
  <c r="AO459" i="1"/>
  <c r="AL459" i="1"/>
  <c r="AK459" i="1"/>
  <c r="AF459" i="1"/>
  <c r="AD459" i="1"/>
  <c r="AA459" i="1"/>
  <c r="W459" i="1"/>
  <c r="S459" i="1"/>
  <c r="O459" i="1"/>
  <c r="M459" i="1"/>
  <c r="H459" i="1"/>
  <c r="G459" i="1"/>
  <c r="F459" i="1"/>
  <c r="AO458" i="1"/>
  <c r="AD458" i="1" s="1"/>
  <c r="AL458" i="1"/>
  <c r="AK458" i="1"/>
  <c r="AF458" i="1"/>
  <c r="AE458" i="1"/>
  <c r="AB458" i="1"/>
  <c r="AA458" i="1"/>
  <c r="W458" i="1"/>
  <c r="S458" i="1"/>
  <c r="O458" i="1"/>
  <c r="M458" i="1"/>
  <c r="H458" i="1"/>
  <c r="G458" i="1"/>
  <c r="F458" i="1"/>
  <c r="AO457" i="1"/>
  <c r="AL457" i="1"/>
  <c r="AK457" i="1"/>
  <c r="AF457" i="1"/>
  <c r="AD457" i="1"/>
  <c r="AA457" i="1"/>
  <c r="W457" i="1"/>
  <c r="S457" i="1"/>
  <c r="O457" i="1"/>
  <c r="M457" i="1"/>
  <c r="H457" i="1"/>
  <c r="G457" i="1"/>
  <c r="F457" i="1"/>
  <c r="AO456" i="1"/>
  <c r="AD456" i="1" s="1"/>
  <c r="AL456" i="1"/>
  <c r="AK456" i="1"/>
  <c r="AF456" i="1"/>
  <c r="AE456" i="1"/>
  <c r="AB456" i="1"/>
  <c r="AA456" i="1"/>
  <c r="W456" i="1"/>
  <c r="S456" i="1"/>
  <c r="O456" i="1"/>
  <c r="M456" i="1"/>
  <c r="H456" i="1"/>
  <c r="G456" i="1"/>
  <c r="F456" i="1"/>
  <c r="AO455" i="1"/>
  <c r="AL455" i="1"/>
  <c r="AK455" i="1"/>
  <c r="AF455" i="1"/>
  <c r="AD455" i="1"/>
  <c r="AA455" i="1"/>
  <c r="W455" i="1"/>
  <c r="S455" i="1"/>
  <c r="O455" i="1"/>
  <c r="M455" i="1"/>
  <c r="H455" i="1"/>
  <c r="G455" i="1"/>
  <c r="F455" i="1"/>
  <c r="AO454" i="1"/>
  <c r="AD454" i="1" s="1"/>
  <c r="AL454" i="1"/>
  <c r="AK454" i="1"/>
  <c r="AF454" i="1"/>
  <c r="AE454" i="1"/>
  <c r="AB454" i="1"/>
  <c r="AA454" i="1"/>
  <c r="W454" i="1"/>
  <c r="S454" i="1"/>
  <c r="O454" i="1"/>
  <c r="M454" i="1"/>
  <c r="H454" i="1"/>
  <c r="G454" i="1"/>
  <c r="F454" i="1"/>
  <c r="AO453" i="1"/>
  <c r="AL453" i="1"/>
  <c r="AK453" i="1"/>
  <c r="AF453" i="1"/>
  <c r="AD453" i="1"/>
  <c r="AA453" i="1"/>
  <c r="W453" i="1"/>
  <c r="S453" i="1"/>
  <c r="O453" i="1"/>
  <c r="M453" i="1"/>
  <c r="H453" i="1"/>
  <c r="G453" i="1"/>
  <c r="F453" i="1"/>
  <c r="AO452" i="1"/>
  <c r="AD452" i="1" s="1"/>
  <c r="AL452" i="1"/>
  <c r="AK452" i="1"/>
  <c r="AF452" i="1"/>
  <c r="AE452" i="1"/>
  <c r="AB452" i="1"/>
  <c r="AA452" i="1"/>
  <c r="W452" i="1"/>
  <c r="S452" i="1"/>
  <c r="O452" i="1"/>
  <c r="M452" i="1"/>
  <c r="H452" i="1"/>
  <c r="G452" i="1"/>
  <c r="F452" i="1"/>
  <c r="AO451" i="1"/>
  <c r="AL451" i="1"/>
  <c r="AK451" i="1"/>
  <c r="AF451" i="1"/>
  <c r="AD451" i="1"/>
  <c r="AA451" i="1"/>
  <c r="W451" i="1"/>
  <c r="S451" i="1"/>
  <c r="O451" i="1"/>
  <c r="M451" i="1"/>
  <c r="H451" i="1"/>
  <c r="G451" i="1"/>
  <c r="F451" i="1"/>
  <c r="AO450" i="1"/>
  <c r="AD450" i="1" s="1"/>
  <c r="AL450" i="1"/>
  <c r="AK450" i="1"/>
  <c r="AF450" i="1"/>
  <c r="AE450" i="1"/>
  <c r="AB450" i="1"/>
  <c r="AA450" i="1"/>
  <c r="W450" i="1"/>
  <c r="S450" i="1"/>
  <c r="O450" i="1"/>
  <c r="M450" i="1"/>
  <c r="H450" i="1"/>
  <c r="G450" i="1"/>
  <c r="F450" i="1"/>
  <c r="AO449" i="1"/>
  <c r="AL449" i="1"/>
  <c r="AK449" i="1"/>
  <c r="AF449" i="1"/>
  <c r="AD449" i="1"/>
  <c r="AA449" i="1"/>
  <c r="W449" i="1"/>
  <c r="S449" i="1"/>
  <c r="O449" i="1"/>
  <c r="M449" i="1"/>
  <c r="H449" i="1"/>
  <c r="G449" i="1"/>
  <c r="F449" i="1"/>
  <c r="AO448" i="1"/>
  <c r="AD448" i="1" s="1"/>
  <c r="AL448" i="1"/>
  <c r="AK448" i="1"/>
  <c r="AF448" i="1"/>
  <c r="AE448" i="1"/>
  <c r="AB448" i="1"/>
  <c r="AA448" i="1"/>
  <c r="W448" i="1"/>
  <c r="S448" i="1"/>
  <c r="O448" i="1"/>
  <c r="M448" i="1"/>
  <c r="H448" i="1"/>
  <c r="G448" i="1"/>
  <c r="F448" i="1"/>
  <c r="AO447" i="1"/>
  <c r="AL447" i="1"/>
  <c r="AK447" i="1"/>
  <c r="AF447" i="1"/>
  <c r="AD447" i="1"/>
  <c r="AA447" i="1"/>
  <c r="W447" i="1"/>
  <c r="S447" i="1"/>
  <c r="O447" i="1"/>
  <c r="M447" i="1"/>
  <c r="H447" i="1"/>
  <c r="G447" i="1"/>
  <c r="F447" i="1"/>
  <c r="AO446" i="1"/>
  <c r="AD446" i="1" s="1"/>
  <c r="AL446" i="1"/>
  <c r="AK446" i="1"/>
  <c r="AF446" i="1"/>
  <c r="AE446" i="1"/>
  <c r="AB446" i="1"/>
  <c r="AA446" i="1"/>
  <c r="W446" i="1"/>
  <c r="S446" i="1"/>
  <c r="O446" i="1"/>
  <c r="M446" i="1"/>
  <c r="H446" i="1"/>
  <c r="G446" i="1"/>
  <c r="F446" i="1"/>
  <c r="AO445" i="1"/>
  <c r="AL445" i="1"/>
  <c r="AK445" i="1"/>
  <c r="AF445" i="1"/>
  <c r="AD445" i="1"/>
  <c r="AA445" i="1"/>
  <c r="W445" i="1"/>
  <c r="S445" i="1"/>
  <c r="O445" i="1"/>
  <c r="M445" i="1"/>
  <c r="H445" i="1"/>
  <c r="G445" i="1"/>
  <c r="F445" i="1"/>
  <c r="AO444" i="1"/>
  <c r="AD444" i="1" s="1"/>
  <c r="AL444" i="1"/>
  <c r="AK444" i="1"/>
  <c r="AF444" i="1"/>
  <c r="AE444" i="1"/>
  <c r="AB444" i="1"/>
  <c r="AA444" i="1"/>
  <c r="W444" i="1"/>
  <c r="S444" i="1"/>
  <c r="O444" i="1"/>
  <c r="M444" i="1"/>
  <c r="H444" i="1"/>
  <c r="G444" i="1"/>
  <c r="F444" i="1"/>
  <c r="AO443" i="1"/>
  <c r="AL443" i="1"/>
  <c r="AK443" i="1"/>
  <c r="AF443" i="1"/>
  <c r="AD443" i="1"/>
  <c r="AA443" i="1"/>
  <c r="W443" i="1"/>
  <c r="S443" i="1"/>
  <c r="O443" i="1"/>
  <c r="M443" i="1"/>
  <c r="H443" i="1"/>
  <c r="G443" i="1"/>
  <c r="F443" i="1"/>
  <c r="AO442" i="1"/>
  <c r="AD442" i="1" s="1"/>
  <c r="AL442" i="1"/>
  <c r="AK442" i="1"/>
  <c r="AF442" i="1"/>
  <c r="AE442" i="1"/>
  <c r="AB442" i="1"/>
  <c r="AA442" i="1"/>
  <c r="W442" i="1"/>
  <c r="S442" i="1"/>
  <c r="O442" i="1"/>
  <c r="M442" i="1"/>
  <c r="H442" i="1"/>
  <c r="G442" i="1"/>
  <c r="F442" i="1"/>
  <c r="AO441" i="1"/>
  <c r="AL441" i="1"/>
  <c r="AK441" i="1"/>
  <c r="AF441" i="1"/>
  <c r="AD441" i="1"/>
  <c r="AA441" i="1"/>
  <c r="W441" i="1"/>
  <c r="S441" i="1"/>
  <c r="O441" i="1"/>
  <c r="M441" i="1"/>
  <c r="H441" i="1"/>
  <c r="G441" i="1"/>
  <c r="F441" i="1"/>
  <c r="AO440" i="1"/>
  <c r="AD440" i="1" s="1"/>
  <c r="AL440" i="1"/>
  <c r="AK440" i="1"/>
  <c r="AF440" i="1"/>
  <c r="AE440" i="1"/>
  <c r="AB440" i="1"/>
  <c r="AA440" i="1"/>
  <c r="W440" i="1"/>
  <c r="S440" i="1"/>
  <c r="O440" i="1"/>
  <c r="M440" i="1"/>
  <c r="H440" i="1"/>
  <c r="G440" i="1"/>
  <c r="F440" i="1"/>
  <c r="AO439" i="1"/>
  <c r="AL439" i="1"/>
  <c r="AK439" i="1"/>
  <c r="AF439" i="1"/>
  <c r="AD439" i="1"/>
  <c r="AA439" i="1"/>
  <c r="W439" i="1"/>
  <c r="S439" i="1"/>
  <c r="O439" i="1"/>
  <c r="M439" i="1"/>
  <c r="H439" i="1"/>
  <c r="G439" i="1"/>
  <c r="F439" i="1"/>
  <c r="AO438" i="1"/>
  <c r="AD438" i="1" s="1"/>
  <c r="AL438" i="1"/>
  <c r="AK438" i="1"/>
  <c r="AF438" i="1"/>
  <c r="AE438" i="1"/>
  <c r="AB438" i="1"/>
  <c r="AA438" i="1"/>
  <c r="W438" i="1"/>
  <c r="S438" i="1"/>
  <c r="O438" i="1"/>
  <c r="M438" i="1"/>
  <c r="H438" i="1"/>
  <c r="G438" i="1"/>
  <c r="F438" i="1"/>
  <c r="AO437" i="1"/>
  <c r="AL437" i="1"/>
  <c r="AK437" i="1"/>
  <c r="AF437" i="1"/>
  <c r="AD437" i="1"/>
  <c r="AA437" i="1"/>
  <c r="W437" i="1"/>
  <c r="S437" i="1"/>
  <c r="O437" i="1"/>
  <c r="M437" i="1"/>
  <c r="H437" i="1"/>
  <c r="G437" i="1"/>
  <c r="F437" i="1"/>
  <c r="AO436" i="1"/>
  <c r="AD436" i="1" s="1"/>
  <c r="AL436" i="1"/>
  <c r="AK436" i="1"/>
  <c r="AF436" i="1"/>
  <c r="AE436" i="1"/>
  <c r="AB436" i="1"/>
  <c r="AA436" i="1"/>
  <c r="W436" i="1"/>
  <c r="S436" i="1"/>
  <c r="O436" i="1"/>
  <c r="M436" i="1"/>
  <c r="H436" i="1"/>
  <c r="G436" i="1"/>
  <c r="F436" i="1"/>
  <c r="AO435" i="1"/>
  <c r="AL435" i="1"/>
  <c r="AK435" i="1"/>
  <c r="AF435" i="1"/>
  <c r="AD435" i="1"/>
  <c r="AA435" i="1"/>
  <c r="W435" i="1"/>
  <c r="S435" i="1"/>
  <c r="O435" i="1"/>
  <c r="M435" i="1"/>
  <c r="H435" i="1"/>
  <c r="G435" i="1"/>
  <c r="F435" i="1"/>
  <c r="AO434" i="1"/>
  <c r="AD434" i="1" s="1"/>
  <c r="AL434" i="1"/>
  <c r="AK434" i="1"/>
  <c r="AF434" i="1"/>
  <c r="AE434" i="1"/>
  <c r="AB434" i="1"/>
  <c r="AA434" i="1"/>
  <c r="W434" i="1"/>
  <c r="S434" i="1"/>
  <c r="O434" i="1"/>
  <c r="M434" i="1"/>
  <c r="H434" i="1"/>
  <c r="G434" i="1"/>
  <c r="F434" i="1"/>
  <c r="AO433" i="1"/>
  <c r="AL433" i="1"/>
  <c r="AK433" i="1"/>
  <c r="AF433" i="1"/>
  <c r="AD433" i="1"/>
  <c r="AA433" i="1"/>
  <c r="W433" i="1"/>
  <c r="S433" i="1"/>
  <c r="O433" i="1"/>
  <c r="M433" i="1"/>
  <c r="H433" i="1"/>
  <c r="G433" i="1"/>
  <c r="F433" i="1"/>
  <c r="AO432" i="1"/>
  <c r="AL432" i="1"/>
  <c r="AK432" i="1"/>
  <c r="AF432" i="1"/>
  <c r="AD432" i="1"/>
  <c r="AA432" i="1"/>
  <c r="AE432" i="1" s="1"/>
  <c r="W432" i="1"/>
  <c r="S432" i="1"/>
  <c r="O432" i="1"/>
  <c r="M432" i="1"/>
  <c r="H432" i="1"/>
  <c r="G432" i="1"/>
  <c r="F432" i="1"/>
  <c r="AO431" i="1"/>
  <c r="AD431" i="1" s="1"/>
  <c r="AL431" i="1"/>
  <c r="AK431" i="1"/>
  <c r="AF431" i="1"/>
  <c r="AE431" i="1"/>
  <c r="AI431" i="1" s="1"/>
  <c r="AB431" i="1"/>
  <c r="AA431" i="1"/>
  <c r="W431" i="1"/>
  <c r="S431" i="1"/>
  <c r="O431" i="1"/>
  <c r="M431" i="1"/>
  <c r="H431" i="1"/>
  <c r="G431" i="1"/>
  <c r="F431" i="1"/>
  <c r="AO430" i="1"/>
  <c r="AL430" i="1"/>
  <c r="AK430" i="1"/>
  <c r="AF430" i="1"/>
  <c r="AD430" i="1"/>
  <c r="AA430" i="1"/>
  <c r="AE430" i="1" s="1"/>
  <c r="W430" i="1"/>
  <c r="S430" i="1"/>
  <c r="O430" i="1"/>
  <c r="M430" i="1"/>
  <c r="H430" i="1"/>
  <c r="G430" i="1"/>
  <c r="F430" i="1"/>
  <c r="AO429" i="1"/>
  <c r="AD429" i="1" s="1"/>
  <c r="AL429" i="1"/>
  <c r="AK429" i="1"/>
  <c r="AF429" i="1"/>
  <c r="AE429" i="1"/>
  <c r="AI429" i="1" s="1"/>
  <c r="AB429" i="1"/>
  <c r="AA429" i="1"/>
  <c r="W429" i="1"/>
  <c r="S429" i="1"/>
  <c r="O429" i="1"/>
  <c r="M429" i="1"/>
  <c r="H429" i="1"/>
  <c r="G429" i="1"/>
  <c r="F429" i="1"/>
  <c r="AO428" i="1"/>
  <c r="AL428" i="1"/>
  <c r="AK428" i="1"/>
  <c r="AF428" i="1"/>
  <c r="AD428" i="1"/>
  <c r="AA428" i="1"/>
  <c r="AE428" i="1" s="1"/>
  <c r="W428" i="1"/>
  <c r="S428" i="1"/>
  <c r="O428" i="1"/>
  <c r="M428" i="1"/>
  <c r="H428" i="1"/>
  <c r="G428" i="1"/>
  <c r="F428" i="1"/>
  <c r="AO427" i="1"/>
  <c r="AD427" i="1" s="1"/>
  <c r="AL427" i="1"/>
  <c r="AK427" i="1"/>
  <c r="AF427" i="1"/>
  <c r="AE427" i="1"/>
  <c r="AI427" i="1" s="1"/>
  <c r="AB427" i="1"/>
  <c r="AA427" i="1"/>
  <c r="W427" i="1"/>
  <c r="S427" i="1"/>
  <c r="O427" i="1"/>
  <c r="M427" i="1"/>
  <c r="H427" i="1"/>
  <c r="G427" i="1"/>
  <c r="F427" i="1"/>
  <c r="AO426" i="1"/>
  <c r="AL426" i="1"/>
  <c r="AK426" i="1"/>
  <c r="AF426" i="1"/>
  <c r="AD426" i="1"/>
  <c r="AA426" i="1"/>
  <c r="AE426" i="1" s="1"/>
  <c r="W426" i="1"/>
  <c r="S426" i="1"/>
  <c r="O426" i="1"/>
  <c r="M426" i="1"/>
  <c r="H426" i="1"/>
  <c r="G426" i="1"/>
  <c r="F426" i="1"/>
  <c r="AO425" i="1"/>
  <c r="AD425" i="1" s="1"/>
  <c r="AL425" i="1"/>
  <c r="AK425" i="1"/>
  <c r="AF425" i="1"/>
  <c r="AE425" i="1"/>
  <c r="AI425" i="1" s="1"/>
  <c r="AB425" i="1"/>
  <c r="AA425" i="1"/>
  <c r="W425" i="1"/>
  <c r="S425" i="1"/>
  <c r="O425" i="1"/>
  <c r="M425" i="1"/>
  <c r="H425" i="1"/>
  <c r="G425" i="1"/>
  <c r="F425" i="1"/>
  <c r="AO424" i="1"/>
  <c r="AL424" i="1"/>
  <c r="AK424" i="1"/>
  <c r="AF424" i="1"/>
  <c r="AD424" i="1"/>
  <c r="AA424" i="1"/>
  <c r="AE424" i="1" s="1"/>
  <c r="W424" i="1"/>
  <c r="S424" i="1"/>
  <c r="O424" i="1"/>
  <c r="M424" i="1"/>
  <c r="H424" i="1"/>
  <c r="G424" i="1"/>
  <c r="F424" i="1"/>
  <c r="AO423" i="1"/>
  <c r="AD423" i="1" s="1"/>
  <c r="AL423" i="1"/>
  <c r="AK423" i="1"/>
  <c r="AF423" i="1"/>
  <c r="AE423" i="1"/>
  <c r="AI423" i="1" s="1"/>
  <c r="AB423" i="1"/>
  <c r="AA423" i="1"/>
  <c r="W423" i="1"/>
  <c r="S423" i="1"/>
  <c r="O423" i="1"/>
  <c r="M423" i="1"/>
  <c r="H423" i="1"/>
  <c r="G423" i="1"/>
  <c r="F423" i="1"/>
  <c r="AO422" i="1"/>
  <c r="AL422" i="1"/>
  <c r="AK422" i="1"/>
  <c r="AF422" i="1"/>
  <c r="AD422" i="1"/>
  <c r="AA422" i="1"/>
  <c r="AE422" i="1" s="1"/>
  <c r="W422" i="1"/>
  <c r="S422" i="1"/>
  <c r="O422" i="1"/>
  <c r="M422" i="1"/>
  <c r="H422" i="1"/>
  <c r="G422" i="1"/>
  <c r="F422" i="1"/>
  <c r="AO421" i="1"/>
  <c r="AD421" i="1" s="1"/>
  <c r="AL421" i="1"/>
  <c r="AK421" i="1"/>
  <c r="AF421" i="1"/>
  <c r="AE421" i="1"/>
  <c r="AI421" i="1" s="1"/>
  <c r="AB421" i="1"/>
  <c r="AA421" i="1"/>
  <c r="W421" i="1"/>
  <c r="S421" i="1"/>
  <c r="O421" i="1"/>
  <c r="M421" i="1"/>
  <c r="H421" i="1"/>
  <c r="G421" i="1"/>
  <c r="F421" i="1"/>
  <c r="AO420" i="1"/>
  <c r="AL420" i="1"/>
  <c r="AK420" i="1"/>
  <c r="AF420" i="1"/>
  <c r="AD420" i="1"/>
  <c r="AA420" i="1"/>
  <c r="AE420" i="1" s="1"/>
  <c r="W420" i="1"/>
  <c r="S420" i="1"/>
  <c r="O420" i="1"/>
  <c r="M420" i="1"/>
  <c r="H420" i="1"/>
  <c r="G420" i="1"/>
  <c r="F420" i="1"/>
  <c r="AO419" i="1"/>
  <c r="AD419" i="1" s="1"/>
  <c r="AL419" i="1"/>
  <c r="AK419" i="1"/>
  <c r="AF419" i="1"/>
  <c r="AE419" i="1"/>
  <c r="AI419" i="1" s="1"/>
  <c r="AB419" i="1"/>
  <c r="AA419" i="1"/>
  <c r="W419" i="1"/>
  <c r="S419" i="1"/>
  <c r="O419" i="1"/>
  <c r="M419" i="1"/>
  <c r="H419" i="1"/>
  <c r="G419" i="1"/>
  <c r="F419" i="1"/>
  <c r="AO418" i="1"/>
  <c r="AL418" i="1"/>
  <c r="AK418" i="1"/>
  <c r="AF418" i="1"/>
  <c r="AD418" i="1"/>
  <c r="AA418" i="1"/>
  <c r="AE418" i="1" s="1"/>
  <c r="W418" i="1"/>
  <c r="S418" i="1"/>
  <c r="O418" i="1"/>
  <c r="M418" i="1"/>
  <c r="H418" i="1"/>
  <c r="G418" i="1"/>
  <c r="F418" i="1"/>
  <c r="AO417" i="1"/>
  <c r="AD417" i="1" s="1"/>
  <c r="AL417" i="1"/>
  <c r="AK417" i="1"/>
  <c r="AF417" i="1"/>
  <c r="AE417" i="1"/>
  <c r="AI417" i="1" s="1"/>
  <c r="AB417" i="1"/>
  <c r="AA417" i="1"/>
  <c r="W417" i="1"/>
  <c r="S417" i="1"/>
  <c r="O417" i="1"/>
  <c r="M417" i="1"/>
  <c r="H417" i="1"/>
  <c r="G417" i="1"/>
  <c r="F417" i="1"/>
  <c r="AO416" i="1"/>
  <c r="AL416" i="1"/>
  <c r="AK416" i="1"/>
  <c r="AF416" i="1"/>
  <c r="AD416" i="1"/>
  <c r="AA416" i="1"/>
  <c r="AE416" i="1" s="1"/>
  <c r="W416" i="1"/>
  <c r="S416" i="1"/>
  <c r="O416" i="1"/>
  <c r="M416" i="1"/>
  <c r="H416" i="1"/>
  <c r="G416" i="1"/>
  <c r="F416" i="1"/>
  <c r="AO415" i="1"/>
  <c r="AD415" i="1" s="1"/>
  <c r="AL415" i="1"/>
  <c r="AK415" i="1"/>
  <c r="AF415" i="1"/>
  <c r="AE415" i="1"/>
  <c r="AI415" i="1" s="1"/>
  <c r="AB415" i="1"/>
  <c r="AA415" i="1"/>
  <c r="W415" i="1"/>
  <c r="S415" i="1"/>
  <c r="O415" i="1"/>
  <c r="M415" i="1"/>
  <c r="H415" i="1"/>
  <c r="G415" i="1"/>
  <c r="F415" i="1"/>
  <c r="AO414" i="1"/>
  <c r="AL414" i="1"/>
  <c r="AK414" i="1"/>
  <c r="AF414" i="1"/>
  <c r="AD414" i="1"/>
  <c r="AA414" i="1"/>
  <c r="AE414" i="1" s="1"/>
  <c r="W414" i="1"/>
  <c r="S414" i="1"/>
  <c r="O414" i="1"/>
  <c r="M414" i="1"/>
  <c r="H414" i="1"/>
  <c r="G414" i="1"/>
  <c r="F414" i="1"/>
  <c r="AO413" i="1"/>
  <c r="AD413" i="1" s="1"/>
  <c r="AL413" i="1"/>
  <c r="AK413" i="1"/>
  <c r="AF413" i="1"/>
  <c r="AE413" i="1"/>
  <c r="AI413" i="1" s="1"/>
  <c r="AB413" i="1"/>
  <c r="AA413" i="1"/>
  <c r="W413" i="1"/>
  <c r="S413" i="1"/>
  <c r="O413" i="1"/>
  <c r="M413" i="1"/>
  <c r="H413" i="1"/>
  <c r="G413" i="1"/>
  <c r="F413" i="1"/>
  <c r="AO412" i="1"/>
  <c r="AL412" i="1"/>
  <c r="AK412" i="1"/>
  <c r="AF412" i="1"/>
  <c r="AD412" i="1"/>
  <c r="AA412" i="1"/>
  <c r="AE412" i="1" s="1"/>
  <c r="W412" i="1"/>
  <c r="S412" i="1"/>
  <c r="O412" i="1"/>
  <c r="M412" i="1"/>
  <c r="H412" i="1"/>
  <c r="G412" i="1"/>
  <c r="F412" i="1"/>
  <c r="AO411" i="1"/>
  <c r="AD411" i="1" s="1"/>
  <c r="AL411" i="1"/>
  <c r="AK411" i="1"/>
  <c r="AF411" i="1"/>
  <c r="AE411" i="1"/>
  <c r="AI411" i="1" s="1"/>
  <c r="AB411" i="1"/>
  <c r="AA411" i="1"/>
  <c r="W411" i="1"/>
  <c r="S411" i="1"/>
  <c r="O411" i="1"/>
  <c r="M411" i="1"/>
  <c r="H411" i="1"/>
  <c r="G411" i="1"/>
  <c r="F411" i="1"/>
  <c r="AO410" i="1"/>
  <c r="AL410" i="1"/>
  <c r="AK410" i="1"/>
  <c r="AF410" i="1"/>
  <c r="AD410" i="1"/>
  <c r="AA410" i="1"/>
  <c r="AE410" i="1" s="1"/>
  <c r="W410" i="1"/>
  <c r="S410" i="1"/>
  <c r="O410" i="1"/>
  <c r="M410" i="1"/>
  <c r="H410" i="1"/>
  <c r="G410" i="1"/>
  <c r="F410" i="1"/>
  <c r="AO409" i="1"/>
  <c r="AD409" i="1" s="1"/>
  <c r="AL409" i="1"/>
  <c r="AK409" i="1"/>
  <c r="AF409" i="1"/>
  <c r="AE409" i="1"/>
  <c r="AI409" i="1" s="1"/>
  <c r="AB409" i="1"/>
  <c r="AA409" i="1"/>
  <c r="W409" i="1"/>
  <c r="S409" i="1"/>
  <c r="O409" i="1"/>
  <c r="M409" i="1"/>
  <c r="H409" i="1"/>
  <c r="G409" i="1"/>
  <c r="F409" i="1"/>
  <c r="AO408" i="1"/>
  <c r="AL408" i="1"/>
  <c r="AK408" i="1"/>
  <c r="AF408" i="1"/>
  <c r="AD408" i="1"/>
  <c r="AA408" i="1"/>
  <c r="AE408" i="1" s="1"/>
  <c r="W408" i="1"/>
  <c r="S408" i="1"/>
  <c r="O408" i="1"/>
  <c r="M408" i="1"/>
  <c r="H408" i="1"/>
  <c r="G408" i="1"/>
  <c r="F408" i="1"/>
  <c r="AO407" i="1"/>
  <c r="AD407" i="1" s="1"/>
  <c r="AL407" i="1"/>
  <c r="AK407" i="1"/>
  <c r="AF407" i="1"/>
  <c r="AE407" i="1"/>
  <c r="AI407" i="1" s="1"/>
  <c r="AB407" i="1"/>
  <c r="AA407" i="1"/>
  <c r="W407" i="1"/>
  <c r="S407" i="1"/>
  <c r="O407" i="1"/>
  <c r="M407" i="1"/>
  <c r="H407" i="1"/>
  <c r="G407" i="1"/>
  <c r="F407" i="1"/>
  <c r="AO406" i="1"/>
  <c r="AL406" i="1"/>
  <c r="AK406" i="1"/>
  <c r="AF406" i="1"/>
  <c r="AD406" i="1"/>
  <c r="AA406" i="1"/>
  <c r="AE406" i="1" s="1"/>
  <c r="W406" i="1"/>
  <c r="S406" i="1"/>
  <c r="O406" i="1"/>
  <c r="M406" i="1"/>
  <c r="H406" i="1"/>
  <c r="G406" i="1"/>
  <c r="F406" i="1"/>
  <c r="AO405" i="1"/>
  <c r="AD405" i="1" s="1"/>
  <c r="AL405" i="1"/>
  <c r="AK405" i="1"/>
  <c r="AF405" i="1"/>
  <c r="AE405" i="1"/>
  <c r="AI405" i="1" s="1"/>
  <c r="AB405" i="1"/>
  <c r="AA405" i="1"/>
  <c r="W405" i="1"/>
  <c r="S405" i="1"/>
  <c r="O405" i="1"/>
  <c r="M405" i="1"/>
  <c r="H405" i="1"/>
  <c r="G405" i="1"/>
  <c r="F405" i="1"/>
  <c r="AO404" i="1"/>
  <c r="AL404" i="1"/>
  <c r="AK404" i="1"/>
  <c r="AF404" i="1"/>
  <c r="AD404" i="1"/>
  <c r="AA404" i="1"/>
  <c r="AE404" i="1" s="1"/>
  <c r="W404" i="1"/>
  <c r="S404" i="1"/>
  <c r="O404" i="1"/>
  <c r="M404" i="1"/>
  <c r="H404" i="1"/>
  <c r="G404" i="1"/>
  <c r="F404" i="1"/>
  <c r="AO403" i="1"/>
  <c r="AD403" i="1" s="1"/>
  <c r="AL403" i="1"/>
  <c r="AK403" i="1"/>
  <c r="AF403" i="1"/>
  <c r="AE403" i="1"/>
  <c r="AI403" i="1" s="1"/>
  <c r="AB403" i="1"/>
  <c r="AA403" i="1"/>
  <c r="W403" i="1"/>
  <c r="S403" i="1"/>
  <c r="O403" i="1"/>
  <c r="M403" i="1"/>
  <c r="H403" i="1"/>
  <c r="G403" i="1"/>
  <c r="F403" i="1"/>
  <c r="AO402" i="1"/>
  <c r="AL402" i="1"/>
  <c r="AK402" i="1"/>
  <c r="AF402" i="1"/>
  <c r="AD402" i="1"/>
  <c r="AA402" i="1"/>
  <c r="AE402" i="1" s="1"/>
  <c r="W402" i="1"/>
  <c r="S402" i="1"/>
  <c r="O402" i="1"/>
  <c r="M402" i="1"/>
  <c r="H402" i="1"/>
  <c r="G402" i="1"/>
  <c r="F402" i="1"/>
  <c r="AO401" i="1"/>
  <c r="AD401" i="1" s="1"/>
  <c r="AL401" i="1"/>
  <c r="AK401" i="1"/>
  <c r="AF401" i="1"/>
  <c r="AE401" i="1"/>
  <c r="AI401" i="1" s="1"/>
  <c r="AB401" i="1"/>
  <c r="AA401" i="1"/>
  <c r="W401" i="1"/>
  <c r="S401" i="1"/>
  <c r="O401" i="1"/>
  <c r="M401" i="1"/>
  <c r="H401" i="1"/>
  <c r="G401" i="1"/>
  <c r="F401" i="1"/>
  <c r="AO400" i="1"/>
  <c r="AL400" i="1"/>
  <c r="AK400" i="1"/>
  <c r="AF400" i="1"/>
  <c r="AD400" i="1"/>
  <c r="AA400" i="1"/>
  <c r="AE400" i="1" s="1"/>
  <c r="W400" i="1"/>
  <c r="S400" i="1"/>
  <c r="O400" i="1"/>
  <c r="M400" i="1"/>
  <c r="H400" i="1"/>
  <c r="G400" i="1"/>
  <c r="F400" i="1"/>
  <c r="AO399" i="1"/>
  <c r="AD399" i="1" s="1"/>
  <c r="AL399" i="1"/>
  <c r="AK399" i="1"/>
  <c r="AF399" i="1"/>
  <c r="AE399" i="1"/>
  <c r="AI399" i="1" s="1"/>
  <c r="AB399" i="1"/>
  <c r="AA399" i="1"/>
  <c r="W399" i="1"/>
  <c r="S399" i="1"/>
  <c r="O399" i="1"/>
  <c r="M399" i="1"/>
  <c r="H399" i="1"/>
  <c r="G399" i="1"/>
  <c r="F399" i="1"/>
  <c r="AO398" i="1"/>
  <c r="AL398" i="1"/>
  <c r="AK398" i="1"/>
  <c r="AF398" i="1"/>
  <c r="AD398" i="1"/>
  <c r="AA398" i="1"/>
  <c r="AE398" i="1" s="1"/>
  <c r="W398" i="1"/>
  <c r="S398" i="1"/>
  <c r="O398" i="1"/>
  <c r="M398" i="1"/>
  <c r="H398" i="1"/>
  <c r="G398" i="1"/>
  <c r="F398" i="1"/>
  <c r="AO397" i="1"/>
  <c r="AD397" i="1" s="1"/>
  <c r="AL397" i="1"/>
  <c r="AK397" i="1"/>
  <c r="AF397" i="1"/>
  <c r="AE397" i="1"/>
  <c r="AI397" i="1" s="1"/>
  <c r="AB397" i="1"/>
  <c r="AA397" i="1"/>
  <c r="W397" i="1"/>
  <c r="S397" i="1"/>
  <c r="O397" i="1"/>
  <c r="M397" i="1"/>
  <c r="H397" i="1"/>
  <c r="G397" i="1"/>
  <c r="F397" i="1"/>
  <c r="AO396" i="1"/>
  <c r="AL396" i="1"/>
  <c r="AK396" i="1"/>
  <c r="AF396" i="1"/>
  <c r="AD396" i="1"/>
  <c r="AA396" i="1"/>
  <c r="AE396" i="1" s="1"/>
  <c r="W396" i="1"/>
  <c r="S396" i="1"/>
  <c r="O396" i="1"/>
  <c r="M396" i="1"/>
  <c r="H396" i="1"/>
  <c r="G396" i="1"/>
  <c r="F396" i="1"/>
  <c r="AO395" i="1"/>
  <c r="AD395" i="1" s="1"/>
  <c r="AL395" i="1"/>
  <c r="AK395" i="1"/>
  <c r="AF395" i="1"/>
  <c r="AE395" i="1"/>
  <c r="AI395" i="1" s="1"/>
  <c r="AB395" i="1"/>
  <c r="AA395" i="1"/>
  <c r="W395" i="1"/>
  <c r="S395" i="1"/>
  <c r="O395" i="1"/>
  <c r="M395" i="1"/>
  <c r="H395" i="1"/>
  <c r="G395" i="1"/>
  <c r="F395" i="1"/>
  <c r="AO394" i="1"/>
  <c r="AL394" i="1"/>
  <c r="AK394" i="1"/>
  <c r="AF394" i="1"/>
  <c r="AD394" i="1"/>
  <c r="AA394" i="1"/>
  <c r="AE394" i="1" s="1"/>
  <c r="W394" i="1"/>
  <c r="S394" i="1"/>
  <c r="O394" i="1"/>
  <c r="M394" i="1"/>
  <c r="H394" i="1"/>
  <c r="G394" i="1"/>
  <c r="F394" i="1"/>
  <c r="AO393" i="1"/>
  <c r="AD393" i="1" s="1"/>
  <c r="AL393" i="1"/>
  <c r="AK393" i="1"/>
  <c r="AF393" i="1"/>
  <c r="AE393" i="1"/>
  <c r="AI393" i="1" s="1"/>
  <c r="AB393" i="1"/>
  <c r="AA393" i="1"/>
  <c r="W393" i="1"/>
  <c r="S393" i="1"/>
  <c r="O393" i="1"/>
  <c r="M393" i="1"/>
  <c r="H393" i="1"/>
  <c r="G393" i="1"/>
  <c r="F393" i="1"/>
  <c r="AO392" i="1"/>
  <c r="AL392" i="1"/>
  <c r="AK392" i="1"/>
  <c r="AF392" i="1"/>
  <c r="AD392" i="1"/>
  <c r="AA392" i="1"/>
  <c r="AE392" i="1" s="1"/>
  <c r="W392" i="1"/>
  <c r="S392" i="1"/>
  <c r="O392" i="1"/>
  <c r="M392" i="1"/>
  <c r="H392" i="1"/>
  <c r="G392" i="1"/>
  <c r="F392" i="1"/>
  <c r="AO391" i="1"/>
  <c r="AD391" i="1" s="1"/>
  <c r="AL391" i="1"/>
  <c r="AK391" i="1"/>
  <c r="AF391" i="1"/>
  <c r="AE391" i="1"/>
  <c r="AI391" i="1" s="1"/>
  <c r="AB391" i="1"/>
  <c r="AA391" i="1"/>
  <c r="W391" i="1"/>
  <c r="S391" i="1"/>
  <c r="O391" i="1"/>
  <c r="M391" i="1"/>
  <c r="H391" i="1"/>
  <c r="G391" i="1"/>
  <c r="F391" i="1"/>
  <c r="AO390" i="1"/>
  <c r="AL390" i="1"/>
  <c r="AK390" i="1"/>
  <c r="AF390" i="1"/>
  <c r="AD390" i="1"/>
  <c r="AA390" i="1"/>
  <c r="AE390" i="1" s="1"/>
  <c r="W390" i="1"/>
  <c r="S390" i="1"/>
  <c r="O390" i="1"/>
  <c r="M390" i="1"/>
  <c r="H390" i="1"/>
  <c r="G390" i="1"/>
  <c r="F390" i="1"/>
  <c r="AO389" i="1"/>
  <c r="AD389" i="1" s="1"/>
  <c r="AL389" i="1"/>
  <c r="AK389" i="1"/>
  <c r="AF389" i="1"/>
  <c r="AE389" i="1"/>
  <c r="AI389" i="1" s="1"/>
  <c r="AB389" i="1"/>
  <c r="AA389" i="1"/>
  <c r="W389" i="1"/>
  <c r="S389" i="1"/>
  <c r="O389" i="1"/>
  <c r="M389" i="1"/>
  <c r="H389" i="1"/>
  <c r="G389" i="1"/>
  <c r="F389" i="1"/>
  <c r="AO388" i="1"/>
  <c r="AL388" i="1"/>
  <c r="AK388" i="1"/>
  <c r="AF388" i="1"/>
  <c r="AD388" i="1"/>
  <c r="AA388" i="1"/>
  <c r="AE388" i="1" s="1"/>
  <c r="W388" i="1"/>
  <c r="S388" i="1"/>
  <c r="O388" i="1"/>
  <c r="M388" i="1"/>
  <c r="H388" i="1"/>
  <c r="G388" i="1"/>
  <c r="F388" i="1"/>
  <c r="AO387" i="1"/>
  <c r="AD387" i="1" s="1"/>
  <c r="AL387" i="1"/>
  <c r="AK387" i="1"/>
  <c r="AF387" i="1"/>
  <c r="AE387" i="1"/>
  <c r="AI387" i="1" s="1"/>
  <c r="AB387" i="1"/>
  <c r="AA387" i="1"/>
  <c r="W387" i="1"/>
  <c r="S387" i="1"/>
  <c r="O387" i="1"/>
  <c r="M387" i="1"/>
  <c r="H387" i="1"/>
  <c r="G387" i="1"/>
  <c r="F387" i="1"/>
  <c r="AO386" i="1"/>
  <c r="AL386" i="1"/>
  <c r="AK386" i="1"/>
  <c r="AF386" i="1"/>
  <c r="AD386" i="1"/>
  <c r="AA386" i="1"/>
  <c r="AE386" i="1" s="1"/>
  <c r="W386" i="1"/>
  <c r="S386" i="1"/>
  <c r="O386" i="1"/>
  <c r="M386" i="1"/>
  <c r="H386" i="1"/>
  <c r="G386" i="1"/>
  <c r="F386" i="1"/>
  <c r="AO385" i="1"/>
  <c r="AD385" i="1" s="1"/>
  <c r="AL385" i="1"/>
  <c r="AK385" i="1"/>
  <c r="AF385" i="1"/>
  <c r="AE385" i="1"/>
  <c r="AI385" i="1" s="1"/>
  <c r="AB385" i="1"/>
  <c r="AA385" i="1"/>
  <c r="W385" i="1"/>
  <c r="S385" i="1"/>
  <c r="O385" i="1"/>
  <c r="M385" i="1"/>
  <c r="H385" i="1"/>
  <c r="G385" i="1"/>
  <c r="F385" i="1"/>
  <c r="AO384" i="1"/>
  <c r="AL384" i="1"/>
  <c r="AK384" i="1"/>
  <c r="AF384" i="1"/>
  <c r="AD384" i="1"/>
  <c r="AA384" i="1"/>
  <c r="AE384" i="1" s="1"/>
  <c r="W384" i="1"/>
  <c r="S384" i="1"/>
  <c r="O384" i="1"/>
  <c r="M384" i="1"/>
  <c r="H384" i="1"/>
  <c r="G384" i="1"/>
  <c r="F384" i="1"/>
  <c r="AO383" i="1"/>
  <c r="AD383" i="1" s="1"/>
  <c r="AL383" i="1"/>
  <c r="AK383" i="1"/>
  <c r="AF383" i="1"/>
  <c r="AE383" i="1"/>
  <c r="AI383" i="1" s="1"/>
  <c r="AB383" i="1"/>
  <c r="AA383" i="1"/>
  <c r="W383" i="1"/>
  <c r="S383" i="1"/>
  <c r="O383" i="1"/>
  <c r="M383" i="1"/>
  <c r="H383" i="1"/>
  <c r="G383" i="1"/>
  <c r="F383" i="1"/>
  <c r="AO382" i="1"/>
  <c r="AL382" i="1"/>
  <c r="AK382" i="1"/>
  <c r="AF382" i="1"/>
  <c r="AD382" i="1"/>
  <c r="AA382" i="1"/>
  <c r="AE382" i="1" s="1"/>
  <c r="W382" i="1"/>
  <c r="S382" i="1"/>
  <c r="O382" i="1"/>
  <c r="M382" i="1"/>
  <c r="H382" i="1"/>
  <c r="G382" i="1"/>
  <c r="F382" i="1"/>
  <c r="AO381" i="1"/>
  <c r="AD381" i="1" s="1"/>
  <c r="AL381" i="1"/>
  <c r="AK381" i="1"/>
  <c r="AF381" i="1"/>
  <c r="AE381" i="1"/>
  <c r="AI381" i="1" s="1"/>
  <c r="AB381" i="1"/>
  <c r="AA381" i="1"/>
  <c r="W381" i="1"/>
  <c r="S381" i="1"/>
  <c r="O381" i="1"/>
  <c r="M381" i="1"/>
  <c r="H381" i="1"/>
  <c r="G381" i="1"/>
  <c r="F381" i="1"/>
  <c r="AO380" i="1"/>
  <c r="AL380" i="1"/>
  <c r="AK380" i="1"/>
  <c r="AF380" i="1"/>
  <c r="AD380" i="1"/>
  <c r="AA380" i="1"/>
  <c r="AE380" i="1" s="1"/>
  <c r="W380" i="1"/>
  <c r="S380" i="1"/>
  <c r="O380" i="1"/>
  <c r="M380" i="1"/>
  <c r="H380" i="1"/>
  <c r="G380" i="1"/>
  <c r="F380" i="1"/>
  <c r="AO379" i="1"/>
  <c r="AD379" i="1" s="1"/>
  <c r="AL379" i="1"/>
  <c r="AK379" i="1"/>
  <c r="AF379" i="1"/>
  <c r="AE379" i="1"/>
  <c r="AI379" i="1" s="1"/>
  <c r="AB379" i="1"/>
  <c r="AA379" i="1"/>
  <c r="W379" i="1"/>
  <c r="S379" i="1"/>
  <c r="O379" i="1"/>
  <c r="M379" i="1"/>
  <c r="H379" i="1"/>
  <c r="G379" i="1"/>
  <c r="F379" i="1"/>
  <c r="AO378" i="1"/>
  <c r="AL378" i="1"/>
  <c r="AK378" i="1"/>
  <c r="AF378" i="1"/>
  <c r="AD378" i="1"/>
  <c r="AA378" i="1"/>
  <c r="AE378" i="1" s="1"/>
  <c r="W378" i="1"/>
  <c r="S378" i="1"/>
  <c r="O378" i="1"/>
  <c r="M378" i="1"/>
  <c r="H378" i="1"/>
  <c r="G378" i="1"/>
  <c r="F378" i="1"/>
  <c r="AO377" i="1"/>
  <c r="AD377" i="1" s="1"/>
  <c r="AL377" i="1"/>
  <c r="AK377" i="1"/>
  <c r="AF377" i="1"/>
  <c r="AE377" i="1"/>
  <c r="AI377" i="1" s="1"/>
  <c r="AB377" i="1"/>
  <c r="AA377" i="1"/>
  <c r="W377" i="1"/>
  <c r="S377" i="1"/>
  <c r="O377" i="1"/>
  <c r="M377" i="1"/>
  <c r="H377" i="1"/>
  <c r="G377" i="1"/>
  <c r="F377" i="1"/>
  <c r="AO376" i="1"/>
  <c r="AL376" i="1"/>
  <c r="AK376" i="1"/>
  <c r="AF376" i="1"/>
  <c r="AD376" i="1"/>
  <c r="AA376" i="1"/>
  <c r="AE376" i="1" s="1"/>
  <c r="W376" i="1"/>
  <c r="S376" i="1"/>
  <c r="O376" i="1"/>
  <c r="M376" i="1"/>
  <c r="H376" i="1"/>
  <c r="G376" i="1"/>
  <c r="F376" i="1"/>
  <c r="AO375" i="1"/>
  <c r="AD375" i="1" s="1"/>
  <c r="AL375" i="1"/>
  <c r="AK375" i="1"/>
  <c r="AF375" i="1"/>
  <c r="AE375" i="1"/>
  <c r="AI375" i="1" s="1"/>
  <c r="AB375" i="1"/>
  <c r="AA375" i="1"/>
  <c r="W375" i="1"/>
  <c r="S375" i="1"/>
  <c r="O375" i="1"/>
  <c r="M375" i="1"/>
  <c r="H375" i="1"/>
  <c r="G375" i="1"/>
  <c r="F375" i="1"/>
  <c r="AO374" i="1"/>
  <c r="AL374" i="1"/>
  <c r="AK374" i="1"/>
  <c r="AF374" i="1"/>
  <c r="AD374" i="1"/>
  <c r="AA374" i="1"/>
  <c r="AE374" i="1" s="1"/>
  <c r="W374" i="1"/>
  <c r="S374" i="1"/>
  <c r="O374" i="1"/>
  <c r="M374" i="1"/>
  <c r="H374" i="1"/>
  <c r="G374" i="1"/>
  <c r="F374" i="1"/>
  <c r="AO373" i="1"/>
  <c r="AD373" i="1" s="1"/>
  <c r="AL373" i="1"/>
  <c r="AK373" i="1"/>
  <c r="AF373" i="1"/>
  <c r="AE373" i="1"/>
  <c r="AI373" i="1" s="1"/>
  <c r="AB373" i="1"/>
  <c r="AA373" i="1"/>
  <c r="W373" i="1"/>
  <c r="S373" i="1"/>
  <c r="O373" i="1"/>
  <c r="M373" i="1"/>
  <c r="H373" i="1"/>
  <c r="G373" i="1"/>
  <c r="F373" i="1"/>
  <c r="AO372" i="1"/>
  <c r="AL372" i="1"/>
  <c r="AK372" i="1"/>
  <c r="AF372" i="1"/>
  <c r="AD372" i="1"/>
  <c r="AA372" i="1"/>
  <c r="AE372" i="1" s="1"/>
  <c r="W372" i="1"/>
  <c r="S372" i="1"/>
  <c r="O372" i="1"/>
  <c r="M372" i="1"/>
  <c r="H372" i="1"/>
  <c r="G372" i="1"/>
  <c r="F372" i="1"/>
  <c r="AO371" i="1"/>
  <c r="AD371" i="1" s="1"/>
  <c r="AL371" i="1"/>
  <c r="AK371" i="1"/>
  <c r="AF371" i="1"/>
  <c r="AE371" i="1"/>
  <c r="AI371" i="1" s="1"/>
  <c r="AB371" i="1"/>
  <c r="AA371" i="1"/>
  <c r="W371" i="1"/>
  <c r="S371" i="1"/>
  <c r="O371" i="1"/>
  <c r="M371" i="1"/>
  <c r="H371" i="1"/>
  <c r="G371" i="1"/>
  <c r="F371" i="1"/>
  <c r="AO370" i="1"/>
  <c r="AL370" i="1"/>
  <c r="AK370" i="1"/>
  <c r="AF370" i="1"/>
  <c r="AD370" i="1"/>
  <c r="AA370" i="1"/>
  <c r="AE370" i="1" s="1"/>
  <c r="W370" i="1"/>
  <c r="S370" i="1"/>
  <c r="O370" i="1"/>
  <c r="M370" i="1"/>
  <c r="H370" i="1"/>
  <c r="G370" i="1"/>
  <c r="F370" i="1"/>
  <c r="AO369" i="1"/>
  <c r="AD369" i="1" s="1"/>
  <c r="AL369" i="1"/>
  <c r="AK369" i="1"/>
  <c r="AF369" i="1"/>
  <c r="AE369" i="1"/>
  <c r="AI369" i="1" s="1"/>
  <c r="AB369" i="1"/>
  <c r="AA369" i="1"/>
  <c r="W369" i="1"/>
  <c r="S369" i="1"/>
  <c r="O369" i="1"/>
  <c r="M369" i="1"/>
  <c r="H369" i="1"/>
  <c r="G369" i="1"/>
  <c r="F369" i="1"/>
  <c r="AO368" i="1"/>
  <c r="AL368" i="1"/>
  <c r="AK368" i="1"/>
  <c r="AF368" i="1"/>
  <c r="AD368" i="1"/>
  <c r="AA368" i="1"/>
  <c r="AE368" i="1" s="1"/>
  <c r="W368" i="1"/>
  <c r="S368" i="1"/>
  <c r="O368" i="1"/>
  <c r="M368" i="1"/>
  <c r="H368" i="1"/>
  <c r="G368" i="1"/>
  <c r="F368" i="1"/>
  <c r="AO367" i="1"/>
  <c r="AD367" i="1" s="1"/>
  <c r="AL367" i="1"/>
  <c r="AK367" i="1"/>
  <c r="AF367" i="1"/>
  <c r="AE367" i="1"/>
  <c r="AI367" i="1" s="1"/>
  <c r="AB367" i="1"/>
  <c r="AA367" i="1"/>
  <c r="W367" i="1"/>
  <c r="S367" i="1"/>
  <c r="O367" i="1"/>
  <c r="M367" i="1"/>
  <c r="H367" i="1"/>
  <c r="G367" i="1"/>
  <c r="F367" i="1"/>
  <c r="AO366" i="1"/>
  <c r="AL366" i="1"/>
  <c r="AK366" i="1"/>
  <c r="AF366" i="1"/>
  <c r="AD366" i="1"/>
  <c r="AA366" i="1"/>
  <c r="AE366" i="1" s="1"/>
  <c r="W366" i="1"/>
  <c r="S366" i="1"/>
  <c r="O366" i="1"/>
  <c r="M366" i="1"/>
  <c r="H366" i="1"/>
  <c r="G366" i="1"/>
  <c r="F366" i="1"/>
  <c r="AO365" i="1"/>
  <c r="AD365" i="1" s="1"/>
  <c r="AL365" i="1"/>
  <c r="AK365" i="1"/>
  <c r="AF365" i="1"/>
  <c r="AE365" i="1"/>
  <c r="AI365" i="1" s="1"/>
  <c r="AB365" i="1"/>
  <c r="AA365" i="1"/>
  <c r="W365" i="1"/>
  <c r="S365" i="1"/>
  <c r="O365" i="1"/>
  <c r="M365" i="1"/>
  <c r="H365" i="1"/>
  <c r="G365" i="1"/>
  <c r="F365" i="1"/>
  <c r="AO364" i="1"/>
  <c r="AL364" i="1"/>
  <c r="AK364" i="1"/>
  <c r="AF364" i="1"/>
  <c r="AD364" i="1"/>
  <c r="AA364" i="1"/>
  <c r="AE364" i="1" s="1"/>
  <c r="W364" i="1"/>
  <c r="S364" i="1"/>
  <c r="O364" i="1"/>
  <c r="M364" i="1"/>
  <c r="H364" i="1"/>
  <c r="G364" i="1"/>
  <c r="F364" i="1"/>
  <c r="AO363" i="1"/>
  <c r="AD363" i="1" s="1"/>
  <c r="AL363" i="1"/>
  <c r="AK363" i="1"/>
  <c r="AF363" i="1"/>
  <c r="AE363" i="1"/>
  <c r="AI363" i="1" s="1"/>
  <c r="AB363" i="1"/>
  <c r="AA363" i="1"/>
  <c r="W363" i="1"/>
  <c r="S363" i="1"/>
  <c r="O363" i="1"/>
  <c r="M363" i="1"/>
  <c r="H363" i="1"/>
  <c r="G363" i="1"/>
  <c r="F363" i="1"/>
  <c r="AO362" i="1"/>
  <c r="AL362" i="1"/>
  <c r="AK362" i="1"/>
  <c r="AF362" i="1"/>
  <c r="AD362" i="1"/>
  <c r="AA362" i="1"/>
  <c r="AE362" i="1" s="1"/>
  <c r="W362" i="1"/>
  <c r="S362" i="1"/>
  <c r="O362" i="1"/>
  <c r="M362" i="1"/>
  <c r="H362" i="1"/>
  <c r="G362" i="1"/>
  <c r="F362" i="1"/>
  <c r="AO361" i="1"/>
  <c r="AD361" i="1" s="1"/>
  <c r="AL361" i="1"/>
  <c r="AK361" i="1"/>
  <c r="AF361" i="1"/>
  <c r="AE361" i="1"/>
  <c r="AI361" i="1" s="1"/>
  <c r="AB361" i="1"/>
  <c r="AA361" i="1"/>
  <c r="W361" i="1"/>
  <c r="S361" i="1"/>
  <c r="O361" i="1"/>
  <c r="M361" i="1"/>
  <c r="H361" i="1"/>
  <c r="G361" i="1"/>
  <c r="F361" i="1"/>
  <c r="AO360" i="1"/>
  <c r="AL360" i="1"/>
  <c r="AK360" i="1"/>
  <c r="AF360" i="1"/>
  <c r="AD360" i="1"/>
  <c r="AA360" i="1"/>
  <c r="AE360" i="1" s="1"/>
  <c r="W360" i="1"/>
  <c r="S360" i="1"/>
  <c r="O360" i="1"/>
  <c r="M360" i="1"/>
  <c r="H360" i="1"/>
  <c r="G360" i="1"/>
  <c r="F360" i="1"/>
  <c r="AO359" i="1"/>
  <c r="AD359" i="1" s="1"/>
  <c r="AL359" i="1"/>
  <c r="AK359" i="1"/>
  <c r="AF359" i="1"/>
  <c r="AE359" i="1"/>
  <c r="AI359" i="1" s="1"/>
  <c r="AB359" i="1"/>
  <c r="AA359" i="1"/>
  <c r="W359" i="1"/>
  <c r="S359" i="1"/>
  <c r="O359" i="1"/>
  <c r="M359" i="1"/>
  <c r="H359" i="1"/>
  <c r="G359" i="1"/>
  <c r="F359" i="1"/>
  <c r="AO358" i="1"/>
  <c r="AL358" i="1"/>
  <c r="AK358" i="1"/>
  <c r="AF358" i="1"/>
  <c r="AD358" i="1"/>
  <c r="AA358" i="1"/>
  <c r="AE358" i="1" s="1"/>
  <c r="W358" i="1"/>
  <c r="S358" i="1"/>
  <c r="O358" i="1"/>
  <c r="M358" i="1"/>
  <c r="H358" i="1"/>
  <c r="G358" i="1"/>
  <c r="F358" i="1"/>
  <c r="AO357" i="1"/>
  <c r="AD357" i="1" s="1"/>
  <c r="AL357" i="1"/>
  <c r="AK357" i="1"/>
  <c r="AF357" i="1"/>
  <c r="AE357" i="1"/>
  <c r="AI357" i="1" s="1"/>
  <c r="AB357" i="1"/>
  <c r="AA357" i="1"/>
  <c r="W357" i="1"/>
  <c r="S357" i="1"/>
  <c r="O357" i="1"/>
  <c r="M357" i="1"/>
  <c r="H357" i="1"/>
  <c r="G357" i="1"/>
  <c r="F357" i="1"/>
  <c r="AO356" i="1"/>
  <c r="AL356" i="1"/>
  <c r="AK356" i="1"/>
  <c r="AF356" i="1"/>
  <c r="AD356" i="1"/>
  <c r="AA356" i="1"/>
  <c r="AE356" i="1" s="1"/>
  <c r="W356" i="1"/>
  <c r="S356" i="1"/>
  <c r="O356" i="1"/>
  <c r="M356" i="1"/>
  <c r="H356" i="1"/>
  <c r="G356" i="1"/>
  <c r="F356" i="1"/>
  <c r="AO355" i="1"/>
  <c r="AD355" i="1" s="1"/>
  <c r="AL355" i="1"/>
  <c r="AK355" i="1"/>
  <c r="AF355" i="1"/>
  <c r="AE355" i="1"/>
  <c r="AI355" i="1" s="1"/>
  <c r="AB355" i="1"/>
  <c r="AA355" i="1"/>
  <c r="W355" i="1"/>
  <c r="S355" i="1"/>
  <c r="O355" i="1"/>
  <c r="M355" i="1"/>
  <c r="H355" i="1"/>
  <c r="G355" i="1"/>
  <c r="F355" i="1"/>
  <c r="AO354" i="1"/>
  <c r="AL354" i="1"/>
  <c r="AK354" i="1"/>
  <c r="AF354" i="1"/>
  <c r="AD354" i="1"/>
  <c r="AA354" i="1"/>
  <c r="AE354" i="1" s="1"/>
  <c r="W354" i="1"/>
  <c r="S354" i="1"/>
  <c r="O354" i="1"/>
  <c r="M354" i="1"/>
  <c r="H354" i="1"/>
  <c r="G354" i="1"/>
  <c r="F354" i="1"/>
  <c r="AO353" i="1"/>
  <c r="AD353" i="1" s="1"/>
  <c r="AL353" i="1"/>
  <c r="AK353" i="1"/>
  <c r="AF353" i="1"/>
  <c r="AE353" i="1"/>
  <c r="AI353" i="1" s="1"/>
  <c r="AB353" i="1"/>
  <c r="AA353" i="1"/>
  <c r="W353" i="1"/>
  <c r="S353" i="1"/>
  <c r="O353" i="1"/>
  <c r="M353" i="1"/>
  <c r="H353" i="1"/>
  <c r="G353" i="1"/>
  <c r="F353" i="1"/>
  <c r="AO352" i="1"/>
  <c r="AL352" i="1"/>
  <c r="AK352" i="1"/>
  <c r="AF352" i="1"/>
  <c r="AD352" i="1"/>
  <c r="AA352" i="1"/>
  <c r="AE352" i="1" s="1"/>
  <c r="W352" i="1"/>
  <c r="S352" i="1"/>
  <c r="O352" i="1"/>
  <c r="M352" i="1"/>
  <c r="H352" i="1"/>
  <c r="G352" i="1"/>
  <c r="F352" i="1"/>
  <c r="AO351" i="1"/>
  <c r="AD351" i="1" s="1"/>
  <c r="AL351" i="1"/>
  <c r="AK351" i="1"/>
  <c r="AF351" i="1"/>
  <c r="AE351" i="1"/>
  <c r="AI351" i="1" s="1"/>
  <c r="AB351" i="1"/>
  <c r="AA351" i="1"/>
  <c r="W351" i="1"/>
  <c r="S351" i="1"/>
  <c r="O351" i="1"/>
  <c r="M351" i="1"/>
  <c r="H351" i="1"/>
  <c r="G351" i="1"/>
  <c r="F351" i="1"/>
  <c r="AO350" i="1"/>
  <c r="AL350" i="1"/>
  <c r="AK350" i="1"/>
  <c r="AF350" i="1"/>
  <c r="AD350" i="1"/>
  <c r="AA350" i="1"/>
  <c r="AE350" i="1" s="1"/>
  <c r="W350" i="1"/>
  <c r="S350" i="1"/>
  <c r="O350" i="1"/>
  <c r="M350" i="1"/>
  <c r="H350" i="1"/>
  <c r="G350" i="1"/>
  <c r="F350" i="1"/>
  <c r="AO349" i="1"/>
  <c r="AD349" i="1" s="1"/>
  <c r="AL349" i="1"/>
  <c r="AK349" i="1"/>
  <c r="AF349" i="1"/>
  <c r="AE349" i="1"/>
  <c r="AI349" i="1" s="1"/>
  <c r="AB349" i="1"/>
  <c r="AA349" i="1"/>
  <c r="W349" i="1"/>
  <c r="S349" i="1"/>
  <c r="O349" i="1"/>
  <c r="M349" i="1"/>
  <c r="H349" i="1"/>
  <c r="G349" i="1"/>
  <c r="F349" i="1"/>
  <c r="AO348" i="1"/>
  <c r="AL348" i="1"/>
  <c r="AK348" i="1"/>
  <c r="AF348" i="1"/>
  <c r="AD348" i="1"/>
  <c r="AA348" i="1"/>
  <c r="AE348" i="1" s="1"/>
  <c r="W348" i="1"/>
  <c r="S348" i="1"/>
  <c r="O348" i="1"/>
  <c r="M348" i="1"/>
  <c r="H348" i="1"/>
  <c r="G348" i="1"/>
  <c r="F348" i="1"/>
  <c r="AO347" i="1"/>
  <c r="AD347" i="1" s="1"/>
  <c r="AL347" i="1"/>
  <c r="AK347" i="1"/>
  <c r="AF347" i="1"/>
  <c r="AE347" i="1"/>
  <c r="AI347" i="1" s="1"/>
  <c r="AB347" i="1"/>
  <c r="AA347" i="1"/>
  <c r="W347" i="1"/>
  <c r="S347" i="1"/>
  <c r="O347" i="1"/>
  <c r="M347" i="1"/>
  <c r="H347" i="1"/>
  <c r="G347" i="1"/>
  <c r="F347" i="1"/>
  <c r="AO346" i="1"/>
  <c r="AL346" i="1"/>
  <c r="AK346" i="1"/>
  <c r="AF346" i="1"/>
  <c r="AD346" i="1"/>
  <c r="AA346" i="1"/>
  <c r="AE346" i="1" s="1"/>
  <c r="W346" i="1"/>
  <c r="S346" i="1"/>
  <c r="O346" i="1"/>
  <c r="M346" i="1"/>
  <c r="H346" i="1"/>
  <c r="G346" i="1"/>
  <c r="F346" i="1"/>
  <c r="AO345" i="1"/>
  <c r="AD345" i="1" s="1"/>
  <c r="AL345" i="1"/>
  <c r="AK345" i="1"/>
  <c r="AF345" i="1"/>
  <c r="AE345" i="1"/>
  <c r="AI345" i="1" s="1"/>
  <c r="AB345" i="1"/>
  <c r="AA345" i="1"/>
  <c r="W345" i="1"/>
  <c r="S345" i="1"/>
  <c r="O345" i="1"/>
  <c r="M345" i="1"/>
  <c r="H345" i="1"/>
  <c r="G345" i="1"/>
  <c r="F345" i="1"/>
  <c r="AO344" i="1"/>
  <c r="AL344" i="1"/>
  <c r="AK344" i="1"/>
  <c r="AF344" i="1"/>
  <c r="AD344" i="1"/>
  <c r="AA344" i="1"/>
  <c r="AE344" i="1" s="1"/>
  <c r="W344" i="1"/>
  <c r="S344" i="1"/>
  <c r="O344" i="1"/>
  <c r="M344" i="1"/>
  <c r="H344" i="1"/>
  <c r="G344" i="1"/>
  <c r="F344" i="1"/>
  <c r="AO343" i="1"/>
  <c r="AD343" i="1" s="1"/>
  <c r="AL343" i="1"/>
  <c r="AK343" i="1"/>
  <c r="AF343" i="1"/>
  <c r="AE343" i="1"/>
  <c r="AI343" i="1" s="1"/>
  <c r="AB343" i="1"/>
  <c r="AA343" i="1"/>
  <c r="W343" i="1"/>
  <c r="S343" i="1"/>
  <c r="O343" i="1"/>
  <c r="M343" i="1"/>
  <c r="H343" i="1"/>
  <c r="G343" i="1"/>
  <c r="F343" i="1"/>
  <c r="AO342" i="1"/>
  <c r="AL342" i="1"/>
  <c r="AK342" i="1"/>
  <c r="AF342" i="1"/>
  <c r="AD342" i="1"/>
  <c r="AA342" i="1"/>
  <c r="AE342" i="1" s="1"/>
  <c r="W342" i="1"/>
  <c r="S342" i="1"/>
  <c r="O342" i="1"/>
  <c r="M342" i="1"/>
  <c r="H342" i="1"/>
  <c r="G342" i="1"/>
  <c r="F342" i="1"/>
  <c r="AO341" i="1"/>
  <c r="AD341" i="1" s="1"/>
  <c r="AL341" i="1"/>
  <c r="AK341" i="1"/>
  <c r="AF341" i="1"/>
  <c r="AE341" i="1"/>
  <c r="AI341" i="1" s="1"/>
  <c r="AB341" i="1"/>
  <c r="AA341" i="1"/>
  <c r="W341" i="1"/>
  <c r="S341" i="1"/>
  <c r="O341" i="1"/>
  <c r="M341" i="1"/>
  <c r="H341" i="1"/>
  <c r="G341" i="1"/>
  <c r="F341" i="1"/>
  <c r="AO340" i="1"/>
  <c r="AL340" i="1"/>
  <c r="AK340" i="1"/>
  <c r="AF340" i="1"/>
  <c r="AD340" i="1"/>
  <c r="AA340" i="1"/>
  <c r="AE340" i="1" s="1"/>
  <c r="W340" i="1"/>
  <c r="S340" i="1"/>
  <c r="O340" i="1"/>
  <c r="M340" i="1"/>
  <c r="H340" i="1"/>
  <c r="G340" i="1"/>
  <c r="F340" i="1"/>
  <c r="AO339" i="1"/>
  <c r="AD339" i="1" s="1"/>
  <c r="AL339" i="1"/>
  <c r="AK339" i="1"/>
  <c r="AF339" i="1"/>
  <c r="AE339" i="1"/>
  <c r="AI339" i="1" s="1"/>
  <c r="AB339" i="1"/>
  <c r="AA339" i="1"/>
  <c r="W339" i="1"/>
  <c r="S339" i="1"/>
  <c r="O339" i="1"/>
  <c r="M339" i="1"/>
  <c r="H339" i="1"/>
  <c r="G339" i="1"/>
  <c r="F339" i="1"/>
  <c r="AO338" i="1"/>
  <c r="AL338" i="1"/>
  <c r="AK338" i="1"/>
  <c r="AF338" i="1"/>
  <c r="AD338" i="1"/>
  <c r="AA338" i="1"/>
  <c r="AE338" i="1" s="1"/>
  <c r="W338" i="1"/>
  <c r="S338" i="1"/>
  <c r="O338" i="1"/>
  <c r="M338" i="1"/>
  <c r="H338" i="1"/>
  <c r="G338" i="1"/>
  <c r="F338" i="1"/>
  <c r="AO337" i="1"/>
  <c r="AD337" i="1" s="1"/>
  <c r="AL337" i="1"/>
  <c r="AK337" i="1"/>
  <c r="AF337" i="1"/>
  <c r="AE337" i="1"/>
  <c r="AI337" i="1" s="1"/>
  <c r="AB337" i="1"/>
  <c r="AA337" i="1"/>
  <c r="W337" i="1"/>
  <c r="S337" i="1"/>
  <c r="O337" i="1"/>
  <c r="M337" i="1"/>
  <c r="H337" i="1"/>
  <c r="G337" i="1"/>
  <c r="F337" i="1"/>
  <c r="AO336" i="1"/>
  <c r="AL336" i="1"/>
  <c r="AK336" i="1"/>
  <c r="AF336" i="1"/>
  <c r="AD336" i="1"/>
  <c r="AA336" i="1"/>
  <c r="AE336" i="1" s="1"/>
  <c r="W336" i="1"/>
  <c r="S336" i="1"/>
  <c r="O336" i="1"/>
  <c r="M336" i="1"/>
  <c r="H336" i="1"/>
  <c r="G336" i="1"/>
  <c r="F336" i="1"/>
  <c r="AO335" i="1"/>
  <c r="AD335" i="1" s="1"/>
  <c r="AL335" i="1"/>
  <c r="AK335" i="1"/>
  <c r="AF335" i="1"/>
  <c r="AE335" i="1"/>
  <c r="AI335" i="1" s="1"/>
  <c r="AB335" i="1"/>
  <c r="AA335" i="1"/>
  <c r="W335" i="1"/>
  <c r="S335" i="1"/>
  <c r="O335" i="1"/>
  <c r="M335" i="1"/>
  <c r="H335" i="1"/>
  <c r="G335" i="1"/>
  <c r="F335" i="1"/>
  <c r="AO334" i="1"/>
  <c r="AL334" i="1"/>
  <c r="AK334" i="1"/>
  <c r="AF334" i="1"/>
  <c r="AD334" i="1"/>
  <c r="AA334" i="1"/>
  <c r="AE334" i="1" s="1"/>
  <c r="W334" i="1"/>
  <c r="S334" i="1"/>
  <c r="O334" i="1"/>
  <c r="M334" i="1"/>
  <c r="H334" i="1"/>
  <c r="G334" i="1"/>
  <c r="F334" i="1"/>
  <c r="AO333" i="1"/>
  <c r="AD333" i="1" s="1"/>
  <c r="AL333" i="1"/>
  <c r="AK333" i="1"/>
  <c r="AF333" i="1"/>
  <c r="AE333" i="1"/>
  <c r="AI333" i="1" s="1"/>
  <c r="AB333" i="1"/>
  <c r="AA333" i="1"/>
  <c r="W333" i="1"/>
  <c r="S333" i="1"/>
  <c r="O333" i="1"/>
  <c r="M333" i="1"/>
  <c r="H333" i="1"/>
  <c r="G333" i="1"/>
  <c r="F333" i="1"/>
  <c r="AO332" i="1"/>
  <c r="AL332" i="1"/>
  <c r="AK332" i="1"/>
  <c r="AF332" i="1"/>
  <c r="AD332" i="1"/>
  <c r="AA332" i="1"/>
  <c r="AE332" i="1" s="1"/>
  <c r="W332" i="1"/>
  <c r="S332" i="1"/>
  <c r="O332" i="1"/>
  <c r="M332" i="1"/>
  <c r="H332" i="1"/>
  <c r="G332" i="1"/>
  <c r="F332" i="1"/>
  <c r="AO331" i="1"/>
  <c r="AD331" i="1" s="1"/>
  <c r="AL331" i="1"/>
  <c r="AK331" i="1"/>
  <c r="AF331" i="1"/>
  <c r="AE331" i="1"/>
  <c r="AI331" i="1" s="1"/>
  <c r="AB331" i="1"/>
  <c r="AA331" i="1"/>
  <c r="W331" i="1"/>
  <c r="S331" i="1"/>
  <c r="O331" i="1"/>
  <c r="M331" i="1"/>
  <c r="H331" i="1"/>
  <c r="G331" i="1"/>
  <c r="F331" i="1"/>
  <c r="AO330" i="1"/>
  <c r="AL330" i="1"/>
  <c r="AK330" i="1"/>
  <c r="AF330" i="1"/>
  <c r="AD330" i="1"/>
  <c r="AA330" i="1"/>
  <c r="AE330" i="1" s="1"/>
  <c r="W330" i="1"/>
  <c r="S330" i="1"/>
  <c r="O330" i="1"/>
  <c r="M330" i="1"/>
  <c r="H330" i="1"/>
  <c r="G330" i="1"/>
  <c r="F330" i="1"/>
  <c r="AO329" i="1"/>
  <c r="AD329" i="1" s="1"/>
  <c r="AL329" i="1"/>
  <c r="AK329" i="1"/>
  <c r="AF329" i="1"/>
  <c r="AE329" i="1"/>
  <c r="AI329" i="1" s="1"/>
  <c r="AB329" i="1"/>
  <c r="AA329" i="1"/>
  <c r="W329" i="1"/>
  <c r="S329" i="1"/>
  <c r="O329" i="1"/>
  <c r="M329" i="1"/>
  <c r="H329" i="1"/>
  <c r="G329" i="1"/>
  <c r="F329" i="1"/>
  <c r="AO328" i="1"/>
  <c r="AL328" i="1"/>
  <c r="AK328" i="1"/>
  <c r="AF328" i="1"/>
  <c r="AD328" i="1"/>
  <c r="AA328" i="1"/>
  <c r="AE328" i="1" s="1"/>
  <c r="W328" i="1"/>
  <c r="S328" i="1"/>
  <c r="O328" i="1"/>
  <c r="M328" i="1"/>
  <c r="H328" i="1"/>
  <c r="G328" i="1"/>
  <c r="F328" i="1"/>
  <c r="AO327" i="1"/>
  <c r="AD327" i="1" s="1"/>
  <c r="AL327" i="1"/>
  <c r="AK327" i="1"/>
  <c r="AF327" i="1"/>
  <c r="AE327" i="1"/>
  <c r="AI327" i="1" s="1"/>
  <c r="AB327" i="1"/>
  <c r="AA327" i="1"/>
  <c r="W327" i="1"/>
  <c r="S327" i="1"/>
  <c r="O327" i="1"/>
  <c r="M327" i="1"/>
  <c r="H327" i="1"/>
  <c r="G327" i="1"/>
  <c r="F327" i="1"/>
  <c r="AO326" i="1"/>
  <c r="AL326" i="1"/>
  <c r="AK326" i="1"/>
  <c r="AF326" i="1"/>
  <c r="AD326" i="1"/>
  <c r="AA326" i="1"/>
  <c r="AE326" i="1" s="1"/>
  <c r="W326" i="1"/>
  <c r="S326" i="1"/>
  <c r="O326" i="1"/>
  <c r="M326" i="1"/>
  <c r="H326" i="1"/>
  <c r="G326" i="1"/>
  <c r="F326" i="1"/>
  <c r="AO325" i="1"/>
  <c r="AD325" i="1" s="1"/>
  <c r="AL325" i="1"/>
  <c r="AK325" i="1"/>
  <c r="AF325" i="1"/>
  <c r="AE325" i="1"/>
  <c r="AI325" i="1" s="1"/>
  <c r="AB325" i="1"/>
  <c r="AA325" i="1"/>
  <c r="W325" i="1"/>
  <c r="S325" i="1"/>
  <c r="O325" i="1"/>
  <c r="M325" i="1"/>
  <c r="H325" i="1"/>
  <c r="G325" i="1"/>
  <c r="F325" i="1"/>
  <c r="AO324" i="1"/>
  <c r="AL324" i="1"/>
  <c r="AK324" i="1"/>
  <c r="AF324" i="1"/>
  <c r="AD324" i="1"/>
  <c r="AA324" i="1"/>
  <c r="AE324" i="1" s="1"/>
  <c r="W324" i="1"/>
  <c r="S324" i="1"/>
  <c r="O324" i="1"/>
  <c r="M324" i="1"/>
  <c r="H324" i="1"/>
  <c r="G324" i="1"/>
  <c r="F324" i="1"/>
  <c r="AO323" i="1"/>
  <c r="AD323" i="1" s="1"/>
  <c r="AL323" i="1"/>
  <c r="AK323" i="1"/>
  <c r="AF323" i="1"/>
  <c r="AE323" i="1"/>
  <c r="AI323" i="1" s="1"/>
  <c r="AB323" i="1"/>
  <c r="AA323" i="1"/>
  <c r="W323" i="1"/>
  <c r="S323" i="1"/>
  <c r="O323" i="1"/>
  <c r="M323" i="1"/>
  <c r="H323" i="1"/>
  <c r="G323" i="1"/>
  <c r="F323" i="1"/>
  <c r="AO322" i="1"/>
  <c r="AL322" i="1"/>
  <c r="AK322" i="1"/>
  <c r="AF322" i="1"/>
  <c r="AD322" i="1"/>
  <c r="AA322" i="1"/>
  <c r="AE322" i="1" s="1"/>
  <c r="W322" i="1"/>
  <c r="S322" i="1"/>
  <c r="O322" i="1"/>
  <c r="M322" i="1"/>
  <c r="H322" i="1"/>
  <c r="G322" i="1"/>
  <c r="F322" i="1"/>
  <c r="AO321" i="1"/>
  <c r="AD321" i="1" s="1"/>
  <c r="AL321" i="1"/>
  <c r="AK321" i="1"/>
  <c r="AF321" i="1"/>
  <c r="AE321" i="1"/>
  <c r="AI321" i="1" s="1"/>
  <c r="AB321" i="1"/>
  <c r="AA321" i="1"/>
  <c r="W321" i="1"/>
  <c r="S321" i="1"/>
  <c r="O321" i="1"/>
  <c r="M321" i="1"/>
  <c r="H321" i="1"/>
  <c r="G321" i="1"/>
  <c r="F321" i="1"/>
  <c r="AO320" i="1"/>
  <c r="AL320" i="1"/>
  <c r="AK320" i="1"/>
  <c r="AF320" i="1"/>
  <c r="AD320" i="1"/>
  <c r="AA320" i="1"/>
  <c r="AE320" i="1" s="1"/>
  <c r="W320" i="1"/>
  <c r="S320" i="1"/>
  <c r="O320" i="1"/>
  <c r="M320" i="1"/>
  <c r="H320" i="1"/>
  <c r="G320" i="1"/>
  <c r="F320" i="1"/>
  <c r="AO319" i="1"/>
  <c r="AD319" i="1" s="1"/>
  <c r="AL319" i="1"/>
  <c r="AK319" i="1"/>
  <c r="AF319" i="1"/>
  <c r="AE319" i="1"/>
  <c r="AI319" i="1" s="1"/>
  <c r="AB319" i="1"/>
  <c r="AA319" i="1"/>
  <c r="W319" i="1"/>
  <c r="S319" i="1"/>
  <c r="O319" i="1"/>
  <c r="M319" i="1"/>
  <c r="H319" i="1"/>
  <c r="G319" i="1"/>
  <c r="F319" i="1"/>
  <c r="AO318" i="1"/>
  <c r="AL318" i="1"/>
  <c r="AK318" i="1"/>
  <c r="AF318" i="1"/>
  <c r="AD318" i="1"/>
  <c r="AA318" i="1"/>
  <c r="AE318" i="1" s="1"/>
  <c r="W318" i="1"/>
  <c r="S318" i="1"/>
  <c r="O318" i="1"/>
  <c r="M318" i="1"/>
  <c r="H318" i="1"/>
  <c r="G318" i="1"/>
  <c r="F318" i="1"/>
  <c r="AO317" i="1"/>
  <c r="AD317" i="1" s="1"/>
  <c r="AL317" i="1"/>
  <c r="AK317" i="1"/>
  <c r="AF317" i="1"/>
  <c r="AE317" i="1"/>
  <c r="AI317" i="1" s="1"/>
  <c r="AB317" i="1"/>
  <c r="AA317" i="1"/>
  <c r="W317" i="1"/>
  <c r="S317" i="1"/>
  <c r="O317" i="1"/>
  <c r="M317" i="1"/>
  <c r="H317" i="1"/>
  <c r="G317" i="1"/>
  <c r="F317" i="1"/>
  <c r="AO316" i="1"/>
  <c r="AL316" i="1"/>
  <c r="AK316" i="1"/>
  <c r="AF316" i="1"/>
  <c r="AD316" i="1"/>
  <c r="AA316" i="1"/>
  <c r="AE316" i="1" s="1"/>
  <c r="W316" i="1"/>
  <c r="S316" i="1"/>
  <c r="O316" i="1"/>
  <c r="M316" i="1"/>
  <c r="H316" i="1"/>
  <c r="G316" i="1"/>
  <c r="F316" i="1"/>
  <c r="AO315" i="1"/>
  <c r="AD315" i="1" s="1"/>
  <c r="AL315" i="1"/>
  <c r="AK315" i="1"/>
  <c r="AF315" i="1"/>
  <c r="AE315" i="1"/>
  <c r="AI315" i="1" s="1"/>
  <c r="AB315" i="1"/>
  <c r="AA315" i="1"/>
  <c r="W315" i="1"/>
  <c r="S315" i="1"/>
  <c r="O315" i="1"/>
  <c r="M315" i="1"/>
  <c r="H315" i="1"/>
  <c r="G315" i="1"/>
  <c r="F315" i="1"/>
  <c r="AO314" i="1"/>
  <c r="AL314" i="1"/>
  <c r="AK314" i="1"/>
  <c r="AF314" i="1"/>
  <c r="AD314" i="1"/>
  <c r="AA314" i="1"/>
  <c r="AE314" i="1" s="1"/>
  <c r="W314" i="1"/>
  <c r="S314" i="1"/>
  <c r="O314" i="1"/>
  <c r="M314" i="1"/>
  <c r="H314" i="1"/>
  <c r="G314" i="1"/>
  <c r="F314" i="1"/>
  <c r="AO313" i="1"/>
  <c r="AD313" i="1" s="1"/>
  <c r="AL313" i="1"/>
  <c r="AK313" i="1"/>
  <c r="AF313" i="1"/>
  <c r="AE313" i="1"/>
  <c r="AI313" i="1" s="1"/>
  <c r="AB313" i="1"/>
  <c r="AA313" i="1"/>
  <c r="W313" i="1"/>
  <c r="S313" i="1"/>
  <c r="O313" i="1"/>
  <c r="M313" i="1"/>
  <c r="H313" i="1"/>
  <c r="G313" i="1"/>
  <c r="F313" i="1"/>
  <c r="AO312" i="1"/>
  <c r="AL312" i="1"/>
  <c r="AK312" i="1"/>
  <c r="AF312" i="1"/>
  <c r="AD312" i="1"/>
  <c r="AA312" i="1"/>
  <c r="AE312" i="1" s="1"/>
  <c r="W312" i="1"/>
  <c r="S312" i="1"/>
  <c r="O312" i="1"/>
  <c r="M312" i="1"/>
  <c r="H312" i="1"/>
  <c r="G312" i="1"/>
  <c r="F312" i="1"/>
  <c r="AO311" i="1"/>
  <c r="AD311" i="1" s="1"/>
  <c r="AL311" i="1"/>
  <c r="AK311" i="1"/>
  <c r="AF311" i="1"/>
  <c r="AE311" i="1"/>
  <c r="AI311" i="1" s="1"/>
  <c r="AB311" i="1"/>
  <c r="AA311" i="1"/>
  <c r="W311" i="1"/>
  <c r="S311" i="1"/>
  <c r="O311" i="1"/>
  <c r="M311" i="1"/>
  <c r="H311" i="1"/>
  <c r="G311" i="1"/>
  <c r="F311" i="1"/>
  <c r="AO310" i="1"/>
  <c r="AL310" i="1"/>
  <c r="AK310" i="1"/>
  <c r="AF310" i="1"/>
  <c r="AD310" i="1"/>
  <c r="AA310" i="1"/>
  <c r="AE310" i="1" s="1"/>
  <c r="W310" i="1"/>
  <c r="S310" i="1"/>
  <c r="O310" i="1"/>
  <c r="M310" i="1"/>
  <c r="H310" i="1"/>
  <c r="G310" i="1"/>
  <c r="F310" i="1"/>
  <c r="AO309" i="1"/>
  <c r="AD309" i="1" s="1"/>
  <c r="AL309" i="1"/>
  <c r="AK309" i="1"/>
  <c r="AF309" i="1"/>
  <c r="AE309" i="1"/>
  <c r="AI309" i="1" s="1"/>
  <c r="AB309" i="1"/>
  <c r="AA309" i="1"/>
  <c r="W309" i="1"/>
  <c r="S309" i="1"/>
  <c r="O309" i="1"/>
  <c r="M309" i="1"/>
  <c r="H309" i="1"/>
  <c r="G309" i="1"/>
  <c r="F309" i="1"/>
  <c r="AO308" i="1"/>
  <c r="AL308" i="1"/>
  <c r="AK308" i="1"/>
  <c r="AF308" i="1"/>
  <c r="AD308" i="1"/>
  <c r="AA308" i="1"/>
  <c r="AE308" i="1" s="1"/>
  <c r="W308" i="1"/>
  <c r="S308" i="1"/>
  <c r="O308" i="1"/>
  <c r="M308" i="1"/>
  <c r="H308" i="1"/>
  <c r="G308" i="1"/>
  <c r="F308" i="1"/>
  <c r="AO307" i="1"/>
  <c r="AD307" i="1" s="1"/>
  <c r="AL307" i="1"/>
  <c r="AK307" i="1"/>
  <c r="AF307" i="1"/>
  <c r="AE307" i="1"/>
  <c r="AI307" i="1" s="1"/>
  <c r="AB307" i="1"/>
  <c r="AA307" i="1"/>
  <c r="W307" i="1"/>
  <c r="S307" i="1"/>
  <c r="O307" i="1"/>
  <c r="M307" i="1"/>
  <c r="H307" i="1"/>
  <c r="G307" i="1"/>
  <c r="F307" i="1"/>
  <c r="AO306" i="1"/>
  <c r="AL306" i="1"/>
  <c r="AK306" i="1"/>
  <c r="AF306" i="1"/>
  <c r="AD306" i="1"/>
  <c r="AA306" i="1"/>
  <c r="AE306" i="1" s="1"/>
  <c r="W306" i="1"/>
  <c r="S306" i="1"/>
  <c r="O306" i="1"/>
  <c r="M306" i="1"/>
  <c r="H306" i="1"/>
  <c r="G306" i="1"/>
  <c r="F306" i="1"/>
  <c r="AO305" i="1"/>
  <c r="AD305" i="1" s="1"/>
  <c r="AL305" i="1"/>
  <c r="AK305" i="1"/>
  <c r="AF305" i="1"/>
  <c r="AE305" i="1"/>
  <c r="AI305" i="1" s="1"/>
  <c r="AB305" i="1"/>
  <c r="AA305" i="1"/>
  <c r="W305" i="1"/>
  <c r="S305" i="1"/>
  <c r="O305" i="1"/>
  <c r="M305" i="1"/>
  <c r="H305" i="1"/>
  <c r="G305" i="1"/>
  <c r="F305" i="1"/>
  <c r="AO304" i="1"/>
  <c r="AL304" i="1"/>
  <c r="AK304" i="1"/>
  <c r="AF304" i="1"/>
  <c r="AD304" i="1"/>
  <c r="AA304" i="1"/>
  <c r="AE304" i="1" s="1"/>
  <c r="W304" i="1"/>
  <c r="S304" i="1"/>
  <c r="O304" i="1"/>
  <c r="M304" i="1"/>
  <c r="H304" i="1"/>
  <c r="G304" i="1"/>
  <c r="F304" i="1"/>
  <c r="AO303" i="1"/>
  <c r="AD303" i="1" s="1"/>
  <c r="AL303" i="1"/>
  <c r="AK303" i="1"/>
  <c r="AF303" i="1"/>
  <c r="AE303" i="1"/>
  <c r="AI303" i="1" s="1"/>
  <c r="AB303" i="1"/>
  <c r="AA303" i="1"/>
  <c r="W303" i="1"/>
  <c r="S303" i="1"/>
  <c r="O303" i="1"/>
  <c r="M303" i="1"/>
  <c r="H303" i="1"/>
  <c r="G303" i="1"/>
  <c r="F303" i="1"/>
  <c r="AO302" i="1"/>
  <c r="AL302" i="1"/>
  <c r="AK302" i="1"/>
  <c r="AF302" i="1"/>
  <c r="AD302" i="1"/>
  <c r="AA302" i="1"/>
  <c r="AE302" i="1" s="1"/>
  <c r="W302" i="1"/>
  <c r="S302" i="1"/>
  <c r="O302" i="1"/>
  <c r="M302" i="1"/>
  <c r="H302" i="1"/>
  <c r="G302" i="1"/>
  <c r="F302" i="1"/>
  <c r="AO301" i="1"/>
  <c r="AD301" i="1" s="1"/>
  <c r="AL301" i="1"/>
  <c r="AK301" i="1"/>
  <c r="AF301" i="1"/>
  <c r="AE301" i="1"/>
  <c r="AI301" i="1" s="1"/>
  <c r="AB301" i="1"/>
  <c r="AA301" i="1"/>
  <c r="W301" i="1"/>
  <c r="S301" i="1"/>
  <c r="O301" i="1"/>
  <c r="M301" i="1"/>
  <c r="H301" i="1"/>
  <c r="G301" i="1"/>
  <c r="F301" i="1"/>
  <c r="AO300" i="1"/>
  <c r="AL300" i="1"/>
  <c r="AK300" i="1"/>
  <c r="AF300" i="1"/>
  <c r="AD300" i="1"/>
  <c r="AA300" i="1"/>
  <c r="AE300" i="1" s="1"/>
  <c r="W300" i="1"/>
  <c r="S300" i="1"/>
  <c r="O300" i="1"/>
  <c r="M300" i="1"/>
  <c r="H300" i="1"/>
  <c r="G300" i="1"/>
  <c r="F300" i="1"/>
  <c r="AO299" i="1"/>
  <c r="AD299" i="1" s="1"/>
  <c r="AL299" i="1"/>
  <c r="AK299" i="1"/>
  <c r="AF299" i="1"/>
  <c r="AE299" i="1"/>
  <c r="AI299" i="1" s="1"/>
  <c r="AB299" i="1"/>
  <c r="AA299" i="1"/>
  <c r="W299" i="1"/>
  <c r="S299" i="1"/>
  <c r="O299" i="1"/>
  <c r="M299" i="1"/>
  <c r="H299" i="1"/>
  <c r="G299" i="1"/>
  <c r="F299" i="1"/>
  <c r="AO298" i="1"/>
  <c r="AL298" i="1"/>
  <c r="AK298" i="1"/>
  <c r="AF298" i="1"/>
  <c r="AD298" i="1"/>
  <c r="AA298" i="1"/>
  <c r="AE298" i="1" s="1"/>
  <c r="W298" i="1"/>
  <c r="S298" i="1"/>
  <c r="O298" i="1"/>
  <c r="M298" i="1"/>
  <c r="H298" i="1"/>
  <c r="G298" i="1"/>
  <c r="F298" i="1"/>
  <c r="AO297" i="1"/>
  <c r="AD297" i="1" s="1"/>
  <c r="AL297" i="1"/>
  <c r="AK297" i="1"/>
  <c r="AF297" i="1"/>
  <c r="AE297" i="1"/>
  <c r="AI297" i="1" s="1"/>
  <c r="AB297" i="1"/>
  <c r="AA297" i="1"/>
  <c r="W297" i="1"/>
  <c r="S297" i="1"/>
  <c r="O297" i="1"/>
  <c r="M297" i="1"/>
  <c r="H297" i="1"/>
  <c r="G297" i="1"/>
  <c r="F297" i="1"/>
  <c r="AO296" i="1"/>
  <c r="AL296" i="1"/>
  <c r="AK296" i="1"/>
  <c r="AF296" i="1"/>
  <c r="AD296" i="1"/>
  <c r="AA296" i="1"/>
  <c r="AE296" i="1" s="1"/>
  <c r="W296" i="1"/>
  <c r="S296" i="1"/>
  <c r="O296" i="1"/>
  <c r="M296" i="1"/>
  <c r="H296" i="1"/>
  <c r="G296" i="1"/>
  <c r="F296" i="1"/>
  <c r="AO295" i="1"/>
  <c r="AD295" i="1" s="1"/>
  <c r="AL295" i="1"/>
  <c r="AK295" i="1"/>
  <c r="AF295" i="1"/>
  <c r="AE295" i="1"/>
  <c r="AI295" i="1" s="1"/>
  <c r="AB295" i="1"/>
  <c r="AA295" i="1"/>
  <c r="W295" i="1"/>
  <c r="S295" i="1"/>
  <c r="O295" i="1"/>
  <c r="M295" i="1"/>
  <c r="H295" i="1"/>
  <c r="G295" i="1"/>
  <c r="F295" i="1"/>
  <c r="AO294" i="1"/>
  <c r="AL294" i="1"/>
  <c r="AK294" i="1"/>
  <c r="AF294" i="1"/>
  <c r="AD294" i="1"/>
  <c r="AA294" i="1"/>
  <c r="AE294" i="1" s="1"/>
  <c r="W294" i="1"/>
  <c r="S294" i="1"/>
  <c r="O294" i="1"/>
  <c r="M294" i="1"/>
  <c r="H294" i="1"/>
  <c r="G294" i="1"/>
  <c r="F294" i="1"/>
  <c r="AO293" i="1"/>
  <c r="AD293" i="1" s="1"/>
  <c r="AL293" i="1"/>
  <c r="AK293" i="1"/>
  <c r="AF293" i="1"/>
  <c r="AE293" i="1"/>
  <c r="AI293" i="1" s="1"/>
  <c r="AB293" i="1"/>
  <c r="AA293" i="1"/>
  <c r="W293" i="1"/>
  <c r="S293" i="1"/>
  <c r="O293" i="1"/>
  <c r="M293" i="1"/>
  <c r="H293" i="1"/>
  <c r="G293" i="1"/>
  <c r="F293" i="1"/>
  <c r="AO292" i="1"/>
  <c r="AL292" i="1"/>
  <c r="AK292" i="1"/>
  <c r="AF292" i="1"/>
  <c r="AD292" i="1"/>
  <c r="AA292" i="1"/>
  <c r="AE292" i="1" s="1"/>
  <c r="W292" i="1"/>
  <c r="S292" i="1"/>
  <c r="O292" i="1"/>
  <c r="M292" i="1"/>
  <c r="H292" i="1"/>
  <c r="G292" i="1"/>
  <c r="F292" i="1"/>
  <c r="AO291" i="1"/>
  <c r="AD291" i="1" s="1"/>
  <c r="AL291" i="1"/>
  <c r="AK291" i="1"/>
  <c r="AF291" i="1"/>
  <c r="AE291" i="1"/>
  <c r="AI291" i="1" s="1"/>
  <c r="AB291" i="1"/>
  <c r="AA291" i="1"/>
  <c r="W291" i="1"/>
  <c r="S291" i="1"/>
  <c r="O291" i="1"/>
  <c r="M291" i="1"/>
  <c r="H291" i="1"/>
  <c r="G291" i="1"/>
  <c r="F291" i="1"/>
  <c r="AO290" i="1"/>
  <c r="AL290" i="1"/>
  <c r="AK290" i="1"/>
  <c r="AF290" i="1"/>
  <c r="AD290" i="1"/>
  <c r="AA290" i="1"/>
  <c r="AE290" i="1" s="1"/>
  <c r="W290" i="1"/>
  <c r="S290" i="1"/>
  <c r="O290" i="1"/>
  <c r="M290" i="1"/>
  <c r="H290" i="1"/>
  <c r="G290" i="1"/>
  <c r="F290" i="1"/>
  <c r="AO289" i="1"/>
  <c r="AD289" i="1" s="1"/>
  <c r="AL289" i="1"/>
  <c r="AK289" i="1"/>
  <c r="AF289" i="1"/>
  <c r="AE289" i="1"/>
  <c r="AI289" i="1" s="1"/>
  <c r="AB289" i="1"/>
  <c r="AA289" i="1"/>
  <c r="W289" i="1"/>
  <c r="S289" i="1"/>
  <c r="O289" i="1"/>
  <c r="M289" i="1"/>
  <c r="H289" i="1"/>
  <c r="G289" i="1"/>
  <c r="F289" i="1"/>
  <c r="AO288" i="1"/>
  <c r="AL288" i="1"/>
  <c r="AK288" i="1"/>
  <c r="AF288" i="1"/>
  <c r="AD288" i="1"/>
  <c r="AA288" i="1"/>
  <c r="AE288" i="1" s="1"/>
  <c r="W288" i="1"/>
  <c r="S288" i="1"/>
  <c r="O288" i="1"/>
  <c r="M288" i="1"/>
  <c r="H288" i="1"/>
  <c r="G288" i="1"/>
  <c r="F288" i="1"/>
  <c r="AO287" i="1"/>
  <c r="AD287" i="1" s="1"/>
  <c r="AL287" i="1"/>
  <c r="AK287" i="1"/>
  <c r="AF287" i="1"/>
  <c r="AE287" i="1"/>
  <c r="AI287" i="1" s="1"/>
  <c r="AB287" i="1"/>
  <c r="AA287" i="1"/>
  <c r="W287" i="1"/>
  <c r="S287" i="1"/>
  <c r="O287" i="1"/>
  <c r="M287" i="1"/>
  <c r="H287" i="1"/>
  <c r="G287" i="1"/>
  <c r="F287" i="1"/>
  <c r="AO286" i="1"/>
  <c r="AL286" i="1"/>
  <c r="AK286" i="1"/>
  <c r="AF286" i="1"/>
  <c r="AD286" i="1"/>
  <c r="AA286" i="1"/>
  <c r="AE286" i="1" s="1"/>
  <c r="W286" i="1"/>
  <c r="S286" i="1"/>
  <c r="O286" i="1"/>
  <c r="M286" i="1"/>
  <c r="H286" i="1"/>
  <c r="G286" i="1"/>
  <c r="F286" i="1"/>
  <c r="AO285" i="1"/>
  <c r="AD285" i="1" s="1"/>
  <c r="AL285" i="1"/>
  <c r="AK285" i="1"/>
  <c r="AF285" i="1"/>
  <c r="AE285" i="1"/>
  <c r="AI285" i="1" s="1"/>
  <c r="AB285" i="1"/>
  <c r="AA285" i="1"/>
  <c r="W285" i="1"/>
  <c r="S285" i="1"/>
  <c r="O285" i="1"/>
  <c r="M285" i="1"/>
  <c r="H285" i="1"/>
  <c r="G285" i="1"/>
  <c r="F285" i="1"/>
  <c r="AO284" i="1"/>
  <c r="AL284" i="1"/>
  <c r="AK284" i="1"/>
  <c r="AF284" i="1"/>
  <c r="AD284" i="1"/>
  <c r="AA284" i="1"/>
  <c r="AE284" i="1" s="1"/>
  <c r="W284" i="1"/>
  <c r="S284" i="1"/>
  <c r="O284" i="1"/>
  <c r="M284" i="1"/>
  <c r="H284" i="1"/>
  <c r="G284" i="1"/>
  <c r="F284" i="1"/>
  <c r="AO283" i="1"/>
  <c r="AD283" i="1" s="1"/>
  <c r="AL283" i="1"/>
  <c r="AK283" i="1"/>
  <c r="AF283" i="1"/>
  <c r="AE283" i="1"/>
  <c r="AI283" i="1" s="1"/>
  <c r="AB283" i="1"/>
  <c r="AA283" i="1"/>
  <c r="W283" i="1"/>
  <c r="S283" i="1"/>
  <c r="O283" i="1"/>
  <c r="M283" i="1"/>
  <c r="H283" i="1"/>
  <c r="G283" i="1"/>
  <c r="F283" i="1"/>
  <c r="AO282" i="1"/>
  <c r="AL282" i="1"/>
  <c r="AK282" i="1"/>
  <c r="AF282" i="1"/>
  <c r="AD282" i="1"/>
  <c r="AA282" i="1"/>
  <c r="AE282" i="1" s="1"/>
  <c r="W282" i="1"/>
  <c r="S282" i="1"/>
  <c r="O282" i="1"/>
  <c r="M282" i="1"/>
  <c r="H282" i="1"/>
  <c r="G282" i="1"/>
  <c r="F282" i="1"/>
  <c r="AO281" i="1"/>
  <c r="AD281" i="1" s="1"/>
  <c r="AL281" i="1"/>
  <c r="AK281" i="1"/>
  <c r="AF281" i="1"/>
  <c r="AE281" i="1"/>
  <c r="AI281" i="1" s="1"/>
  <c r="AB281" i="1"/>
  <c r="AA281" i="1"/>
  <c r="W281" i="1"/>
  <c r="S281" i="1"/>
  <c r="O281" i="1"/>
  <c r="M281" i="1"/>
  <c r="H281" i="1"/>
  <c r="G281" i="1"/>
  <c r="F281" i="1"/>
  <c r="AO280" i="1"/>
  <c r="AL280" i="1"/>
  <c r="AK280" i="1"/>
  <c r="AF280" i="1"/>
  <c r="AD280" i="1"/>
  <c r="AA280" i="1"/>
  <c r="AE280" i="1" s="1"/>
  <c r="W280" i="1"/>
  <c r="S280" i="1"/>
  <c r="O280" i="1"/>
  <c r="M280" i="1"/>
  <c r="H280" i="1"/>
  <c r="G280" i="1"/>
  <c r="F280" i="1"/>
  <c r="AO279" i="1"/>
  <c r="AD279" i="1" s="1"/>
  <c r="AL279" i="1"/>
  <c r="AK279" i="1"/>
  <c r="AF279" i="1"/>
  <c r="AE279" i="1"/>
  <c r="AI279" i="1" s="1"/>
  <c r="AB279" i="1"/>
  <c r="AA279" i="1"/>
  <c r="W279" i="1"/>
  <c r="S279" i="1"/>
  <c r="O279" i="1"/>
  <c r="M279" i="1"/>
  <c r="H279" i="1"/>
  <c r="G279" i="1"/>
  <c r="F279" i="1"/>
  <c r="AO278" i="1"/>
  <c r="AL278" i="1"/>
  <c r="AK278" i="1"/>
  <c r="AF278" i="1"/>
  <c r="AD278" i="1"/>
  <c r="AA278" i="1"/>
  <c r="AE278" i="1" s="1"/>
  <c r="W278" i="1"/>
  <c r="S278" i="1"/>
  <c r="O278" i="1"/>
  <c r="M278" i="1"/>
  <c r="H278" i="1"/>
  <c r="G278" i="1"/>
  <c r="F278" i="1"/>
  <c r="AO277" i="1"/>
  <c r="AD277" i="1" s="1"/>
  <c r="AL277" i="1"/>
  <c r="AK277" i="1"/>
  <c r="AF277" i="1"/>
  <c r="AE277" i="1"/>
  <c r="AI277" i="1" s="1"/>
  <c r="AB277" i="1"/>
  <c r="AA277" i="1"/>
  <c r="W277" i="1"/>
  <c r="S277" i="1"/>
  <c r="O277" i="1"/>
  <c r="M277" i="1"/>
  <c r="H277" i="1"/>
  <c r="G277" i="1"/>
  <c r="F277" i="1"/>
  <c r="AO276" i="1"/>
  <c r="AL276" i="1"/>
  <c r="AK276" i="1"/>
  <c r="AF276" i="1"/>
  <c r="AD276" i="1"/>
  <c r="AA276" i="1"/>
  <c r="AE276" i="1" s="1"/>
  <c r="W276" i="1"/>
  <c r="S276" i="1"/>
  <c r="O276" i="1"/>
  <c r="M276" i="1"/>
  <c r="H276" i="1"/>
  <c r="G276" i="1"/>
  <c r="F276" i="1"/>
  <c r="AO275" i="1"/>
  <c r="AD275" i="1" s="1"/>
  <c r="AL275" i="1"/>
  <c r="AK275" i="1"/>
  <c r="AF275" i="1"/>
  <c r="AE275" i="1"/>
  <c r="AI275" i="1" s="1"/>
  <c r="AB275" i="1"/>
  <c r="AA275" i="1"/>
  <c r="W275" i="1"/>
  <c r="S275" i="1"/>
  <c r="O275" i="1"/>
  <c r="M275" i="1"/>
  <c r="H275" i="1"/>
  <c r="G275" i="1"/>
  <c r="F275" i="1"/>
  <c r="AO274" i="1"/>
  <c r="AL274" i="1"/>
  <c r="AK274" i="1"/>
  <c r="AF274" i="1"/>
  <c r="AD274" i="1"/>
  <c r="AA274" i="1"/>
  <c r="AE274" i="1" s="1"/>
  <c r="W274" i="1"/>
  <c r="S274" i="1"/>
  <c r="O274" i="1"/>
  <c r="M274" i="1"/>
  <c r="H274" i="1"/>
  <c r="G274" i="1"/>
  <c r="F274" i="1"/>
  <c r="AO273" i="1"/>
  <c r="AD273" i="1" s="1"/>
  <c r="AL273" i="1"/>
  <c r="AK273" i="1"/>
  <c r="AF273" i="1"/>
  <c r="AE273" i="1"/>
  <c r="AI273" i="1" s="1"/>
  <c r="AB273" i="1"/>
  <c r="AA273" i="1"/>
  <c r="W273" i="1"/>
  <c r="S273" i="1"/>
  <c r="O273" i="1"/>
  <c r="M273" i="1"/>
  <c r="H273" i="1"/>
  <c r="G273" i="1"/>
  <c r="F273" i="1"/>
  <c r="AO272" i="1"/>
  <c r="AL272" i="1"/>
  <c r="AK272" i="1"/>
  <c r="AF272" i="1"/>
  <c r="AD272" i="1"/>
  <c r="AA272" i="1"/>
  <c r="AE272" i="1" s="1"/>
  <c r="W272" i="1"/>
  <c r="S272" i="1"/>
  <c r="O272" i="1"/>
  <c r="M272" i="1"/>
  <c r="H272" i="1"/>
  <c r="G272" i="1"/>
  <c r="F272" i="1"/>
  <c r="AO271" i="1"/>
  <c r="AD271" i="1" s="1"/>
  <c r="AL271" i="1"/>
  <c r="AK271" i="1"/>
  <c r="AF271" i="1"/>
  <c r="AE271" i="1"/>
  <c r="AI271" i="1" s="1"/>
  <c r="AB271" i="1"/>
  <c r="AA271" i="1"/>
  <c r="W271" i="1"/>
  <c r="S271" i="1"/>
  <c r="O271" i="1"/>
  <c r="M271" i="1"/>
  <c r="H271" i="1"/>
  <c r="G271" i="1"/>
  <c r="F271" i="1"/>
  <c r="AO270" i="1"/>
  <c r="AL270" i="1"/>
  <c r="AK270" i="1"/>
  <c r="AF270" i="1"/>
  <c r="AD270" i="1"/>
  <c r="AA270" i="1"/>
  <c r="AE270" i="1" s="1"/>
  <c r="W270" i="1"/>
  <c r="S270" i="1"/>
  <c r="O270" i="1"/>
  <c r="M270" i="1"/>
  <c r="H270" i="1"/>
  <c r="G270" i="1"/>
  <c r="F270" i="1"/>
  <c r="AO269" i="1"/>
  <c r="AD269" i="1" s="1"/>
  <c r="AL269" i="1"/>
  <c r="AK269" i="1"/>
  <c r="AF269" i="1"/>
  <c r="AE269" i="1"/>
  <c r="AI269" i="1" s="1"/>
  <c r="AB269" i="1"/>
  <c r="AA269" i="1"/>
  <c r="W269" i="1"/>
  <c r="S269" i="1"/>
  <c r="O269" i="1"/>
  <c r="M269" i="1"/>
  <c r="H269" i="1"/>
  <c r="G269" i="1"/>
  <c r="F269" i="1"/>
  <c r="AO268" i="1"/>
  <c r="AL268" i="1"/>
  <c r="AK268" i="1"/>
  <c r="AF268" i="1"/>
  <c r="AD268" i="1"/>
  <c r="AA268" i="1"/>
  <c r="AE268" i="1" s="1"/>
  <c r="W268" i="1"/>
  <c r="S268" i="1"/>
  <c r="O268" i="1"/>
  <c r="M268" i="1"/>
  <c r="H268" i="1"/>
  <c r="G268" i="1"/>
  <c r="F268" i="1"/>
  <c r="AO267" i="1"/>
  <c r="AD267" i="1" s="1"/>
  <c r="AL267" i="1"/>
  <c r="AK267" i="1"/>
  <c r="AF267" i="1"/>
  <c r="AE267" i="1"/>
  <c r="AI267" i="1" s="1"/>
  <c r="AB267" i="1"/>
  <c r="AA267" i="1"/>
  <c r="W267" i="1"/>
  <c r="S267" i="1"/>
  <c r="O267" i="1"/>
  <c r="M267" i="1"/>
  <c r="H267" i="1"/>
  <c r="G267" i="1"/>
  <c r="F267" i="1"/>
  <c r="AO266" i="1"/>
  <c r="AL266" i="1"/>
  <c r="AK266" i="1"/>
  <c r="AF266" i="1"/>
  <c r="AD266" i="1"/>
  <c r="AA266" i="1"/>
  <c r="AE266" i="1" s="1"/>
  <c r="W266" i="1"/>
  <c r="S266" i="1"/>
  <c r="O266" i="1"/>
  <c r="M266" i="1"/>
  <c r="H266" i="1"/>
  <c r="G266" i="1"/>
  <c r="F266" i="1"/>
  <c r="AO265" i="1"/>
  <c r="AD265" i="1" s="1"/>
  <c r="AL265" i="1"/>
  <c r="AK265" i="1"/>
  <c r="AF265" i="1"/>
  <c r="AE265" i="1"/>
  <c r="AI265" i="1" s="1"/>
  <c r="AB265" i="1"/>
  <c r="AA265" i="1"/>
  <c r="W265" i="1"/>
  <c r="S265" i="1"/>
  <c r="O265" i="1"/>
  <c r="M265" i="1"/>
  <c r="H265" i="1"/>
  <c r="G265" i="1"/>
  <c r="F265" i="1"/>
  <c r="AO264" i="1"/>
  <c r="AL264" i="1"/>
  <c r="AK264" i="1"/>
  <c r="AF264" i="1"/>
  <c r="AD264" i="1"/>
  <c r="AA264" i="1"/>
  <c r="AE264" i="1" s="1"/>
  <c r="W264" i="1"/>
  <c r="S264" i="1"/>
  <c r="O264" i="1"/>
  <c r="M264" i="1"/>
  <c r="H264" i="1"/>
  <c r="G264" i="1"/>
  <c r="F264" i="1"/>
  <c r="AO263" i="1"/>
  <c r="AD263" i="1" s="1"/>
  <c r="AL263" i="1"/>
  <c r="AK263" i="1"/>
  <c r="AF263" i="1"/>
  <c r="AE263" i="1"/>
  <c r="AI263" i="1" s="1"/>
  <c r="AB263" i="1"/>
  <c r="AA263" i="1"/>
  <c r="W263" i="1"/>
  <c r="S263" i="1"/>
  <c r="O263" i="1"/>
  <c r="M263" i="1"/>
  <c r="H263" i="1"/>
  <c r="G263" i="1"/>
  <c r="F263" i="1"/>
  <c r="AO262" i="1"/>
  <c r="AL262" i="1"/>
  <c r="AK262" i="1"/>
  <c r="AF262" i="1"/>
  <c r="AD262" i="1"/>
  <c r="AA262" i="1"/>
  <c r="AE262" i="1" s="1"/>
  <c r="W262" i="1"/>
  <c r="S262" i="1"/>
  <c r="O262" i="1"/>
  <c r="M262" i="1"/>
  <c r="H262" i="1"/>
  <c r="G262" i="1"/>
  <c r="F262" i="1"/>
  <c r="AO261" i="1"/>
  <c r="AD261" i="1" s="1"/>
  <c r="AL261" i="1"/>
  <c r="AK261" i="1"/>
  <c r="AF261" i="1"/>
  <c r="AE261" i="1"/>
  <c r="AI261" i="1" s="1"/>
  <c r="AB261" i="1"/>
  <c r="AA261" i="1"/>
  <c r="W261" i="1"/>
  <c r="S261" i="1"/>
  <c r="O261" i="1"/>
  <c r="M261" i="1"/>
  <c r="H261" i="1"/>
  <c r="G261" i="1"/>
  <c r="F261" i="1"/>
  <c r="AO260" i="1"/>
  <c r="AL260" i="1"/>
  <c r="AK260" i="1"/>
  <c r="AF260" i="1"/>
  <c r="AD260" i="1"/>
  <c r="AA260" i="1"/>
  <c r="AE260" i="1" s="1"/>
  <c r="W260" i="1"/>
  <c r="S260" i="1"/>
  <c r="O260" i="1"/>
  <c r="M260" i="1"/>
  <c r="H260" i="1"/>
  <c r="G260" i="1"/>
  <c r="F260" i="1"/>
  <c r="AO259" i="1"/>
  <c r="AD259" i="1" s="1"/>
  <c r="AL259" i="1"/>
  <c r="AK259" i="1"/>
  <c r="AF259" i="1"/>
  <c r="AE259" i="1"/>
  <c r="AI259" i="1" s="1"/>
  <c r="AB259" i="1"/>
  <c r="AA259" i="1"/>
  <c r="W259" i="1"/>
  <c r="S259" i="1"/>
  <c r="O259" i="1"/>
  <c r="M259" i="1"/>
  <c r="H259" i="1"/>
  <c r="G259" i="1"/>
  <c r="F259" i="1"/>
  <c r="AO258" i="1"/>
  <c r="AL258" i="1"/>
  <c r="AK258" i="1"/>
  <c r="AF258" i="1"/>
  <c r="AD258" i="1"/>
  <c r="AA258" i="1"/>
  <c r="AE258" i="1" s="1"/>
  <c r="W258" i="1"/>
  <c r="S258" i="1"/>
  <c r="O258" i="1"/>
  <c r="M258" i="1"/>
  <c r="H258" i="1"/>
  <c r="G258" i="1"/>
  <c r="F258" i="1"/>
  <c r="AO257" i="1"/>
  <c r="AD257" i="1" s="1"/>
  <c r="AL257" i="1"/>
  <c r="AK257" i="1"/>
  <c r="AF257" i="1"/>
  <c r="AE257" i="1"/>
  <c r="AI257" i="1" s="1"/>
  <c r="AB257" i="1"/>
  <c r="AA257" i="1"/>
  <c r="W257" i="1"/>
  <c r="S257" i="1"/>
  <c r="O257" i="1"/>
  <c r="M257" i="1"/>
  <c r="H257" i="1"/>
  <c r="G257" i="1"/>
  <c r="F257" i="1"/>
  <c r="AO256" i="1"/>
  <c r="AL256" i="1"/>
  <c r="AK256" i="1"/>
  <c r="AF256" i="1"/>
  <c r="AD256" i="1"/>
  <c r="AA256" i="1"/>
  <c r="AE256" i="1" s="1"/>
  <c r="W256" i="1"/>
  <c r="S256" i="1"/>
  <c r="O256" i="1"/>
  <c r="M256" i="1"/>
  <c r="H256" i="1"/>
  <c r="G256" i="1"/>
  <c r="F256" i="1"/>
  <c r="AO255" i="1"/>
  <c r="AD255" i="1" s="1"/>
  <c r="AL255" i="1"/>
  <c r="AK255" i="1"/>
  <c r="AF255" i="1"/>
  <c r="AE255" i="1"/>
  <c r="AI255" i="1" s="1"/>
  <c r="AB255" i="1"/>
  <c r="AA255" i="1"/>
  <c r="W255" i="1"/>
  <c r="S255" i="1"/>
  <c r="O255" i="1"/>
  <c r="M255" i="1"/>
  <c r="H255" i="1"/>
  <c r="G255" i="1"/>
  <c r="F255" i="1"/>
  <c r="AO254" i="1"/>
  <c r="AL254" i="1"/>
  <c r="AK254" i="1"/>
  <c r="AF254" i="1"/>
  <c r="AD254" i="1"/>
  <c r="AA254" i="1"/>
  <c r="AE254" i="1" s="1"/>
  <c r="W254" i="1"/>
  <c r="S254" i="1"/>
  <c r="O254" i="1"/>
  <c r="M254" i="1"/>
  <c r="H254" i="1"/>
  <c r="G254" i="1"/>
  <c r="F254" i="1"/>
  <c r="AO253" i="1"/>
  <c r="AD253" i="1" s="1"/>
  <c r="AL253" i="1"/>
  <c r="AK253" i="1"/>
  <c r="AF253" i="1"/>
  <c r="AE253" i="1"/>
  <c r="AI253" i="1" s="1"/>
  <c r="AB253" i="1"/>
  <c r="AA253" i="1"/>
  <c r="W253" i="1"/>
  <c r="S253" i="1"/>
  <c r="O253" i="1"/>
  <c r="M253" i="1"/>
  <c r="H253" i="1"/>
  <c r="G253" i="1"/>
  <c r="F253" i="1"/>
  <c r="AO252" i="1"/>
  <c r="AL252" i="1"/>
  <c r="AK252" i="1"/>
  <c r="AF252" i="1"/>
  <c r="AD252" i="1"/>
  <c r="AA252" i="1"/>
  <c r="AE252" i="1" s="1"/>
  <c r="W252" i="1"/>
  <c r="S252" i="1"/>
  <c r="O252" i="1"/>
  <c r="M252" i="1"/>
  <c r="H252" i="1"/>
  <c r="G252" i="1"/>
  <c r="F252" i="1"/>
  <c r="AO251" i="1"/>
  <c r="AD251" i="1" s="1"/>
  <c r="AL251" i="1"/>
  <c r="AK251" i="1"/>
  <c r="AF251" i="1"/>
  <c r="AE251" i="1"/>
  <c r="AI251" i="1" s="1"/>
  <c r="AB251" i="1"/>
  <c r="AA251" i="1"/>
  <c r="W251" i="1"/>
  <c r="S251" i="1"/>
  <c r="O251" i="1"/>
  <c r="M251" i="1"/>
  <c r="H251" i="1"/>
  <c r="G251" i="1"/>
  <c r="F251" i="1"/>
  <c r="AO250" i="1"/>
  <c r="AL250" i="1"/>
  <c r="AK250" i="1"/>
  <c r="AF250" i="1"/>
  <c r="AD250" i="1"/>
  <c r="AA250" i="1"/>
  <c r="AE250" i="1" s="1"/>
  <c r="W250" i="1"/>
  <c r="S250" i="1"/>
  <c r="O250" i="1"/>
  <c r="M250" i="1"/>
  <c r="H250" i="1"/>
  <c r="G250" i="1"/>
  <c r="F250" i="1"/>
  <c r="AO249" i="1"/>
  <c r="AD249" i="1" s="1"/>
  <c r="AL249" i="1"/>
  <c r="AK249" i="1"/>
  <c r="AF249" i="1"/>
  <c r="AE249" i="1"/>
  <c r="AI249" i="1" s="1"/>
  <c r="AB249" i="1"/>
  <c r="AA249" i="1"/>
  <c r="W249" i="1"/>
  <c r="S249" i="1"/>
  <c r="O249" i="1"/>
  <c r="M249" i="1"/>
  <c r="H249" i="1"/>
  <c r="G249" i="1"/>
  <c r="F249" i="1"/>
  <c r="AO248" i="1"/>
  <c r="AL248" i="1"/>
  <c r="AK248" i="1"/>
  <c r="AF248" i="1"/>
  <c r="AD248" i="1"/>
  <c r="AA248" i="1"/>
  <c r="AE248" i="1" s="1"/>
  <c r="W248" i="1"/>
  <c r="S248" i="1"/>
  <c r="O248" i="1"/>
  <c r="M248" i="1"/>
  <c r="H248" i="1"/>
  <c r="G248" i="1"/>
  <c r="F248" i="1"/>
  <c r="AO247" i="1"/>
  <c r="AD247" i="1" s="1"/>
  <c r="AL247" i="1"/>
  <c r="AK247" i="1"/>
  <c r="AF247" i="1"/>
  <c r="AE247" i="1"/>
  <c r="AI247" i="1" s="1"/>
  <c r="AB247" i="1"/>
  <c r="AA247" i="1"/>
  <c r="W247" i="1"/>
  <c r="S247" i="1"/>
  <c r="O247" i="1"/>
  <c r="M247" i="1"/>
  <c r="H247" i="1"/>
  <c r="G247" i="1"/>
  <c r="F247" i="1"/>
  <c r="AO246" i="1"/>
  <c r="AL246" i="1"/>
  <c r="AK246" i="1"/>
  <c r="AF246" i="1"/>
  <c r="AD246" i="1"/>
  <c r="AA246" i="1"/>
  <c r="AE246" i="1" s="1"/>
  <c r="W246" i="1"/>
  <c r="S246" i="1"/>
  <c r="O246" i="1"/>
  <c r="M246" i="1"/>
  <c r="H246" i="1"/>
  <c r="G246" i="1"/>
  <c r="F246" i="1"/>
  <c r="AO245" i="1"/>
  <c r="AD245" i="1" s="1"/>
  <c r="AL245" i="1"/>
  <c r="AK245" i="1"/>
  <c r="AF245" i="1"/>
  <c r="AE245" i="1"/>
  <c r="AI245" i="1" s="1"/>
  <c r="AB245" i="1"/>
  <c r="AA245" i="1"/>
  <c r="W245" i="1"/>
  <c r="S245" i="1"/>
  <c r="O245" i="1"/>
  <c r="M245" i="1"/>
  <c r="H245" i="1"/>
  <c r="G245" i="1"/>
  <c r="F245" i="1"/>
  <c r="AO244" i="1"/>
  <c r="AL244" i="1"/>
  <c r="AK244" i="1"/>
  <c r="AF244" i="1"/>
  <c r="AD244" i="1"/>
  <c r="AA244" i="1"/>
  <c r="AE244" i="1" s="1"/>
  <c r="W244" i="1"/>
  <c r="S244" i="1"/>
  <c r="O244" i="1"/>
  <c r="M244" i="1"/>
  <c r="H244" i="1"/>
  <c r="G244" i="1"/>
  <c r="F244" i="1"/>
  <c r="AO243" i="1"/>
  <c r="AD243" i="1" s="1"/>
  <c r="AL243" i="1"/>
  <c r="AK243" i="1"/>
  <c r="AF243" i="1"/>
  <c r="AE243" i="1"/>
  <c r="AI243" i="1" s="1"/>
  <c r="AB243" i="1"/>
  <c r="AA243" i="1"/>
  <c r="W243" i="1"/>
  <c r="S243" i="1"/>
  <c r="O243" i="1"/>
  <c r="M243" i="1"/>
  <c r="H243" i="1"/>
  <c r="G243" i="1"/>
  <c r="F243" i="1"/>
  <c r="AO242" i="1"/>
  <c r="AL242" i="1"/>
  <c r="AK242" i="1"/>
  <c r="AF242" i="1"/>
  <c r="AD242" i="1"/>
  <c r="AA242" i="1"/>
  <c r="AE242" i="1" s="1"/>
  <c r="W242" i="1"/>
  <c r="S242" i="1"/>
  <c r="O242" i="1"/>
  <c r="M242" i="1"/>
  <c r="H242" i="1"/>
  <c r="G242" i="1"/>
  <c r="F242" i="1"/>
  <c r="AO241" i="1"/>
  <c r="AD241" i="1" s="1"/>
  <c r="AL241" i="1"/>
  <c r="AK241" i="1"/>
  <c r="AF241" i="1"/>
  <c r="AE241" i="1"/>
  <c r="AI241" i="1" s="1"/>
  <c r="AB241" i="1"/>
  <c r="AA241" i="1"/>
  <c r="W241" i="1"/>
  <c r="S241" i="1"/>
  <c r="O241" i="1"/>
  <c r="M241" i="1"/>
  <c r="H241" i="1"/>
  <c r="G241" i="1"/>
  <c r="F241" i="1"/>
  <c r="AO240" i="1"/>
  <c r="AL240" i="1"/>
  <c r="AK240" i="1"/>
  <c r="AF240" i="1"/>
  <c r="AD240" i="1"/>
  <c r="AA240" i="1"/>
  <c r="AE240" i="1" s="1"/>
  <c r="W240" i="1"/>
  <c r="S240" i="1"/>
  <c r="O240" i="1"/>
  <c r="M240" i="1"/>
  <c r="H240" i="1"/>
  <c r="G240" i="1"/>
  <c r="F240" i="1"/>
  <c r="AO239" i="1"/>
  <c r="AD239" i="1" s="1"/>
  <c r="AL239" i="1"/>
  <c r="AK239" i="1"/>
  <c r="AF239" i="1"/>
  <c r="AE239" i="1"/>
  <c r="AI239" i="1" s="1"/>
  <c r="AB239" i="1"/>
  <c r="AA239" i="1"/>
  <c r="W239" i="1"/>
  <c r="S239" i="1"/>
  <c r="O239" i="1"/>
  <c r="M239" i="1"/>
  <c r="H239" i="1"/>
  <c r="G239" i="1"/>
  <c r="F239" i="1"/>
  <c r="AO238" i="1"/>
  <c r="AL238" i="1"/>
  <c r="AK238" i="1"/>
  <c r="AF238" i="1"/>
  <c r="AD238" i="1"/>
  <c r="AA238" i="1"/>
  <c r="AE238" i="1" s="1"/>
  <c r="W238" i="1"/>
  <c r="S238" i="1"/>
  <c r="O238" i="1"/>
  <c r="M238" i="1"/>
  <c r="H238" i="1"/>
  <c r="G238" i="1"/>
  <c r="F238" i="1"/>
  <c r="AO237" i="1"/>
  <c r="AD237" i="1" s="1"/>
  <c r="AL237" i="1"/>
  <c r="AK237" i="1"/>
  <c r="AF237" i="1"/>
  <c r="AE237" i="1"/>
  <c r="AI237" i="1" s="1"/>
  <c r="AB237" i="1"/>
  <c r="AA237" i="1"/>
  <c r="W237" i="1"/>
  <c r="S237" i="1"/>
  <c r="O237" i="1"/>
  <c r="M237" i="1"/>
  <c r="H237" i="1"/>
  <c r="G237" i="1"/>
  <c r="F237" i="1"/>
  <c r="AO236" i="1"/>
  <c r="AL236" i="1"/>
  <c r="AK236" i="1"/>
  <c r="AF236" i="1"/>
  <c r="AD236" i="1"/>
  <c r="AA236" i="1"/>
  <c r="AE236" i="1" s="1"/>
  <c r="W236" i="1"/>
  <c r="S236" i="1"/>
  <c r="O236" i="1"/>
  <c r="M236" i="1"/>
  <c r="H236" i="1"/>
  <c r="G236" i="1"/>
  <c r="F236" i="1"/>
  <c r="AO235" i="1"/>
  <c r="AD235" i="1" s="1"/>
  <c r="AL235" i="1"/>
  <c r="AK235" i="1"/>
  <c r="AF235" i="1"/>
  <c r="AE235" i="1"/>
  <c r="AI235" i="1" s="1"/>
  <c r="AB235" i="1"/>
  <c r="AA235" i="1"/>
  <c r="W235" i="1"/>
  <c r="S235" i="1"/>
  <c r="O235" i="1"/>
  <c r="M235" i="1"/>
  <c r="H235" i="1"/>
  <c r="G235" i="1"/>
  <c r="F235" i="1"/>
  <c r="AO234" i="1"/>
  <c r="AL234" i="1"/>
  <c r="AK234" i="1"/>
  <c r="AF234" i="1"/>
  <c r="AD234" i="1"/>
  <c r="AA234" i="1"/>
  <c r="AE234" i="1" s="1"/>
  <c r="W234" i="1"/>
  <c r="S234" i="1"/>
  <c r="O234" i="1"/>
  <c r="M234" i="1"/>
  <c r="H234" i="1"/>
  <c r="G234" i="1"/>
  <c r="F234" i="1"/>
  <c r="AO233" i="1"/>
  <c r="AD233" i="1" s="1"/>
  <c r="AL233" i="1"/>
  <c r="AK233" i="1"/>
  <c r="AF233" i="1"/>
  <c r="AE233" i="1"/>
  <c r="AI233" i="1" s="1"/>
  <c r="AB233" i="1"/>
  <c r="AA233" i="1"/>
  <c r="W233" i="1"/>
  <c r="S233" i="1"/>
  <c r="O233" i="1"/>
  <c r="M233" i="1"/>
  <c r="H233" i="1"/>
  <c r="G233" i="1"/>
  <c r="F233" i="1"/>
  <c r="AO232" i="1"/>
  <c r="AL232" i="1"/>
  <c r="AK232" i="1"/>
  <c r="AF232" i="1"/>
  <c r="AD232" i="1"/>
  <c r="AA232" i="1"/>
  <c r="AE232" i="1" s="1"/>
  <c r="W232" i="1"/>
  <c r="S232" i="1"/>
  <c r="O232" i="1"/>
  <c r="M232" i="1"/>
  <c r="H232" i="1"/>
  <c r="G232" i="1"/>
  <c r="F232" i="1"/>
  <c r="AO231" i="1"/>
  <c r="AD231" i="1" s="1"/>
  <c r="AL231" i="1"/>
  <c r="AK231" i="1"/>
  <c r="AF231" i="1"/>
  <c r="AE231" i="1"/>
  <c r="AI231" i="1" s="1"/>
  <c r="AB231" i="1"/>
  <c r="AA231" i="1"/>
  <c r="W231" i="1"/>
  <c r="S231" i="1"/>
  <c r="O231" i="1"/>
  <c r="M231" i="1"/>
  <c r="H231" i="1"/>
  <c r="G231" i="1"/>
  <c r="F231" i="1"/>
  <c r="AO230" i="1"/>
  <c r="AL230" i="1"/>
  <c r="AK230" i="1"/>
  <c r="AF230" i="1"/>
  <c r="AD230" i="1"/>
  <c r="AA230" i="1"/>
  <c r="AE230" i="1" s="1"/>
  <c r="W230" i="1"/>
  <c r="S230" i="1"/>
  <c r="O230" i="1"/>
  <c r="M230" i="1"/>
  <c r="H230" i="1"/>
  <c r="G230" i="1"/>
  <c r="F230" i="1"/>
  <c r="AO229" i="1"/>
  <c r="AD229" i="1" s="1"/>
  <c r="AL229" i="1"/>
  <c r="AK229" i="1"/>
  <c r="AF229" i="1"/>
  <c r="AE229" i="1"/>
  <c r="AI229" i="1" s="1"/>
  <c r="AB229" i="1"/>
  <c r="AA229" i="1"/>
  <c r="W229" i="1"/>
  <c r="S229" i="1"/>
  <c r="O229" i="1"/>
  <c r="M229" i="1"/>
  <c r="H229" i="1"/>
  <c r="G229" i="1"/>
  <c r="F229" i="1"/>
  <c r="AO228" i="1"/>
  <c r="AL228" i="1"/>
  <c r="AK228" i="1"/>
  <c r="AF228" i="1"/>
  <c r="AD228" i="1"/>
  <c r="AA228" i="1"/>
  <c r="AE228" i="1" s="1"/>
  <c r="W228" i="1"/>
  <c r="S228" i="1"/>
  <c r="O228" i="1"/>
  <c r="M228" i="1"/>
  <c r="H228" i="1"/>
  <c r="G228" i="1"/>
  <c r="F228" i="1"/>
  <c r="AO227" i="1"/>
  <c r="AD227" i="1" s="1"/>
  <c r="AL227" i="1"/>
  <c r="AK227" i="1"/>
  <c r="AF227" i="1"/>
  <c r="AE227" i="1"/>
  <c r="AI227" i="1" s="1"/>
  <c r="AB227" i="1"/>
  <c r="AA227" i="1"/>
  <c r="W227" i="1"/>
  <c r="S227" i="1"/>
  <c r="O227" i="1"/>
  <c r="M227" i="1"/>
  <c r="H227" i="1"/>
  <c r="G227" i="1"/>
  <c r="F227" i="1"/>
  <c r="AO226" i="1"/>
  <c r="AL226" i="1"/>
  <c r="AK226" i="1"/>
  <c r="AF226" i="1"/>
  <c r="AD226" i="1"/>
  <c r="AA226" i="1"/>
  <c r="AE226" i="1" s="1"/>
  <c r="W226" i="1"/>
  <c r="S226" i="1"/>
  <c r="O226" i="1"/>
  <c r="M226" i="1"/>
  <c r="H226" i="1"/>
  <c r="G226" i="1"/>
  <c r="F226" i="1"/>
  <c r="AO225" i="1"/>
  <c r="AD225" i="1" s="1"/>
  <c r="AL225" i="1"/>
  <c r="AK225" i="1"/>
  <c r="AF225" i="1"/>
  <c r="AE225" i="1"/>
  <c r="AI225" i="1" s="1"/>
  <c r="AB225" i="1"/>
  <c r="AA225" i="1"/>
  <c r="W225" i="1"/>
  <c r="S225" i="1"/>
  <c r="O225" i="1"/>
  <c r="M225" i="1"/>
  <c r="H225" i="1"/>
  <c r="G225" i="1"/>
  <c r="F225" i="1"/>
  <c r="AO224" i="1"/>
  <c r="AL224" i="1"/>
  <c r="AK224" i="1"/>
  <c r="AF224" i="1"/>
  <c r="AD224" i="1"/>
  <c r="AA224" i="1"/>
  <c r="AE224" i="1" s="1"/>
  <c r="W224" i="1"/>
  <c r="S224" i="1"/>
  <c r="O224" i="1"/>
  <c r="M224" i="1"/>
  <c r="H224" i="1"/>
  <c r="G224" i="1"/>
  <c r="F224" i="1"/>
  <c r="AO223" i="1"/>
  <c r="AD223" i="1" s="1"/>
  <c r="AL223" i="1"/>
  <c r="AK223" i="1"/>
  <c r="AF223" i="1"/>
  <c r="AE223" i="1"/>
  <c r="AI223" i="1" s="1"/>
  <c r="AB223" i="1"/>
  <c r="AA223" i="1"/>
  <c r="W223" i="1"/>
  <c r="S223" i="1"/>
  <c r="O223" i="1"/>
  <c r="M223" i="1"/>
  <c r="H223" i="1"/>
  <c r="G223" i="1"/>
  <c r="F223" i="1"/>
  <c r="AO222" i="1"/>
  <c r="AL222" i="1"/>
  <c r="AK222" i="1"/>
  <c r="AF222" i="1"/>
  <c r="AD222" i="1"/>
  <c r="AA222" i="1"/>
  <c r="AE222" i="1" s="1"/>
  <c r="W222" i="1"/>
  <c r="S222" i="1"/>
  <c r="O222" i="1"/>
  <c r="M222" i="1"/>
  <c r="H222" i="1"/>
  <c r="G222" i="1"/>
  <c r="F222" i="1"/>
  <c r="AO221" i="1"/>
  <c r="AD221" i="1" s="1"/>
  <c r="AL221" i="1"/>
  <c r="AK221" i="1"/>
  <c r="AF221" i="1"/>
  <c r="AE221" i="1"/>
  <c r="AI221" i="1" s="1"/>
  <c r="AB221" i="1"/>
  <c r="AA221" i="1"/>
  <c r="W221" i="1"/>
  <c r="S221" i="1"/>
  <c r="O221" i="1"/>
  <c r="M221" i="1"/>
  <c r="H221" i="1"/>
  <c r="G221" i="1"/>
  <c r="F221" i="1"/>
  <c r="AO220" i="1"/>
  <c r="AL220" i="1"/>
  <c r="AK220" i="1"/>
  <c r="AF220" i="1"/>
  <c r="AD220" i="1"/>
  <c r="AA220" i="1"/>
  <c r="AE220" i="1" s="1"/>
  <c r="W220" i="1"/>
  <c r="S220" i="1"/>
  <c r="O220" i="1"/>
  <c r="M220" i="1"/>
  <c r="H220" i="1"/>
  <c r="G220" i="1"/>
  <c r="F220" i="1"/>
  <c r="AO219" i="1"/>
  <c r="AD219" i="1" s="1"/>
  <c r="AL219" i="1"/>
  <c r="AK219" i="1"/>
  <c r="AF219" i="1"/>
  <c r="AE219" i="1"/>
  <c r="AI219" i="1" s="1"/>
  <c r="AB219" i="1"/>
  <c r="AA219" i="1"/>
  <c r="W219" i="1"/>
  <c r="S219" i="1"/>
  <c r="O219" i="1"/>
  <c r="M219" i="1"/>
  <c r="H219" i="1"/>
  <c r="G219" i="1"/>
  <c r="F219" i="1"/>
  <c r="AO218" i="1"/>
  <c r="AL218" i="1"/>
  <c r="AK218" i="1"/>
  <c r="AF218" i="1"/>
  <c r="AD218" i="1"/>
  <c r="AA218" i="1"/>
  <c r="AE218" i="1" s="1"/>
  <c r="W218" i="1"/>
  <c r="S218" i="1"/>
  <c r="O218" i="1"/>
  <c r="M218" i="1"/>
  <c r="H218" i="1"/>
  <c r="G218" i="1"/>
  <c r="F218" i="1"/>
  <c r="AO217" i="1"/>
  <c r="AD217" i="1" s="1"/>
  <c r="AL217" i="1"/>
  <c r="AK217" i="1"/>
  <c r="AF217" i="1"/>
  <c r="AE217" i="1"/>
  <c r="AI217" i="1" s="1"/>
  <c r="AB217" i="1"/>
  <c r="AA217" i="1"/>
  <c r="W217" i="1"/>
  <c r="S217" i="1"/>
  <c r="O217" i="1"/>
  <c r="M217" i="1"/>
  <c r="H217" i="1"/>
  <c r="G217" i="1"/>
  <c r="F217" i="1"/>
  <c r="AO216" i="1"/>
  <c r="AL216" i="1"/>
  <c r="AK216" i="1"/>
  <c r="AF216" i="1"/>
  <c r="AD216" i="1"/>
  <c r="AA216" i="1"/>
  <c r="AE216" i="1" s="1"/>
  <c r="W216" i="1"/>
  <c r="S216" i="1"/>
  <c r="O216" i="1"/>
  <c r="M216" i="1"/>
  <c r="H216" i="1"/>
  <c r="G216" i="1"/>
  <c r="F216" i="1"/>
  <c r="AO215" i="1"/>
  <c r="AD215" i="1" s="1"/>
  <c r="AL215" i="1"/>
  <c r="AK215" i="1"/>
  <c r="AF215" i="1"/>
  <c r="AE215" i="1"/>
  <c r="AI215" i="1" s="1"/>
  <c r="AB215" i="1"/>
  <c r="AA215" i="1"/>
  <c r="W215" i="1"/>
  <c r="S215" i="1"/>
  <c r="O215" i="1"/>
  <c r="M215" i="1"/>
  <c r="H215" i="1"/>
  <c r="G215" i="1"/>
  <c r="F215" i="1"/>
  <c r="AO214" i="1"/>
  <c r="AL214" i="1"/>
  <c r="AK214" i="1"/>
  <c r="AF214" i="1"/>
  <c r="AD214" i="1"/>
  <c r="AA214" i="1"/>
  <c r="AE214" i="1" s="1"/>
  <c r="W214" i="1"/>
  <c r="S214" i="1"/>
  <c r="O214" i="1"/>
  <c r="M214" i="1"/>
  <c r="H214" i="1"/>
  <c r="G214" i="1"/>
  <c r="F214" i="1"/>
  <c r="AO213" i="1"/>
  <c r="AD213" i="1" s="1"/>
  <c r="AL213" i="1"/>
  <c r="AK213" i="1"/>
  <c r="AF213" i="1"/>
  <c r="AE213" i="1"/>
  <c r="AI213" i="1" s="1"/>
  <c r="AB213" i="1"/>
  <c r="AA213" i="1"/>
  <c r="W213" i="1"/>
  <c r="S213" i="1"/>
  <c r="O213" i="1"/>
  <c r="M213" i="1"/>
  <c r="H213" i="1"/>
  <c r="G213" i="1"/>
  <c r="F213" i="1"/>
  <c r="AO212" i="1"/>
  <c r="AL212" i="1"/>
  <c r="AK212" i="1"/>
  <c r="AF212" i="1"/>
  <c r="AD212" i="1"/>
  <c r="AA212" i="1"/>
  <c r="AE212" i="1" s="1"/>
  <c r="W212" i="1"/>
  <c r="S212" i="1"/>
  <c r="O212" i="1"/>
  <c r="M212" i="1"/>
  <c r="H212" i="1"/>
  <c r="G212" i="1"/>
  <c r="F212" i="1"/>
  <c r="AO211" i="1"/>
  <c r="AD211" i="1" s="1"/>
  <c r="AL211" i="1"/>
  <c r="AK211" i="1"/>
  <c r="AF211" i="1"/>
  <c r="AE211" i="1"/>
  <c r="AI211" i="1" s="1"/>
  <c r="AB211" i="1"/>
  <c r="AA211" i="1"/>
  <c r="W211" i="1"/>
  <c r="S211" i="1"/>
  <c r="O211" i="1"/>
  <c r="M211" i="1"/>
  <c r="H211" i="1"/>
  <c r="G211" i="1"/>
  <c r="F211" i="1"/>
  <c r="AO210" i="1"/>
  <c r="AL210" i="1"/>
  <c r="AK210" i="1"/>
  <c r="AF210" i="1"/>
  <c r="AD210" i="1"/>
  <c r="AA210" i="1"/>
  <c r="AE210" i="1" s="1"/>
  <c r="W210" i="1"/>
  <c r="S210" i="1"/>
  <c r="O210" i="1"/>
  <c r="M210" i="1"/>
  <c r="H210" i="1"/>
  <c r="G210" i="1"/>
  <c r="F210" i="1"/>
  <c r="AO209" i="1"/>
  <c r="AD209" i="1" s="1"/>
  <c r="AL209" i="1"/>
  <c r="AK209" i="1"/>
  <c r="AF209" i="1"/>
  <c r="AE209" i="1"/>
  <c r="AI209" i="1" s="1"/>
  <c r="AB209" i="1"/>
  <c r="AA209" i="1"/>
  <c r="W209" i="1"/>
  <c r="S209" i="1"/>
  <c r="O209" i="1"/>
  <c r="M209" i="1"/>
  <c r="H209" i="1"/>
  <c r="G209" i="1"/>
  <c r="F209" i="1"/>
  <c r="AO208" i="1"/>
  <c r="AL208" i="1"/>
  <c r="AK208" i="1"/>
  <c r="AF208" i="1"/>
  <c r="AD208" i="1"/>
  <c r="AA208" i="1"/>
  <c r="AE208" i="1" s="1"/>
  <c r="W208" i="1"/>
  <c r="S208" i="1"/>
  <c r="O208" i="1"/>
  <c r="M208" i="1"/>
  <c r="H208" i="1"/>
  <c r="G208" i="1"/>
  <c r="F208" i="1"/>
  <c r="AO207" i="1"/>
  <c r="AD207" i="1" s="1"/>
  <c r="AL207" i="1"/>
  <c r="AK207" i="1"/>
  <c r="AF207" i="1"/>
  <c r="AE207" i="1"/>
  <c r="AI207" i="1" s="1"/>
  <c r="AB207" i="1"/>
  <c r="AA207" i="1"/>
  <c r="W207" i="1"/>
  <c r="S207" i="1"/>
  <c r="O207" i="1"/>
  <c r="M207" i="1"/>
  <c r="H207" i="1"/>
  <c r="G207" i="1"/>
  <c r="F207" i="1"/>
  <c r="AO206" i="1"/>
  <c r="AL206" i="1"/>
  <c r="AK206" i="1"/>
  <c r="AF206" i="1"/>
  <c r="AD206" i="1"/>
  <c r="AA206" i="1"/>
  <c r="AE206" i="1" s="1"/>
  <c r="W206" i="1"/>
  <c r="S206" i="1"/>
  <c r="O206" i="1"/>
  <c r="M206" i="1"/>
  <c r="H206" i="1"/>
  <c r="G206" i="1"/>
  <c r="F206" i="1"/>
  <c r="AO205" i="1"/>
  <c r="AD205" i="1" s="1"/>
  <c r="AL205" i="1"/>
  <c r="AK205" i="1"/>
  <c r="AF205" i="1"/>
  <c r="AE205" i="1"/>
  <c r="AI205" i="1" s="1"/>
  <c r="AB205" i="1"/>
  <c r="AA205" i="1"/>
  <c r="W205" i="1"/>
  <c r="S205" i="1"/>
  <c r="O205" i="1"/>
  <c r="M205" i="1"/>
  <c r="H205" i="1"/>
  <c r="G205" i="1"/>
  <c r="F205" i="1"/>
  <c r="AO204" i="1"/>
  <c r="AL204" i="1"/>
  <c r="AK204" i="1"/>
  <c r="AF204" i="1"/>
  <c r="AD204" i="1"/>
  <c r="AA204" i="1"/>
  <c r="AE204" i="1" s="1"/>
  <c r="W204" i="1"/>
  <c r="S204" i="1"/>
  <c r="O204" i="1"/>
  <c r="M204" i="1"/>
  <c r="H204" i="1"/>
  <c r="G204" i="1"/>
  <c r="F204" i="1"/>
  <c r="AO203" i="1"/>
  <c r="AD203" i="1" s="1"/>
  <c r="AL203" i="1"/>
  <c r="AK203" i="1"/>
  <c r="AF203" i="1"/>
  <c r="AE203" i="1"/>
  <c r="AI203" i="1" s="1"/>
  <c r="AB203" i="1"/>
  <c r="AA203" i="1"/>
  <c r="W203" i="1"/>
  <c r="S203" i="1"/>
  <c r="O203" i="1"/>
  <c r="M203" i="1"/>
  <c r="H203" i="1"/>
  <c r="G203" i="1"/>
  <c r="F203" i="1"/>
  <c r="AO202" i="1"/>
  <c r="AL202" i="1"/>
  <c r="AK202" i="1"/>
  <c r="AF202" i="1"/>
  <c r="AD202" i="1"/>
  <c r="AA202" i="1"/>
  <c r="AE202" i="1" s="1"/>
  <c r="W202" i="1"/>
  <c r="S202" i="1"/>
  <c r="O202" i="1"/>
  <c r="M202" i="1"/>
  <c r="H202" i="1"/>
  <c r="G202" i="1"/>
  <c r="F202" i="1"/>
  <c r="AO201" i="1"/>
  <c r="AD201" i="1" s="1"/>
  <c r="AL201" i="1"/>
  <c r="AK201" i="1"/>
  <c r="AF201" i="1"/>
  <c r="AE201" i="1"/>
  <c r="AI201" i="1" s="1"/>
  <c r="AB201" i="1"/>
  <c r="AA201" i="1"/>
  <c r="W201" i="1"/>
  <c r="S201" i="1"/>
  <c r="O201" i="1"/>
  <c r="M201" i="1"/>
  <c r="H201" i="1"/>
  <c r="G201" i="1"/>
  <c r="F201" i="1"/>
  <c r="AO200" i="1"/>
  <c r="AL200" i="1"/>
  <c r="AK200" i="1"/>
  <c r="AF200" i="1"/>
  <c r="AD200" i="1"/>
  <c r="AA200" i="1"/>
  <c r="AE200" i="1" s="1"/>
  <c r="W200" i="1"/>
  <c r="S200" i="1"/>
  <c r="O200" i="1"/>
  <c r="M200" i="1"/>
  <c r="H200" i="1"/>
  <c r="G200" i="1"/>
  <c r="F200" i="1"/>
  <c r="AO199" i="1"/>
  <c r="AD199" i="1" s="1"/>
  <c r="AL199" i="1"/>
  <c r="AK199" i="1"/>
  <c r="AF199" i="1"/>
  <c r="AE199" i="1"/>
  <c r="AI199" i="1" s="1"/>
  <c r="AB199" i="1"/>
  <c r="AA199" i="1"/>
  <c r="W199" i="1"/>
  <c r="S199" i="1"/>
  <c r="O199" i="1"/>
  <c r="M199" i="1"/>
  <c r="H199" i="1"/>
  <c r="G199" i="1"/>
  <c r="F199" i="1"/>
  <c r="AO198" i="1"/>
  <c r="AL198" i="1"/>
  <c r="AK198" i="1"/>
  <c r="AF198" i="1"/>
  <c r="AD198" i="1"/>
  <c r="AA198" i="1"/>
  <c r="AE198" i="1" s="1"/>
  <c r="W198" i="1"/>
  <c r="S198" i="1"/>
  <c r="O198" i="1"/>
  <c r="M198" i="1"/>
  <c r="H198" i="1"/>
  <c r="G198" i="1"/>
  <c r="F198" i="1"/>
  <c r="AO197" i="1"/>
  <c r="AD197" i="1" s="1"/>
  <c r="AL197" i="1"/>
  <c r="AK197" i="1"/>
  <c r="AF197" i="1"/>
  <c r="AE197" i="1"/>
  <c r="AI197" i="1" s="1"/>
  <c r="AB197" i="1"/>
  <c r="AA197" i="1"/>
  <c r="W197" i="1"/>
  <c r="S197" i="1"/>
  <c r="O197" i="1"/>
  <c r="M197" i="1"/>
  <c r="H197" i="1"/>
  <c r="G197" i="1"/>
  <c r="F197" i="1"/>
  <c r="AO196" i="1"/>
  <c r="AL196" i="1"/>
  <c r="AK196" i="1"/>
  <c r="AF196" i="1"/>
  <c r="AD196" i="1"/>
  <c r="AA196" i="1"/>
  <c r="W196" i="1"/>
  <c r="S196" i="1"/>
  <c r="O196" i="1"/>
  <c r="M196" i="1"/>
  <c r="H196" i="1"/>
  <c r="G196" i="1"/>
  <c r="F196" i="1"/>
  <c r="AO195" i="1"/>
  <c r="AD195" i="1" s="1"/>
  <c r="AL195" i="1"/>
  <c r="AK195" i="1"/>
  <c r="AF195" i="1"/>
  <c r="AE195" i="1"/>
  <c r="AB195" i="1"/>
  <c r="AA195" i="1"/>
  <c r="W195" i="1"/>
  <c r="S195" i="1"/>
  <c r="O195" i="1"/>
  <c r="M195" i="1"/>
  <c r="H195" i="1"/>
  <c r="G195" i="1"/>
  <c r="F195" i="1"/>
  <c r="AO194" i="1"/>
  <c r="AL194" i="1"/>
  <c r="AK194" i="1"/>
  <c r="AF194" i="1"/>
  <c r="AD194" i="1"/>
  <c r="AA194" i="1"/>
  <c r="W194" i="1"/>
  <c r="S194" i="1"/>
  <c r="O194" i="1"/>
  <c r="M194" i="1"/>
  <c r="H194" i="1"/>
  <c r="G194" i="1"/>
  <c r="F194" i="1"/>
  <c r="AO193" i="1"/>
  <c r="AD193" i="1" s="1"/>
  <c r="AL193" i="1"/>
  <c r="AK193" i="1"/>
  <c r="AF193" i="1"/>
  <c r="AE193" i="1"/>
  <c r="AB193" i="1"/>
  <c r="AA193" i="1"/>
  <c r="W193" i="1"/>
  <c r="S193" i="1"/>
  <c r="O193" i="1"/>
  <c r="M193" i="1"/>
  <c r="H193" i="1"/>
  <c r="G193" i="1"/>
  <c r="F193" i="1"/>
  <c r="AO192" i="1"/>
  <c r="AL192" i="1"/>
  <c r="AK192" i="1"/>
  <c r="AF192" i="1"/>
  <c r="AD192" i="1"/>
  <c r="AA192" i="1"/>
  <c r="W192" i="1"/>
  <c r="S192" i="1"/>
  <c r="O192" i="1"/>
  <c r="M192" i="1"/>
  <c r="H192" i="1"/>
  <c r="G192" i="1"/>
  <c r="F192" i="1"/>
  <c r="AO191" i="1"/>
  <c r="AD191" i="1" s="1"/>
  <c r="AL191" i="1"/>
  <c r="AK191" i="1"/>
  <c r="AF191" i="1"/>
  <c r="AE191" i="1"/>
  <c r="AB191" i="1"/>
  <c r="AA191" i="1"/>
  <c r="W191" i="1"/>
  <c r="S191" i="1"/>
  <c r="O191" i="1"/>
  <c r="M191" i="1"/>
  <c r="H191" i="1"/>
  <c r="G191" i="1"/>
  <c r="F191" i="1"/>
  <c r="AO190" i="1"/>
  <c r="AL190" i="1"/>
  <c r="AK190" i="1"/>
  <c r="AF190" i="1"/>
  <c r="AD190" i="1"/>
  <c r="AA190" i="1"/>
  <c r="W190" i="1"/>
  <c r="S190" i="1"/>
  <c r="O190" i="1"/>
  <c r="M190" i="1"/>
  <c r="H190" i="1"/>
  <c r="G190" i="1"/>
  <c r="F190" i="1"/>
  <c r="AO189" i="1"/>
  <c r="AD189" i="1" s="1"/>
  <c r="AL189" i="1"/>
  <c r="AK189" i="1"/>
  <c r="AF189" i="1"/>
  <c r="AE189" i="1"/>
  <c r="AB189" i="1"/>
  <c r="AA189" i="1"/>
  <c r="W189" i="1"/>
  <c r="S189" i="1"/>
  <c r="O189" i="1"/>
  <c r="M189" i="1"/>
  <c r="H189" i="1"/>
  <c r="G189" i="1"/>
  <c r="F189" i="1"/>
  <c r="AO188" i="1"/>
  <c r="AL188" i="1"/>
  <c r="AK188" i="1"/>
  <c r="AF188" i="1"/>
  <c r="AD188" i="1"/>
  <c r="AA188" i="1"/>
  <c r="W188" i="1"/>
  <c r="S188" i="1"/>
  <c r="O188" i="1"/>
  <c r="M188" i="1"/>
  <c r="H188" i="1"/>
  <c r="G188" i="1"/>
  <c r="F188" i="1"/>
  <c r="AO187" i="1"/>
  <c r="AD187" i="1" s="1"/>
  <c r="AL187" i="1"/>
  <c r="AK187" i="1"/>
  <c r="AF187" i="1"/>
  <c r="AE187" i="1"/>
  <c r="AB187" i="1"/>
  <c r="AA187" i="1"/>
  <c r="W187" i="1"/>
  <c r="S187" i="1"/>
  <c r="O187" i="1"/>
  <c r="M187" i="1"/>
  <c r="H187" i="1"/>
  <c r="G187" i="1"/>
  <c r="F187" i="1"/>
  <c r="AO186" i="1"/>
  <c r="AL186" i="1"/>
  <c r="AK186" i="1"/>
  <c r="AF186" i="1"/>
  <c r="AD186" i="1"/>
  <c r="AA186" i="1"/>
  <c r="W186" i="1"/>
  <c r="S186" i="1"/>
  <c r="O186" i="1"/>
  <c r="M186" i="1"/>
  <c r="H186" i="1"/>
  <c r="G186" i="1"/>
  <c r="F186" i="1"/>
  <c r="AO185" i="1"/>
  <c r="AD185" i="1" s="1"/>
  <c r="AL185" i="1"/>
  <c r="AK185" i="1"/>
  <c r="AF185" i="1"/>
  <c r="AE185" i="1"/>
  <c r="AB185" i="1"/>
  <c r="AA185" i="1"/>
  <c r="W185" i="1"/>
  <c r="S185" i="1"/>
  <c r="O185" i="1"/>
  <c r="M185" i="1"/>
  <c r="H185" i="1"/>
  <c r="G185" i="1"/>
  <c r="F185" i="1"/>
  <c r="AO184" i="1"/>
  <c r="AL184" i="1"/>
  <c r="AK184" i="1"/>
  <c r="AF184" i="1"/>
  <c r="AD184" i="1"/>
  <c r="AA184" i="1"/>
  <c r="W184" i="1"/>
  <c r="S184" i="1"/>
  <c r="O184" i="1"/>
  <c r="M184" i="1"/>
  <c r="H184" i="1"/>
  <c r="G184" i="1"/>
  <c r="F184" i="1"/>
  <c r="AO183" i="1"/>
  <c r="AD183" i="1" s="1"/>
  <c r="AL183" i="1"/>
  <c r="AK183" i="1"/>
  <c r="AF183" i="1"/>
  <c r="AE183" i="1"/>
  <c r="AB183" i="1"/>
  <c r="AA183" i="1"/>
  <c r="W183" i="1"/>
  <c r="S183" i="1"/>
  <c r="O183" i="1"/>
  <c r="M183" i="1"/>
  <c r="H183" i="1"/>
  <c r="G183" i="1"/>
  <c r="F183" i="1"/>
  <c r="AO182" i="1"/>
  <c r="AL182" i="1"/>
  <c r="AK182" i="1"/>
  <c r="AF182" i="1"/>
  <c r="AD182" i="1"/>
  <c r="AB182" i="1"/>
  <c r="AA182" i="1"/>
  <c r="AE182" i="1" s="1"/>
  <c r="AI182" i="1" s="1"/>
  <c r="W182" i="1"/>
  <c r="S182" i="1"/>
  <c r="O182" i="1"/>
  <c r="M182" i="1"/>
  <c r="H182" i="1"/>
  <c r="G182" i="1"/>
  <c r="F182" i="1"/>
  <c r="AO181" i="1"/>
  <c r="AL181" i="1"/>
  <c r="AK181" i="1"/>
  <c r="AF181" i="1"/>
  <c r="AD181" i="1"/>
  <c r="AA181" i="1"/>
  <c r="AE181" i="1" s="1"/>
  <c r="W181" i="1"/>
  <c r="S181" i="1"/>
  <c r="O181" i="1"/>
  <c r="M181" i="1"/>
  <c r="H181" i="1"/>
  <c r="G181" i="1"/>
  <c r="F181" i="1"/>
  <c r="AO180" i="1"/>
  <c r="AD180" i="1" s="1"/>
  <c r="AL180" i="1"/>
  <c r="AK180" i="1"/>
  <c r="AF180" i="1"/>
  <c r="AE180" i="1"/>
  <c r="AB180" i="1"/>
  <c r="AA180" i="1"/>
  <c r="W180" i="1"/>
  <c r="S180" i="1"/>
  <c r="O180" i="1"/>
  <c r="M180" i="1"/>
  <c r="H180" i="1"/>
  <c r="G180" i="1"/>
  <c r="F180" i="1"/>
  <c r="AO179" i="1"/>
  <c r="AL179" i="1"/>
  <c r="AK179" i="1"/>
  <c r="AF179" i="1"/>
  <c r="AD179" i="1"/>
  <c r="AA179" i="1"/>
  <c r="AE179" i="1" s="1"/>
  <c r="W179" i="1"/>
  <c r="S179" i="1"/>
  <c r="O179" i="1"/>
  <c r="M179" i="1"/>
  <c r="H179" i="1"/>
  <c r="G179" i="1"/>
  <c r="F179" i="1"/>
  <c r="AO178" i="1"/>
  <c r="AD178" i="1" s="1"/>
  <c r="AL178" i="1"/>
  <c r="AK178" i="1"/>
  <c r="AF178" i="1"/>
  <c r="AE178" i="1"/>
  <c r="AB178" i="1"/>
  <c r="AA178" i="1"/>
  <c r="W178" i="1"/>
  <c r="S178" i="1"/>
  <c r="O178" i="1"/>
  <c r="M178" i="1"/>
  <c r="H178" i="1"/>
  <c r="G178" i="1"/>
  <c r="F178" i="1"/>
  <c r="AO177" i="1"/>
  <c r="AL177" i="1"/>
  <c r="AK177" i="1"/>
  <c r="AF177" i="1"/>
  <c r="AD177" i="1"/>
  <c r="AA177" i="1"/>
  <c r="AE177" i="1" s="1"/>
  <c r="W177" i="1"/>
  <c r="S177" i="1"/>
  <c r="O177" i="1"/>
  <c r="M177" i="1"/>
  <c r="H177" i="1"/>
  <c r="G177" i="1"/>
  <c r="F177" i="1"/>
  <c r="AO176" i="1"/>
  <c r="AD176" i="1" s="1"/>
  <c r="AL176" i="1"/>
  <c r="AK176" i="1"/>
  <c r="AF176" i="1"/>
  <c r="AE176" i="1"/>
  <c r="AB176" i="1"/>
  <c r="AA176" i="1"/>
  <c r="W176" i="1"/>
  <c r="S176" i="1"/>
  <c r="O176" i="1"/>
  <c r="M176" i="1"/>
  <c r="H176" i="1"/>
  <c r="G176" i="1"/>
  <c r="F176" i="1"/>
  <c r="AO175" i="1"/>
  <c r="AL175" i="1"/>
  <c r="AK175" i="1"/>
  <c r="AF175" i="1"/>
  <c r="AD175" i="1"/>
  <c r="AA175" i="1"/>
  <c r="AE175" i="1" s="1"/>
  <c r="W175" i="1"/>
  <c r="S175" i="1"/>
  <c r="O175" i="1"/>
  <c r="M175" i="1"/>
  <c r="H175" i="1"/>
  <c r="G175" i="1"/>
  <c r="F175" i="1"/>
  <c r="AO174" i="1"/>
  <c r="AD174" i="1" s="1"/>
  <c r="AL174" i="1"/>
  <c r="AK174" i="1"/>
  <c r="AF174" i="1"/>
  <c r="AE174" i="1"/>
  <c r="AB174" i="1"/>
  <c r="AA174" i="1"/>
  <c r="W174" i="1"/>
  <c r="S174" i="1"/>
  <c r="O174" i="1"/>
  <c r="M174" i="1"/>
  <c r="H174" i="1"/>
  <c r="G174" i="1"/>
  <c r="F174" i="1"/>
  <c r="AO173" i="1"/>
  <c r="AL173" i="1"/>
  <c r="AK173" i="1"/>
  <c r="AF173" i="1"/>
  <c r="AD173" i="1"/>
  <c r="AA173" i="1"/>
  <c r="AE173" i="1" s="1"/>
  <c r="W173" i="1"/>
  <c r="S173" i="1"/>
  <c r="O173" i="1"/>
  <c r="M173" i="1"/>
  <c r="H173" i="1"/>
  <c r="G173" i="1"/>
  <c r="F173" i="1"/>
  <c r="AO172" i="1"/>
  <c r="AD172" i="1" s="1"/>
  <c r="AL172" i="1"/>
  <c r="AK172" i="1"/>
  <c r="AF172" i="1"/>
  <c r="AE172" i="1"/>
  <c r="AB172" i="1"/>
  <c r="AA172" i="1"/>
  <c r="W172" i="1"/>
  <c r="S172" i="1"/>
  <c r="O172" i="1"/>
  <c r="M172" i="1"/>
  <c r="H172" i="1"/>
  <c r="G172" i="1"/>
  <c r="F172" i="1"/>
  <c r="AO171" i="1"/>
  <c r="AL171" i="1"/>
  <c r="AK171" i="1"/>
  <c r="AF171" i="1"/>
  <c r="AD171" i="1"/>
  <c r="AA171" i="1"/>
  <c r="AE171" i="1" s="1"/>
  <c r="W171" i="1"/>
  <c r="S171" i="1"/>
  <c r="O171" i="1"/>
  <c r="M171" i="1"/>
  <c r="H171" i="1"/>
  <c r="G171" i="1"/>
  <c r="F171" i="1"/>
  <c r="AO170" i="1"/>
  <c r="AD170" i="1" s="1"/>
  <c r="AL170" i="1"/>
  <c r="AK170" i="1"/>
  <c r="AF170" i="1"/>
  <c r="AE170" i="1"/>
  <c r="AB170" i="1"/>
  <c r="AA170" i="1"/>
  <c r="W170" i="1"/>
  <c r="S170" i="1"/>
  <c r="O170" i="1"/>
  <c r="M170" i="1"/>
  <c r="H170" i="1"/>
  <c r="G170" i="1"/>
  <c r="F170" i="1"/>
  <c r="AO169" i="1"/>
  <c r="AL169" i="1"/>
  <c r="AK169" i="1"/>
  <c r="AF169" i="1"/>
  <c r="AD169" i="1"/>
  <c r="AA169" i="1"/>
  <c r="AE169" i="1" s="1"/>
  <c r="W169" i="1"/>
  <c r="S169" i="1"/>
  <c r="O169" i="1"/>
  <c r="M169" i="1"/>
  <c r="H169" i="1"/>
  <c r="G169" i="1"/>
  <c r="F169" i="1"/>
  <c r="AO168" i="1"/>
  <c r="AD168" i="1" s="1"/>
  <c r="AL168" i="1"/>
  <c r="AK168" i="1"/>
  <c r="AF168" i="1"/>
  <c r="AE168" i="1"/>
  <c r="AB168" i="1"/>
  <c r="AA168" i="1"/>
  <c r="W168" i="1"/>
  <c r="S168" i="1"/>
  <c r="O168" i="1"/>
  <c r="M168" i="1"/>
  <c r="H168" i="1"/>
  <c r="G168" i="1"/>
  <c r="F168" i="1"/>
  <c r="AO167" i="1"/>
  <c r="AL167" i="1"/>
  <c r="AK167" i="1"/>
  <c r="AF167" i="1"/>
  <c r="AD167" i="1"/>
  <c r="AA167" i="1"/>
  <c r="AE167" i="1" s="1"/>
  <c r="W167" i="1"/>
  <c r="S167" i="1"/>
  <c r="O167" i="1"/>
  <c r="M167" i="1"/>
  <c r="H167" i="1"/>
  <c r="G167" i="1"/>
  <c r="F167" i="1"/>
  <c r="AO166" i="1"/>
  <c r="AD166" i="1" s="1"/>
  <c r="AL166" i="1"/>
  <c r="AK166" i="1"/>
  <c r="AF166" i="1"/>
  <c r="AE166" i="1"/>
  <c r="AB166" i="1"/>
  <c r="AA166" i="1"/>
  <c r="W166" i="1"/>
  <c r="S166" i="1"/>
  <c r="O166" i="1"/>
  <c r="M166" i="1"/>
  <c r="H166" i="1"/>
  <c r="G166" i="1"/>
  <c r="F166" i="1"/>
  <c r="AO165" i="1"/>
  <c r="AL165" i="1"/>
  <c r="AK165" i="1"/>
  <c r="AF165" i="1"/>
  <c r="AD165" i="1"/>
  <c r="AA165" i="1"/>
  <c r="AE165" i="1" s="1"/>
  <c r="W165" i="1"/>
  <c r="S165" i="1"/>
  <c r="O165" i="1"/>
  <c r="M165" i="1"/>
  <c r="H165" i="1"/>
  <c r="G165" i="1"/>
  <c r="F165" i="1"/>
  <c r="AO164" i="1"/>
  <c r="AD164" i="1" s="1"/>
  <c r="AL164" i="1"/>
  <c r="AK164" i="1"/>
  <c r="AF164" i="1"/>
  <c r="AE164" i="1"/>
  <c r="AB164" i="1"/>
  <c r="AA164" i="1"/>
  <c r="W164" i="1"/>
  <c r="S164" i="1"/>
  <c r="O164" i="1"/>
  <c r="M164" i="1"/>
  <c r="H164" i="1"/>
  <c r="G164" i="1"/>
  <c r="F164" i="1"/>
  <c r="AO163" i="1"/>
  <c r="AL163" i="1"/>
  <c r="AK163" i="1"/>
  <c r="AF163" i="1"/>
  <c r="AD163" i="1"/>
  <c r="AA163" i="1"/>
  <c r="AE163" i="1" s="1"/>
  <c r="W163" i="1"/>
  <c r="S163" i="1"/>
  <c r="O163" i="1"/>
  <c r="M163" i="1"/>
  <c r="H163" i="1"/>
  <c r="G163" i="1"/>
  <c r="F163" i="1"/>
  <c r="AO162" i="1"/>
  <c r="AD162" i="1" s="1"/>
  <c r="AL162" i="1"/>
  <c r="AK162" i="1"/>
  <c r="AF162" i="1"/>
  <c r="AE162" i="1"/>
  <c r="AB162" i="1"/>
  <c r="AA162" i="1"/>
  <c r="W162" i="1"/>
  <c r="S162" i="1"/>
  <c r="O162" i="1"/>
  <c r="M162" i="1"/>
  <c r="H162" i="1"/>
  <c r="G162" i="1"/>
  <c r="F162" i="1"/>
  <c r="AO161" i="1"/>
  <c r="AL161" i="1"/>
  <c r="AK161" i="1"/>
  <c r="AF161" i="1"/>
  <c r="AD161" i="1"/>
  <c r="AA161" i="1"/>
  <c r="AE161" i="1" s="1"/>
  <c r="W161" i="1"/>
  <c r="S161" i="1"/>
  <c r="O161" i="1"/>
  <c r="M161" i="1"/>
  <c r="H161" i="1"/>
  <c r="G161" i="1"/>
  <c r="F161" i="1"/>
  <c r="AO160" i="1"/>
  <c r="AD160" i="1" s="1"/>
  <c r="AL160" i="1"/>
  <c r="AK160" i="1"/>
  <c r="AF160" i="1"/>
  <c r="AE160" i="1"/>
  <c r="AB160" i="1"/>
  <c r="AA160" i="1"/>
  <c r="W160" i="1"/>
  <c r="S160" i="1"/>
  <c r="O160" i="1"/>
  <c r="M160" i="1"/>
  <c r="H160" i="1"/>
  <c r="G160" i="1"/>
  <c r="F160" i="1"/>
  <c r="AO159" i="1"/>
  <c r="AL159" i="1"/>
  <c r="AK159" i="1"/>
  <c r="AF159" i="1"/>
  <c r="AD159" i="1"/>
  <c r="AA159" i="1"/>
  <c r="AE159" i="1" s="1"/>
  <c r="W159" i="1"/>
  <c r="S159" i="1"/>
  <c r="O159" i="1"/>
  <c r="M159" i="1"/>
  <c r="H159" i="1"/>
  <c r="G159" i="1"/>
  <c r="F159" i="1"/>
  <c r="AO158" i="1"/>
  <c r="AD158" i="1" s="1"/>
  <c r="AL158" i="1"/>
  <c r="AK158" i="1"/>
  <c r="AF158" i="1"/>
  <c r="AE158" i="1"/>
  <c r="AB158" i="1"/>
  <c r="AA158" i="1"/>
  <c r="W158" i="1"/>
  <c r="S158" i="1"/>
  <c r="O158" i="1"/>
  <c r="M158" i="1"/>
  <c r="H158" i="1"/>
  <c r="G158" i="1"/>
  <c r="F158" i="1"/>
  <c r="AO157" i="1"/>
  <c r="AL157" i="1"/>
  <c r="AK157" i="1"/>
  <c r="AF157" i="1"/>
  <c r="AD157" i="1"/>
  <c r="AA157" i="1"/>
  <c r="AE157" i="1" s="1"/>
  <c r="W157" i="1"/>
  <c r="S157" i="1"/>
  <c r="O157" i="1"/>
  <c r="M157" i="1"/>
  <c r="H157" i="1"/>
  <c r="G157" i="1"/>
  <c r="F157" i="1"/>
  <c r="AO156" i="1"/>
  <c r="AD156" i="1" s="1"/>
  <c r="AL156" i="1"/>
  <c r="AK156" i="1"/>
  <c r="AF156" i="1"/>
  <c r="AE156" i="1"/>
  <c r="AB156" i="1"/>
  <c r="AA156" i="1"/>
  <c r="W156" i="1"/>
  <c r="S156" i="1"/>
  <c r="O156" i="1"/>
  <c r="M156" i="1"/>
  <c r="H156" i="1"/>
  <c r="G156" i="1"/>
  <c r="F156" i="1"/>
  <c r="AO155" i="1"/>
  <c r="AL155" i="1"/>
  <c r="AK155" i="1"/>
  <c r="AF155" i="1"/>
  <c r="AD155" i="1"/>
  <c r="AA155" i="1"/>
  <c r="AE155" i="1" s="1"/>
  <c r="W155" i="1"/>
  <c r="S155" i="1"/>
  <c r="O155" i="1"/>
  <c r="M155" i="1"/>
  <c r="H155" i="1"/>
  <c r="G155" i="1"/>
  <c r="F155" i="1"/>
  <c r="AO154" i="1"/>
  <c r="AD154" i="1" s="1"/>
  <c r="AL154" i="1"/>
  <c r="AK154" i="1"/>
  <c r="AF154" i="1"/>
  <c r="AE154" i="1"/>
  <c r="AB154" i="1"/>
  <c r="AA154" i="1"/>
  <c r="W154" i="1"/>
  <c r="S154" i="1"/>
  <c r="O154" i="1"/>
  <c r="M154" i="1"/>
  <c r="H154" i="1"/>
  <c r="G154" i="1"/>
  <c r="F154" i="1"/>
  <c r="AO153" i="1"/>
  <c r="AL153" i="1"/>
  <c r="AK153" i="1"/>
  <c r="AF153" i="1"/>
  <c r="AD153" i="1"/>
  <c r="AA153" i="1"/>
  <c r="AE153" i="1" s="1"/>
  <c r="W153" i="1"/>
  <c r="S153" i="1"/>
  <c r="O153" i="1"/>
  <c r="M153" i="1"/>
  <c r="H153" i="1"/>
  <c r="G153" i="1"/>
  <c r="F153" i="1"/>
  <c r="AO152" i="1"/>
  <c r="AD152" i="1" s="1"/>
  <c r="AL152" i="1"/>
  <c r="AK152" i="1"/>
  <c r="AF152" i="1"/>
  <c r="AE152" i="1"/>
  <c r="AB152" i="1"/>
  <c r="AA152" i="1"/>
  <c r="W152" i="1"/>
  <c r="S152" i="1"/>
  <c r="O152" i="1"/>
  <c r="M152" i="1"/>
  <c r="H152" i="1"/>
  <c r="G152" i="1"/>
  <c r="F152" i="1"/>
  <c r="AO151" i="1"/>
  <c r="AL151" i="1"/>
  <c r="AK151" i="1"/>
  <c r="AF151" i="1"/>
  <c r="AD151" i="1"/>
  <c r="AA151" i="1"/>
  <c r="AE151" i="1" s="1"/>
  <c r="W151" i="1"/>
  <c r="S151" i="1"/>
  <c r="O151" i="1"/>
  <c r="M151" i="1"/>
  <c r="H151" i="1"/>
  <c r="G151" i="1"/>
  <c r="F151" i="1"/>
  <c r="AO150" i="1"/>
  <c r="AD150" i="1" s="1"/>
  <c r="AL150" i="1"/>
  <c r="AK150" i="1"/>
  <c r="AF150" i="1"/>
  <c r="AE150" i="1"/>
  <c r="AB150" i="1"/>
  <c r="AA150" i="1"/>
  <c r="W150" i="1"/>
  <c r="S150" i="1"/>
  <c r="O150" i="1"/>
  <c r="M150" i="1"/>
  <c r="H150" i="1"/>
  <c r="G150" i="1"/>
  <c r="F150" i="1"/>
  <c r="AO149" i="1"/>
  <c r="AL149" i="1"/>
  <c r="AK149" i="1"/>
  <c r="AF149" i="1"/>
  <c r="AD149" i="1"/>
  <c r="AA149" i="1"/>
  <c r="AE149" i="1" s="1"/>
  <c r="W149" i="1"/>
  <c r="S149" i="1"/>
  <c r="O149" i="1"/>
  <c r="M149" i="1"/>
  <c r="H149" i="1"/>
  <c r="G149" i="1"/>
  <c r="F149" i="1"/>
  <c r="AO148" i="1"/>
  <c r="AD148" i="1" s="1"/>
  <c r="AL148" i="1"/>
  <c r="AK148" i="1"/>
  <c r="AF148" i="1"/>
  <c r="AE148" i="1"/>
  <c r="AB148" i="1"/>
  <c r="AA148" i="1"/>
  <c r="W148" i="1"/>
  <c r="S148" i="1"/>
  <c r="O148" i="1"/>
  <c r="M148" i="1"/>
  <c r="H148" i="1"/>
  <c r="G148" i="1"/>
  <c r="F148" i="1"/>
  <c r="AO147" i="1"/>
  <c r="AL147" i="1"/>
  <c r="AK147" i="1"/>
  <c r="AF147" i="1"/>
  <c r="AD147" i="1"/>
  <c r="AA147" i="1"/>
  <c r="AE147" i="1" s="1"/>
  <c r="W147" i="1"/>
  <c r="S147" i="1"/>
  <c r="O147" i="1"/>
  <c r="M147" i="1"/>
  <c r="H147" i="1"/>
  <c r="G147" i="1"/>
  <c r="F147" i="1"/>
  <c r="AO146" i="1"/>
  <c r="AD146" i="1" s="1"/>
  <c r="AL146" i="1"/>
  <c r="AK146" i="1"/>
  <c r="AF146" i="1"/>
  <c r="AE146" i="1"/>
  <c r="AB146" i="1"/>
  <c r="AA146" i="1"/>
  <c r="W146" i="1"/>
  <c r="S146" i="1"/>
  <c r="O146" i="1"/>
  <c r="M146" i="1"/>
  <c r="H146" i="1"/>
  <c r="G146" i="1"/>
  <c r="F146" i="1"/>
  <c r="AO145" i="1"/>
  <c r="AL145" i="1"/>
  <c r="AK145" i="1"/>
  <c r="AF145" i="1"/>
  <c r="AD145" i="1"/>
  <c r="AA145" i="1"/>
  <c r="AE145" i="1" s="1"/>
  <c r="W145" i="1"/>
  <c r="S145" i="1"/>
  <c r="O145" i="1"/>
  <c r="M145" i="1"/>
  <c r="H145" i="1"/>
  <c r="G145" i="1"/>
  <c r="F145" i="1"/>
  <c r="AO144" i="1"/>
  <c r="AD144" i="1" s="1"/>
  <c r="AL144" i="1"/>
  <c r="AK144" i="1"/>
  <c r="AF144" i="1"/>
  <c r="AE144" i="1"/>
  <c r="AB144" i="1"/>
  <c r="AA144" i="1"/>
  <c r="W144" i="1"/>
  <c r="S144" i="1"/>
  <c r="O144" i="1"/>
  <c r="M144" i="1"/>
  <c r="H144" i="1"/>
  <c r="G144" i="1"/>
  <c r="F144" i="1"/>
  <c r="AO143" i="1"/>
  <c r="AL143" i="1"/>
  <c r="AK143" i="1"/>
  <c r="AF143" i="1"/>
  <c r="AD143" i="1"/>
  <c r="AA143" i="1"/>
  <c r="AE143" i="1" s="1"/>
  <c r="W143" i="1"/>
  <c r="S143" i="1"/>
  <c r="O143" i="1"/>
  <c r="M143" i="1"/>
  <c r="H143" i="1"/>
  <c r="G143" i="1"/>
  <c r="F143" i="1"/>
  <c r="AO142" i="1"/>
  <c r="AD142" i="1" s="1"/>
  <c r="AL142" i="1"/>
  <c r="AK142" i="1"/>
  <c r="AF142" i="1"/>
  <c r="AE142" i="1"/>
  <c r="AB142" i="1"/>
  <c r="AA142" i="1"/>
  <c r="W142" i="1"/>
  <c r="S142" i="1"/>
  <c r="O142" i="1"/>
  <c r="M142" i="1"/>
  <c r="H142" i="1"/>
  <c r="G142" i="1"/>
  <c r="F142" i="1"/>
  <c r="AO141" i="1"/>
  <c r="AL141" i="1"/>
  <c r="AK141" i="1"/>
  <c r="AF141" i="1"/>
  <c r="AD141" i="1"/>
  <c r="AA141" i="1"/>
  <c r="AE141" i="1" s="1"/>
  <c r="W141" i="1"/>
  <c r="S141" i="1"/>
  <c r="O141" i="1"/>
  <c r="M141" i="1"/>
  <c r="H141" i="1"/>
  <c r="G141" i="1"/>
  <c r="F141" i="1"/>
  <c r="AO140" i="1"/>
  <c r="AD140" i="1" s="1"/>
  <c r="AL140" i="1"/>
  <c r="AK140" i="1"/>
  <c r="AF140" i="1"/>
  <c r="AE140" i="1"/>
  <c r="AB140" i="1"/>
  <c r="AA140" i="1"/>
  <c r="W140" i="1"/>
  <c r="S140" i="1"/>
  <c r="O140" i="1"/>
  <c r="M140" i="1"/>
  <c r="H140" i="1"/>
  <c r="G140" i="1"/>
  <c r="F140" i="1"/>
  <c r="AO139" i="1"/>
  <c r="AL139" i="1"/>
  <c r="AK139" i="1"/>
  <c r="AF139" i="1"/>
  <c r="AD139" i="1"/>
  <c r="AA139" i="1"/>
  <c r="AE139" i="1" s="1"/>
  <c r="W139" i="1"/>
  <c r="S139" i="1"/>
  <c r="O139" i="1"/>
  <c r="M139" i="1"/>
  <c r="H139" i="1"/>
  <c r="G139" i="1"/>
  <c r="F139" i="1"/>
  <c r="AO138" i="1"/>
  <c r="AD138" i="1" s="1"/>
  <c r="AL138" i="1"/>
  <c r="AK138" i="1"/>
  <c r="AF138" i="1"/>
  <c r="AE138" i="1"/>
  <c r="AB138" i="1"/>
  <c r="AA138" i="1"/>
  <c r="W138" i="1"/>
  <c r="S138" i="1"/>
  <c r="O138" i="1"/>
  <c r="M138" i="1"/>
  <c r="H138" i="1"/>
  <c r="G138" i="1"/>
  <c r="F138" i="1"/>
  <c r="AO137" i="1"/>
  <c r="AL137" i="1"/>
  <c r="AK137" i="1"/>
  <c r="AF137" i="1"/>
  <c r="AD137" i="1"/>
  <c r="AA137" i="1"/>
  <c r="AE137" i="1" s="1"/>
  <c r="W137" i="1"/>
  <c r="S137" i="1"/>
  <c r="O137" i="1"/>
  <c r="M137" i="1"/>
  <c r="H137" i="1"/>
  <c r="G137" i="1"/>
  <c r="F137" i="1"/>
  <c r="AO136" i="1"/>
  <c r="AD136" i="1" s="1"/>
  <c r="AL136" i="1"/>
  <c r="AK136" i="1"/>
  <c r="AF136" i="1"/>
  <c r="AE136" i="1"/>
  <c r="AB136" i="1"/>
  <c r="AA136" i="1"/>
  <c r="W136" i="1"/>
  <c r="S136" i="1"/>
  <c r="O136" i="1"/>
  <c r="M136" i="1"/>
  <c r="H136" i="1"/>
  <c r="G136" i="1"/>
  <c r="F136" i="1"/>
  <c r="AO135" i="1"/>
  <c r="AL135" i="1"/>
  <c r="AK135" i="1"/>
  <c r="AF135" i="1"/>
  <c r="AD135" i="1"/>
  <c r="AA135" i="1"/>
  <c r="AE135" i="1" s="1"/>
  <c r="W135" i="1"/>
  <c r="S135" i="1"/>
  <c r="O135" i="1"/>
  <c r="M135" i="1"/>
  <c r="H135" i="1"/>
  <c r="G135" i="1"/>
  <c r="F135" i="1"/>
  <c r="AO134" i="1"/>
  <c r="AD134" i="1" s="1"/>
  <c r="AL134" i="1"/>
  <c r="AK134" i="1"/>
  <c r="AF134" i="1"/>
  <c r="AE134" i="1"/>
  <c r="AB134" i="1"/>
  <c r="AA134" i="1"/>
  <c r="W134" i="1"/>
  <c r="S134" i="1"/>
  <c r="O134" i="1"/>
  <c r="M134" i="1"/>
  <c r="H134" i="1"/>
  <c r="G134" i="1"/>
  <c r="F134" i="1"/>
  <c r="AO133" i="1"/>
  <c r="AL133" i="1"/>
  <c r="AK133" i="1"/>
  <c r="AF133" i="1"/>
  <c r="AD133" i="1"/>
  <c r="AA133" i="1"/>
  <c r="AE133" i="1" s="1"/>
  <c r="W133" i="1"/>
  <c r="S133" i="1"/>
  <c r="O133" i="1"/>
  <c r="M133" i="1"/>
  <c r="H133" i="1"/>
  <c r="G133" i="1"/>
  <c r="F133" i="1"/>
  <c r="AO132" i="1"/>
  <c r="AD132" i="1" s="1"/>
  <c r="AL132" i="1"/>
  <c r="AK132" i="1"/>
  <c r="AF132" i="1"/>
  <c r="AE132" i="1"/>
  <c r="AB132" i="1"/>
  <c r="AA132" i="1"/>
  <c r="W132" i="1"/>
  <c r="S132" i="1"/>
  <c r="O132" i="1"/>
  <c r="M132" i="1"/>
  <c r="H132" i="1"/>
  <c r="G132" i="1"/>
  <c r="F132" i="1"/>
  <c r="AO131" i="1"/>
  <c r="AL131" i="1"/>
  <c r="AK131" i="1"/>
  <c r="AF131" i="1"/>
  <c r="AD131" i="1"/>
  <c r="AA131" i="1"/>
  <c r="AE131" i="1" s="1"/>
  <c r="W131" i="1"/>
  <c r="S131" i="1"/>
  <c r="O131" i="1"/>
  <c r="M131" i="1"/>
  <c r="H131" i="1"/>
  <c r="G131" i="1"/>
  <c r="F131" i="1"/>
  <c r="AO130" i="1"/>
  <c r="AD130" i="1" s="1"/>
  <c r="AL130" i="1"/>
  <c r="AK130" i="1"/>
  <c r="AF130" i="1"/>
  <c r="AE130" i="1"/>
  <c r="AB130" i="1"/>
  <c r="AA130" i="1"/>
  <c r="W130" i="1"/>
  <c r="S130" i="1"/>
  <c r="O130" i="1"/>
  <c r="M130" i="1"/>
  <c r="H130" i="1"/>
  <c r="G130" i="1"/>
  <c r="F130" i="1"/>
  <c r="AO129" i="1"/>
  <c r="AL129" i="1"/>
  <c r="AK129" i="1"/>
  <c r="AF129" i="1"/>
  <c r="AD129" i="1"/>
  <c r="AA129" i="1"/>
  <c r="AE129" i="1" s="1"/>
  <c r="W129" i="1"/>
  <c r="S129" i="1"/>
  <c r="O129" i="1"/>
  <c r="M129" i="1"/>
  <c r="H129" i="1"/>
  <c r="G129" i="1"/>
  <c r="F129" i="1"/>
  <c r="AO128" i="1"/>
  <c r="AD128" i="1" s="1"/>
  <c r="AL128" i="1"/>
  <c r="AK128" i="1"/>
  <c r="AF128" i="1"/>
  <c r="AE128" i="1"/>
  <c r="AB128" i="1"/>
  <c r="AA128" i="1"/>
  <c r="W128" i="1"/>
  <c r="S128" i="1"/>
  <c r="O128" i="1"/>
  <c r="M128" i="1"/>
  <c r="H128" i="1"/>
  <c r="G128" i="1"/>
  <c r="F128" i="1"/>
  <c r="AO127" i="1"/>
  <c r="AL127" i="1"/>
  <c r="AK127" i="1"/>
  <c r="AF127" i="1"/>
  <c r="AD127" i="1"/>
  <c r="AA127" i="1"/>
  <c r="AE127" i="1" s="1"/>
  <c r="W127" i="1"/>
  <c r="S127" i="1"/>
  <c r="O127" i="1"/>
  <c r="M127" i="1"/>
  <c r="H127" i="1"/>
  <c r="G127" i="1"/>
  <c r="F127" i="1"/>
  <c r="AO126" i="1"/>
  <c r="AD126" i="1" s="1"/>
  <c r="AL126" i="1"/>
  <c r="AK126" i="1"/>
  <c r="AF126" i="1"/>
  <c r="AE126" i="1"/>
  <c r="AB126" i="1"/>
  <c r="AA126" i="1"/>
  <c r="W126" i="1"/>
  <c r="S126" i="1"/>
  <c r="O126" i="1"/>
  <c r="M126" i="1"/>
  <c r="H126" i="1"/>
  <c r="G126" i="1"/>
  <c r="F126" i="1"/>
  <c r="AO125" i="1"/>
  <c r="AL125" i="1"/>
  <c r="AK125" i="1"/>
  <c r="AF125" i="1"/>
  <c r="AD125" i="1"/>
  <c r="AA125" i="1"/>
  <c r="AE125" i="1" s="1"/>
  <c r="W125" i="1"/>
  <c r="S125" i="1"/>
  <c r="O125" i="1"/>
  <c r="M125" i="1"/>
  <c r="H125" i="1"/>
  <c r="G125" i="1"/>
  <c r="F125" i="1"/>
  <c r="AO124" i="1"/>
  <c r="AD124" i="1" s="1"/>
  <c r="AL124" i="1"/>
  <c r="AK124" i="1"/>
  <c r="AF124" i="1"/>
  <c r="AE124" i="1"/>
  <c r="AB124" i="1"/>
  <c r="AA124" i="1"/>
  <c r="W124" i="1"/>
  <c r="S124" i="1"/>
  <c r="O124" i="1"/>
  <c r="M124" i="1"/>
  <c r="H124" i="1"/>
  <c r="G124" i="1"/>
  <c r="F124" i="1"/>
  <c r="AO123" i="1"/>
  <c r="AL123" i="1"/>
  <c r="AK123" i="1"/>
  <c r="AF123" i="1"/>
  <c r="AD123" i="1"/>
  <c r="AA123" i="1"/>
  <c r="AE123" i="1" s="1"/>
  <c r="W123" i="1"/>
  <c r="S123" i="1"/>
  <c r="O123" i="1"/>
  <c r="M123" i="1"/>
  <c r="H123" i="1"/>
  <c r="G123" i="1"/>
  <c r="F123" i="1"/>
  <c r="AO122" i="1"/>
  <c r="AD122" i="1" s="1"/>
  <c r="AL122" i="1"/>
  <c r="AK122" i="1"/>
  <c r="AF122" i="1"/>
  <c r="AE122" i="1"/>
  <c r="AB122" i="1"/>
  <c r="AA122" i="1"/>
  <c r="W122" i="1"/>
  <c r="S122" i="1"/>
  <c r="O122" i="1"/>
  <c r="M122" i="1"/>
  <c r="H122" i="1"/>
  <c r="G122" i="1"/>
  <c r="F122" i="1"/>
  <c r="AO121" i="1"/>
  <c r="AL121" i="1"/>
  <c r="AK121" i="1"/>
  <c r="AF121" i="1"/>
  <c r="AD121" i="1"/>
  <c r="AA121" i="1"/>
  <c r="AE121" i="1" s="1"/>
  <c r="W121" i="1"/>
  <c r="S121" i="1"/>
  <c r="O121" i="1"/>
  <c r="M121" i="1"/>
  <c r="H121" i="1"/>
  <c r="G121" i="1"/>
  <c r="F121" i="1"/>
  <c r="AO120" i="1"/>
  <c r="AD120" i="1" s="1"/>
  <c r="AL120" i="1"/>
  <c r="AK120" i="1"/>
  <c r="AF120" i="1"/>
  <c r="AE120" i="1"/>
  <c r="AB120" i="1"/>
  <c r="AA120" i="1"/>
  <c r="W120" i="1"/>
  <c r="S120" i="1"/>
  <c r="O120" i="1"/>
  <c r="M120" i="1"/>
  <c r="H120" i="1"/>
  <c r="G120" i="1"/>
  <c r="F120" i="1"/>
  <c r="AO119" i="1"/>
  <c r="AL119" i="1"/>
  <c r="AK119" i="1"/>
  <c r="AF119" i="1"/>
  <c r="AD119" i="1"/>
  <c r="AA119" i="1"/>
  <c r="AE119" i="1" s="1"/>
  <c r="W119" i="1"/>
  <c r="S119" i="1"/>
  <c r="O119" i="1"/>
  <c r="M119" i="1"/>
  <c r="H119" i="1"/>
  <c r="G119" i="1"/>
  <c r="F119" i="1"/>
  <c r="AO118" i="1"/>
  <c r="AD118" i="1" s="1"/>
  <c r="AL118" i="1"/>
  <c r="AK118" i="1"/>
  <c r="AF118" i="1"/>
  <c r="AE118" i="1"/>
  <c r="AB118" i="1"/>
  <c r="AA118" i="1"/>
  <c r="W118" i="1"/>
  <c r="S118" i="1"/>
  <c r="O118" i="1"/>
  <c r="M118" i="1"/>
  <c r="H118" i="1"/>
  <c r="G118" i="1"/>
  <c r="F118" i="1"/>
  <c r="AO117" i="1"/>
  <c r="AL117" i="1"/>
  <c r="AK117" i="1"/>
  <c r="AF117" i="1"/>
  <c r="AD117" i="1"/>
  <c r="AA117" i="1"/>
  <c r="AE117" i="1" s="1"/>
  <c r="W117" i="1"/>
  <c r="S117" i="1"/>
  <c r="O117" i="1"/>
  <c r="M117" i="1"/>
  <c r="H117" i="1"/>
  <c r="G117" i="1"/>
  <c r="F117" i="1"/>
  <c r="AO116" i="1"/>
  <c r="AD116" i="1" s="1"/>
  <c r="AL116" i="1"/>
  <c r="AK116" i="1"/>
  <c r="AF116" i="1"/>
  <c r="AE116" i="1"/>
  <c r="AB116" i="1"/>
  <c r="AA116" i="1"/>
  <c r="W116" i="1"/>
  <c r="S116" i="1"/>
  <c r="O116" i="1"/>
  <c r="M116" i="1"/>
  <c r="H116" i="1"/>
  <c r="G116" i="1"/>
  <c r="F116" i="1"/>
  <c r="AO115" i="1"/>
  <c r="AL115" i="1"/>
  <c r="AK115" i="1"/>
  <c r="AF115" i="1"/>
  <c r="AD115" i="1"/>
  <c r="AA115" i="1"/>
  <c r="AE115" i="1" s="1"/>
  <c r="W115" i="1"/>
  <c r="S115" i="1"/>
  <c r="O115" i="1"/>
  <c r="M115" i="1"/>
  <c r="H115" i="1"/>
  <c r="G115" i="1"/>
  <c r="F115" i="1"/>
  <c r="AO114" i="1"/>
  <c r="AD114" i="1" s="1"/>
  <c r="AL114" i="1"/>
  <c r="AK114" i="1"/>
  <c r="AF114" i="1"/>
  <c r="AE114" i="1"/>
  <c r="AB114" i="1"/>
  <c r="AA114" i="1"/>
  <c r="W114" i="1"/>
  <c r="S114" i="1"/>
  <c r="O114" i="1"/>
  <c r="M114" i="1"/>
  <c r="H114" i="1"/>
  <c r="G114" i="1"/>
  <c r="F114" i="1"/>
  <c r="AO113" i="1"/>
  <c r="AL113" i="1"/>
  <c r="AK113" i="1"/>
  <c r="AF113" i="1"/>
  <c r="AD113" i="1"/>
  <c r="AA113" i="1"/>
  <c r="AE113" i="1" s="1"/>
  <c r="W113" i="1"/>
  <c r="S113" i="1"/>
  <c r="O113" i="1"/>
  <c r="M113" i="1"/>
  <c r="H113" i="1"/>
  <c r="G113" i="1"/>
  <c r="F113" i="1"/>
  <c r="AO112" i="1"/>
  <c r="AD112" i="1" s="1"/>
  <c r="AL112" i="1"/>
  <c r="AK112" i="1"/>
  <c r="AF112" i="1"/>
  <c r="AE112" i="1"/>
  <c r="AB112" i="1"/>
  <c r="AA112" i="1"/>
  <c r="W112" i="1"/>
  <c r="S112" i="1"/>
  <c r="O112" i="1"/>
  <c r="M112" i="1"/>
  <c r="H112" i="1"/>
  <c r="G112" i="1"/>
  <c r="F112" i="1"/>
  <c r="AO111" i="1"/>
  <c r="AL111" i="1"/>
  <c r="AK111" i="1"/>
  <c r="AF111" i="1"/>
  <c r="AD111" i="1"/>
  <c r="AA111" i="1"/>
  <c r="AE111" i="1" s="1"/>
  <c r="W111" i="1"/>
  <c r="S111" i="1"/>
  <c r="O111" i="1"/>
  <c r="M111" i="1"/>
  <c r="H111" i="1"/>
  <c r="G111" i="1"/>
  <c r="F111" i="1"/>
  <c r="AO110" i="1"/>
  <c r="AD110" i="1" s="1"/>
  <c r="AL110" i="1"/>
  <c r="AK110" i="1"/>
  <c r="AF110" i="1"/>
  <c r="AE110" i="1"/>
  <c r="AB110" i="1"/>
  <c r="AA110" i="1"/>
  <c r="W110" i="1"/>
  <c r="S110" i="1"/>
  <c r="O110" i="1"/>
  <c r="M110" i="1"/>
  <c r="H110" i="1"/>
  <c r="G110" i="1"/>
  <c r="F110" i="1"/>
  <c r="AO109" i="1"/>
  <c r="AL109" i="1"/>
  <c r="AK109" i="1"/>
  <c r="AF109" i="1"/>
  <c r="AD109" i="1"/>
  <c r="AA109" i="1"/>
  <c r="AE109" i="1" s="1"/>
  <c r="W109" i="1"/>
  <c r="S109" i="1"/>
  <c r="O109" i="1"/>
  <c r="M109" i="1"/>
  <c r="H109" i="1"/>
  <c r="G109" i="1"/>
  <c r="F109" i="1"/>
  <c r="AO108" i="1"/>
  <c r="AD108" i="1" s="1"/>
  <c r="AL108" i="1"/>
  <c r="AK108" i="1"/>
  <c r="AF108" i="1"/>
  <c r="AE108" i="1"/>
  <c r="AB108" i="1"/>
  <c r="AA108" i="1"/>
  <c r="W108" i="1"/>
  <c r="S108" i="1"/>
  <c r="O108" i="1"/>
  <c r="M108" i="1"/>
  <c r="H108" i="1"/>
  <c r="G108" i="1"/>
  <c r="F108" i="1"/>
  <c r="AO107" i="1"/>
  <c r="AL107" i="1"/>
  <c r="AK107" i="1"/>
  <c r="AF107" i="1"/>
  <c r="AD107" i="1"/>
  <c r="AA107" i="1"/>
  <c r="AE107" i="1" s="1"/>
  <c r="W107" i="1"/>
  <c r="S107" i="1"/>
  <c r="O107" i="1"/>
  <c r="M107" i="1"/>
  <c r="H107" i="1"/>
  <c r="G107" i="1"/>
  <c r="F107" i="1"/>
  <c r="AO106" i="1"/>
  <c r="AD106" i="1" s="1"/>
  <c r="AL106" i="1"/>
  <c r="AK106" i="1"/>
  <c r="AF106" i="1"/>
  <c r="AE106" i="1"/>
  <c r="AB106" i="1"/>
  <c r="AA106" i="1"/>
  <c r="W106" i="1"/>
  <c r="S106" i="1"/>
  <c r="O106" i="1"/>
  <c r="M106" i="1"/>
  <c r="H106" i="1"/>
  <c r="G106" i="1"/>
  <c r="F106" i="1"/>
  <c r="AO105" i="1"/>
  <c r="AL105" i="1"/>
  <c r="AK105" i="1"/>
  <c r="AF105" i="1"/>
  <c r="AE105" i="1"/>
  <c r="AD105" i="1"/>
  <c r="AB105" i="1"/>
  <c r="AA105" i="1"/>
  <c r="W105" i="1"/>
  <c r="S105" i="1"/>
  <c r="O105" i="1"/>
  <c r="M105" i="1"/>
  <c r="H105" i="1"/>
  <c r="G105" i="1"/>
  <c r="F105" i="1"/>
  <c r="AO104" i="1"/>
  <c r="AL104" i="1"/>
  <c r="AK104" i="1"/>
  <c r="AF104" i="1"/>
  <c r="AD104" i="1"/>
  <c r="AA104" i="1"/>
  <c r="AE104" i="1" s="1"/>
  <c r="W104" i="1"/>
  <c r="S104" i="1"/>
  <c r="O104" i="1"/>
  <c r="M104" i="1"/>
  <c r="H104" i="1"/>
  <c r="G104" i="1"/>
  <c r="F104" i="1"/>
  <c r="AO103" i="1"/>
  <c r="AD103" i="1" s="1"/>
  <c r="AL103" i="1"/>
  <c r="AK103" i="1"/>
  <c r="AF103" i="1"/>
  <c r="AE103" i="1"/>
  <c r="AB103" i="1"/>
  <c r="AA103" i="1"/>
  <c r="W103" i="1"/>
  <c r="S103" i="1"/>
  <c r="O103" i="1"/>
  <c r="M103" i="1"/>
  <c r="H103" i="1"/>
  <c r="G103" i="1"/>
  <c r="F103" i="1"/>
  <c r="AO102" i="1"/>
  <c r="AL102" i="1"/>
  <c r="AK102" i="1"/>
  <c r="AF102" i="1"/>
  <c r="AD102" i="1"/>
  <c r="AA102" i="1"/>
  <c r="AE102" i="1" s="1"/>
  <c r="W102" i="1"/>
  <c r="S102" i="1"/>
  <c r="O102" i="1"/>
  <c r="M102" i="1"/>
  <c r="H102" i="1"/>
  <c r="G102" i="1"/>
  <c r="F102" i="1"/>
  <c r="AO101" i="1"/>
  <c r="AD101" i="1" s="1"/>
  <c r="AL101" i="1"/>
  <c r="AK101" i="1"/>
  <c r="AF101" i="1"/>
  <c r="AE101" i="1"/>
  <c r="AB101" i="1"/>
  <c r="AA101" i="1"/>
  <c r="W101" i="1"/>
  <c r="S101" i="1"/>
  <c r="O101" i="1"/>
  <c r="M101" i="1"/>
  <c r="H101" i="1"/>
  <c r="G101" i="1"/>
  <c r="F101" i="1"/>
  <c r="AO100" i="1"/>
  <c r="AL100" i="1"/>
  <c r="AK100" i="1"/>
  <c r="AF100" i="1"/>
  <c r="AD100" i="1"/>
  <c r="AA100" i="1"/>
  <c r="AE100" i="1" s="1"/>
  <c r="W100" i="1"/>
  <c r="S100" i="1"/>
  <c r="O100" i="1"/>
  <c r="M100" i="1"/>
  <c r="H100" i="1"/>
  <c r="G100" i="1"/>
  <c r="F100" i="1"/>
  <c r="AO99" i="1"/>
  <c r="AD99" i="1" s="1"/>
  <c r="AL99" i="1"/>
  <c r="AK99" i="1"/>
  <c r="AF99" i="1"/>
  <c r="AE99" i="1"/>
  <c r="AB99" i="1"/>
  <c r="AA99" i="1"/>
  <c r="W99" i="1"/>
  <c r="S99" i="1"/>
  <c r="O99" i="1"/>
  <c r="M99" i="1"/>
  <c r="H99" i="1"/>
  <c r="G99" i="1"/>
  <c r="F99" i="1"/>
  <c r="AO98" i="1"/>
  <c r="AL98" i="1"/>
  <c r="AK98" i="1"/>
  <c r="AF98" i="1"/>
  <c r="AD98" i="1"/>
  <c r="AA98" i="1"/>
  <c r="AE98" i="1" s="1"/>
  <c r="W98" i="1"/>
  <c r="S98" i="1"/>
  <c r="O98" i="1"/>
  <c r="M98" i="1"/>
  <c r="H98" i="1"/>
  <c r="G98" i="1"/>
  <c r="F98" i="1"/>
  <c r="AO97" i="1"/>
  <c r="AD97" i="1" s="1"/>
  <c r="AL97" i="1"/>
  <c r="AK97" i="1"/>
  <c r="AF97" i="1"/>
  <c r="AE97" i="1"/>
  <c r="AB97" i="1"/>
  <c r="AA97" i="1"/>
  <c r="W97" i="1"/>
  <c r="S97" i="1"/>
  <c r="O97" i="1"/>
  <c r="M97" i="1"/>
  <c r="H97" i="1"/>
  <c r="G97" i="1"/>
  <c r="F97" i="1"/>
  <c r="AO96" i="1"/>
  <c r="AL96" i="1"/>
  <c r="AK96" i="1"/>
  <c r="AF96" i="1"/>
  <c r="AD96" i="1"/>
  <c r="AA96" i="1"/>
  <c r="AE96" i="1" s="1"/>
  <c r="W96" i="1"/>
  <c r="S96" i="1"/>
  <c r="O96" i="1"/>
  <c r="M96" i="1"/>
  <c r="H96" i="1"/>
  <c r="G96" i="1"/>
  <c r="F96" i="1"/>
  <c r="AO95" i="1"/>
  <c r="AD95" i="1" s="1"/>
  <c r="AL95" i="1"/>
  <c r="AK95" i="1"/>
  <c r="AF95" i="1"/>
  <c r="AE95" i="1"/>
  <c r="AB95" i="1"/>
  <c r="AA95" i="1"/>
  <c r="W95" i="1"/>
  <c r="S95" i="1"/>
  <c r="O95" i="1"/>
  <c r="M95" i="1"/>
  <c r="H95" i="1"/>
  <c r="G95" i="1"/>
  <c r="F95" i="1"/>
  <c r="AO94" i="1"/>
  <c r="AL94" i="1"/>
  <c r="AK94" i="1"/>
  <c r="AF94" i="1"/>
  <c r="AD94" i="1"/>
  <c r="AA94" i="1"/>
  <c r="AE94" i="1" s="1"/>
  <c r="W94" i="1"/>
  <c r="S94" i="1"/>
  <c r="O94" i="1"/>
  <c r="M94" i="1"/>
  <c r="H94" i="1"/>
  <c r="G94" i="1"/>
  <c r="F94" i="1"/>
  <c r="AO93" i="1"/>
  <c r="AD93" i="1" s="1"/>
  <c r="AL93" i="1"/>
  <c r="AK93" i="1"/>
  <c r="AF93" i="1"/>
  <c r="AE93" i="1"/>
  <c r="AB93" i="1"/>
  <c r="AA93" i="1"/>
  <c r="W93" i="1"/>
  <c r="S93" i="1"/>
  <c r="O93" i="1"/>
  <c r="M93" i="1"/>
  <c r="H93" i="1"/>
  <c r="G93" i="1"/>
  <c r="F93" i="1"/>
  <c r="AO92" i="1"/>
  <c r="AL92" i="1"/>
  <c r="AK92" i="1"/>
  <c r="AF92" i="1"/>
  <c r="AD92" i="1"/>
  <c r="AA92" i="1"/>
  <c r="AE92" i="1" s="1"/>
  <c r="W92" i="1"/>
  <c r="S92" i="1"/>
  <c r="O92" i="1"/>
  <c r="M92" i="1"/>
  <c r="H92" i="1"/>
  <c r="G92" i="1"/>
  <c r="F92" i="1"/>
  <c r="AO91" i="1"/>
  <c r="AD91" i="1" s="1"/>
  <c r="AL91" i="1"/>
  <c r="AK91" i="1"/>
  <c r="AF91" i="1"/>
  <c r="AE91" i="1"/>
  <c r="AB91" i="1"/>
  <c r="AA91" i="1"/>
  <c r="W91" i="1"/>
  <c r="S91" i="1"/>
  <c r="O91" i="1"/>
  <c r="M91" i="1"/>
  <c r="H91" i="1"/>
  <c r="G91" i="1"/>
  <c r="F91" i="1"/>
  <c r="AO90" i="1"/>
  <c r="AL90" i="1"/>
  <c r="AK90" i="1"/>
  <c r="AF90" i="1"/>
  <c r="AD90" i="1"/>
  <c r="AA90" i="1"/>
  <c r="AE90" i="1" s="1"/>
  <c r="W90" i="1"/>
  <c r="S90" i="1"/>
  <c r="O90" i="1"/>
  <c r="M90" i="1"/>
  <c r="H90" i="1"/>
  <c r="G90" i="1"/>
  <c r="F90" i="1"/>
  <c r="AO89" i="1"/>
  <c r="AD89" i="1" s="1"/>
  <c r="AL89" i="1"/>
  <c r="AK89" i="1"/>
  <c r="AF89" i="1"/>
  <c r="AE89" i="1"/>
  <c r="AB89" i="1"/>
  <c r="AA89" i="1"/>
  <c r="W89" i="1"/>
  <c r="S89" i="1"/>
  <c r="O89" i="1"/>
  <c r="M89" i="1"/>
  <c r="H89" i="1"/>
  <c r="G89" i="1"/>
  <c r="F89" i="1"/>
  <c r="AO88" i="1"/>
  <c r="AL88" i="1"/>
  <c r="AK88" i="1"/>
  <c r="AF88" i="1"/>
  <c r="AD88" i="1"/>
  <c r="AA88" i="1"/>
  <c r="AE88" i="1" s="1"/>
  <c r="W88" i="1"/>
  <c r="S88" i="1"/>
  <c r="O88" i="1"/>
  <c r="M88" i="1"/>
  <c r="H88" i="1"/>
  <c r="G88" i="1"/>
  <c r="F88" i="1"/>
  <c r="AO87" i="1"/>
  <c r="AD87" i="1" s="1"/>
  <c r="AL87" i="1"/>
  <c r="AK87" i="1"/>
  <c r="AF87" i="1"/>
  <c r="AE87" i="1"/>
  <c r="AB87" i="1"/>
  <c r="AA87" i="1"/>
  <c r="W87" i="1"/>
  <c r="S87" i="1"/>
  <c r="O87" i="1"/>
  <c r="M87" i="1"/>
  <c r="H87" i="1"/>
  <c r="G87" i="1"/>
  <c r="F87" i="1"/>
  <c r="AO86" i="1"/>
  <c r="AL86" i="1"/>
  <c r="AK86" i="1"/>
  <c r="AF86" i="1"/>
  <c r="AD86" i="1"/>
  <c r="AA86" i="1"/>
  <c r="AE86" i="1" s="1"/>
  <c r="W86" i="1"/>
  <c r="S86" i="1"/>
  <c r="O86" i="1"/>
  <c r="M86" i="1"/>
  <c r="H86" i="1"/>
  <c r="G86" i="1"/>
  <c r="F86" i="1"/>
  <c r="AO85" i="1"/>
  <c r="AD85" i="1" s="1"/>
  <c r="AL85" i="1"/>
  <c r="AK85" i="1"/>
  <c r="AF85" i="1"/>
  <c r="AE85" i="1"/>
  <c r="AB85" i="1"/>
  <c r="AA85" i="1"/>
  <c r="W85" i="1"/>
  <c r="S85" i="1"/>
  <c r="O85" i="1"/>
  <c r="M85" i="1"/>
  <c r="H85" i="1"/>
  <c r="G85" i="1"/>
  <c r="F85" i="1"/>
  <c r="AO84" i="1"/>
  <c r="AL84" i="1"/>
  <c r="AK84" i="1"/>
  <c r="AF84" i="1"/>
  <c r="AD84" i="1"/>
  <c r="AA84" i="1"/>
  <c r="AE84" i="1" s="1"/>
  <c r="W84" i="1"/>
  <c r="S84" i="1"/>
  <c r="O84" i="1"/>
  <c r="M84" i="1"/>
  <c r="H84" i="1"/>
  <c r="G84" i="1"/>
  <c r="F84" i="1"/>
  <c r="AO83" i="1"/>
  <c r="AD83" i="1" s="1"/>
  <c r="AL83" i="1"/>
  <c r="AK83" i="1"/>
  <c r="AF83" i="1"/>
  <c r="AE83" i="1"/>
  <c r="AB83" i="1"/>
  <c r="AA83" i="1"/>
  <c r="W83" i="1"/>
  <c r="S83" i="1"/>
  <c r="O83" i="1"/>
  <c r="M83" i="1"/>
  <c r="H83" i="1"/>
  <c r="G83" i="1"/>
  <c r="F83" i="1"/>
  <c r="AO82" i="1"/>
  <c r="AL82" i="1"/>
  <c r="AK82" i="1"/>
  <c r="AF82" i="1"/>
  <c r="AD82" i="1"/>
  <c r="AA82" i="1"/>
  <c r="AE82" i="1" s="1"/>
  <c r="W82" i="1"/>
  <c r="S82" i="1"/>
  <c r="O82" i="1"/>
  <c r="M82" i="1"/>
  <c r="H82" i="1"/>
  <c r="G82" i="1"/>
  <c r="F82" i="1"/>
  <c r="AO81" i="1"/>
  <c r="AD81" i="1" s="1"/>
  <c r="AL81" i="1"/>
  <c r="AK81" i="1"/>
  <c r="AF81" i="1"/>
  <c r="AE81" i="1"/>
  <c r="AB81" i="1"/>
  <c r="AA81" i="1"/>
  <c r="W81" i="1"/>
  <c r="S81" i="1"/>
  <c r="O81" i="1"/>
  <c r="M81" i="1"/>
  <c r="H81" i="1"/>
  <c r="G81" i="1"/>
  <c r="F81" i="1"/>
  <c r="AO80" i="1"/>
  <c r="AL80" i="1"/>
  <c r="AK80" i="1"/>
  <c r="AF80" i="1"/>
  <c r="AD80" i="1"/>
  <c r="AA80" i="1"/>
  <c r="AE80" i="1" s="1"/>
  <c r="W80" i="1"/>
  <c r="S80" i="1"/>
  <c r="O80" i="1"/>
  <c r="M80" i="1"/>
  <c r="H80" i="1"/>
  <c r="G80" i="1"/>
  <c r="F80" i="1"/>
  <c r="AO79" i="1"/>
  <c r="AD79" i="1" s="1"/>
  <c r="AL79" i="1"/>
  <c r="AK79" i="1"/>
  <c r="AF79" i="1"/>
  <c r="AE79" i="1"/>
  <c r="AB79" i="1"/>
  <c r="AA79" i="1"/>
  <c r="W79" i="1"/>
  <c r="S79" i="1"/>
  <c r="O79" i="1"/>
  <c r="M79" i="1"/>
  <c r="H79" i="1"/>
  <c r="G79" i="1"/>
  <c r="F79" i="1"/>
  <c r="AO78" i="1"/>
  <c r="AL78" i="1"/>
  <c r="AK78" i="1"/>
  <c r="AF78" i="1"/>
  <c r="AD78" i="1"/>
  <c r="AA78" i="1"/>
  <c r="AE78" i="1" s="1"/>
  <c r="W78" i="1"/>
  <c r="S78" i="1"/>
  <c r="O78" i="1"/>
  <c r="M78" i="1"/>
  <c r="H78" i="1"/>
  <c r="G78" i="1"/>
  <c r="F78" i="1"/>
  <c r="AO77" i="1"/>
  <c r="AD77" i="1" s="1"/>
  <c r="AL77" i="1"/>
  <c r="AK77" i="1"/>
  <c r="AF77" i="1"/>
  <c r="AE77" i="1"/>
  <c r="AB77" i="1"/>
  <c r="AA77" i="1"/>
  <c r="W77" i="1"/>
  <c r="S77" i="1"/>
  <c r="O77" i="1"/>
  <c r="M77" i="1"/>
  <c r="H77" i="1"/>
  <c r="G77" i="1"/>
  <c r="F77" i="1"/>
  <c r="AO76" i="1"/>
  <c r="AL76" i="1"/>
  <c r="AK76" i="1"/>
  <c r="AF76" i="1"/>
  <c r="AD76" i="1"/>
  <c r="AA76" i="1"/>
  <c r="AE76" i="1" s="1"/>
  <c r="W76" i="1"/>
  <c r="S76" i="1"/>
  <c r="O76" i="1"/>
  <c r="M76" i="1"/>
  <c r="H76" i="1"/>
  <c r="G76" i="1"/>
  <c r="F76" i="1"/>
  <c r="AO75" i="1"/>
  <c r="AD75" i="1" s="1"/>
  <c r="AL75" i="1"/>
  <c r="AK75" i="1"/>
  <c r="AF75" i="1"/>
  <c r="AE75" i="1"/>
  <c r="AB75" i="1"/>
  <c r="AA75" i="1"/>
  <c r="W75" i="1"/>
  <c r="S75" i="1"/>
  <c r="O75" i="1"/>
  <c r="M75" i="1"/>
  <c r="H75" i="1"/>
  <c r="G75" i="1"/>
  <c r="F75" i="1"/>
  <c r="AO74" i="1"/>
  <c r="AL74" i="1"/>
  <c r="AK74" i="1"/>
  <c r="AF74" i="1"/>
  <c r="AD74" i="1"/>
  <c r="AA74" i="1"/>
  <c r="AE74" i="1" s="1"/>
  <c r="W74" i="1"/>
  <c r="S74" i="1"/>
  <c r="O74" i="1"/>
  <c r="M74" i="1"/>
  <c r="H74" i="1"/>
  <c r="G74" i="1"/>
  <c r="F74" i="1"/>
  <c r="AO73" i="1"/>
  <c r="AD73" i="1" s="1"/>
  <c r="AL73" i="1"/>
  <c r="AK73" i="1"/>
  <c r="AI73" i="1"/>
  <c r="AF73" i="1"/>
  <c r="AE73" i="1"/>
  <c r="AJ73" i="1" s="1"/>
  <c r="AB73" i="1"/>
  <c r="AA73" i="1"/>
  <c r="W73" i="1"/>
  <c r="S73" i="1"/>
  <c r="O73" i="1"/>
  <c r="M73" i="1"/>
  <c r="H73" i="1"/>
  <c r="G73" i="1"/>
  <c r="F73" i="1"/>
  <c r="AO72" i="1"/>
  <c r="AL72" i="1"/>
  <c r="AK72" i="1"/>
  <c r="AF72" i="1"/>
  <c r="AD72" i="1"/>
  <c r="AA72" i="1"/>
  <c r="AE72" i="1" s="1"/>
  <c r="W72" i="1"/>
  <c r="S72" i="1"/>
  <c r="O72" i="1"/>
  <c r="M72" i="1"/>
  <c r="H72" i="1"/>
  <c r="G72" i="1"/>
  <c r="F72" i="1"/>
  <c r="AO71" i="1"/>
  <c r="AD71" i="1" s="1"/>
  <c r="AL71" i="1"/>
  <c r="AK71" i="1"/>
  <c r="AF71" i="1"/>
  <c r="AE71" i="1"/>
  <c r="AB71" i="1"/>
  <c r="AA71" i="1"/>
  <c r="W71" i="1"/>
  <c r="S71" i="1"/>
  <c r="O71" i="1"/>
  <c r="M71" i="1"/>
  <c r="H71" i="1"/>
  <c r="G71" i="1"/>
  <c r="F71" i="1"/>
  <c r="AO70" i="1"/>
  <c r="AL70" i="1"/>
  <c r="AK70" i="1"/>
  <c r="AF70" i="1"/>
  <c r="AD70" i="1"/>
  <c r="AA70" i="1"/>
  <c r="AE70" i="1" s="1"/>
  <c r="W70" i="1"/>
  <c r="S70" i="1"/>
  <c r="O70" i="1"/>
  <c r="M70" i="1"/>
  <c r="H70" i="1"/>
  <c r="G70" i="1"/>
  <c r="F70" i="1"/>
  <c r="AO69" i="1"/>
  <c r="AD69" i="1" s="1"/>
  <c r="AL69" i="1"/>
  <c r="AK69" i="1"/>
  <c r="AF69" i="1"/>
  <c r="AE69" i="1"/>
  <c r="AB69" i="1"/>
  <c r="AA69" i="1"/>
  <c r="W69" i="1"/>
  <c r="S69" i="1"/>
  <c r="O69" i="1"/>
  <c r="M69" i="1"/>
  <c r="H69" i="1"/>
  <c r="G69" i="1"/>
  <c r="F69" i="1"/>
  <c r="AO68" i="1"/>
  <c r="AL68" i="1"/>
  <c r="AK68" i="1"/>
  <c r="AF68" i="1"/>
  <c r="AD68" i="1"/>
  <c r="AA68" i="1"/>
  <c r="AE68" i="1" s="1"/>
  <c r="W68" i="1"/>
  <c r="S68" i="1"/>
  <c r="O68" i="1"/>
  <c r="M68" i="1"/>
  <c r="H68" i="1"/>
  <c r="G68" i="1"/>
  <c r="F68" i="1"/>
  <c r="AO67" i="1"/>
  <c r="AD67" i="1" s="1"/>
  <c r="AL67" i="1"/>
  <c r="AK67" i="1"/>
  <c r="AF67" i="1"/>
  <c r="AE67" i="1"/>
  <c r="AI67" i="1" s="1"/>
  <c r="AB67" i="1"/>
  <c r="AA67" i="1"/>
  <c r="W67" i="1"/>
  <c r="S67" i="1"/>
  <c r="O67" i="1"/>
  <c r="M67" i="1"/>
  <c r="H67" i="1"/>
  <c r="G67" i="1"/>
  <c r="F67" i="1"/>
  <c r="AO66" i="1"/>
  <c r="AL66" i="1"/>
  <c r="AK66" i="1"/>
  <c r="AF66" i="1"/>
  <c r="AD66" i="1"/>
  <c r="AA66" i="1"/>
  <c r="AE66" i="1" s="1"/>
  <c r="W66" i="1"/>
  <c r="S66" i="1"/>
  <c r="O66" i="1"/>
  <c r="M66" i="1"/>
  <c r="H66" i="1"/>
  <c r="G66" i="1"/>
  <c r="F66" i="1"/>
  <c r="AO65" i="1"/>
  <c r="AD65" i="1" s="1"/>
  <c r="AL65" i="1"/>
  <c r="AK65" i="1"/>
  <c r="AF65" i="1"/>
  <c r="AE65" i="1"/>
  <c r="AB65" i="1"/>
  <c r="AA65" i="1"/>
  <c r="W65" i="1"/>
  <c r="S65" i="1"/>
  <c r="O65" i="1"/>
  <c r="M65" i="1"/>
  <c r="H65" i="1"/>
  <c r="G65" i="1"/>
  <c r="F65" i="1"/>
  <c r="AO64" i="1"/>
  <c r="AL64" i="1"/>
  <c r="AK64" i="1"/>
  <c r="AF64" i="1"/>
  <c r="AD64" i="1"/>
  <c r="AA64" i="1"/>
  <c r="AE64" i="1" s="1"/>
  <c r="W64" i="1"/>
  <c r="S64" i="1"/>
  <c r="O64" i="1"/>
  <c r="M64" i="1"/>
  <c r="H64" i="1"/>
  <c r="G64" i="1"/>
  <c r="F64" i="1"/>
  <c r="AO63" i="1"/>
  <c r="AD63" i="1" s="1"/>
  <c r="AL63" i="1"/>
  <c r="AK63" i="1"/>
  <c r="AF63" i="1"/>
  <c r="AE63" i="1"/>
  <c r="AB63" i="1"/>
  <c r="AA63" i="1"/>
  <c r="W63" i="1"/>
  <c r="S63" i="1"/>
  <c r="O63" i="1"/>
  <c r="M63" i="1"/>
  <c r="H63" i="1"/>
  <c r="G63" i="1"/>
  <c r="F63" i="1"/>
  <c r="AO62" i="1"/>
  <c r="AL62" i="1"/>
  <c r="AK62" i="1"/>
  <c r="AF62" i="1"/>
  <c r="AD62" i="1"/>
  <c r="AA62" i="1"/>
  <c r="AE62" i="1" s="1"/>
  <c r="W62" i="1"/>
  <c r="S62" i="1"/>
  <c r="O62" i="1"/>
  <c r="M62" i="1"/>
  <c r="H62" i="1"/>
  <c r="G62" i="1"/>
  <c r="F62" i="1"/>
  <c r="AO61" i="1"/>
  <c r="AD61" i="1" s="1"/>
  <c r="AL61" i="1"/>
  <c r="AK61" i="1"/>
  <c r="AF61" i="1"/>
  <c r="AE61" i="1"/>
  <c r="AB61" i="1"/>
  <c r="AA61" i="1"/>
  <c r="W61" i="1"/>
  <c r="S61" i="1"/>
  <c r="O61" i="1"/>
  <c r="M61" i="1"/>
  <c r="H61" i="1"/>
  <c r="G61" i="1"/>
  <c r="F61" i="1"/>
  <c r="AO60" i="1"/>
  <c r="AL60" i="1"/>
  <c r="AK60" i="1"/>
  <c r="AF60" i="1"/>
  <c r="AD60" i="1"/>
  <c r="AA60" i="1"/>
  <c r="AE60" i="1" s="1"/>
  <c r="W60" i="1"/>
  <c r="S60" i="1"/>
  <c r="O60" i="1"/>
  <c r="M60" i="1"/>
  <c r="H60" i="1"/>
  <c r="G60" i="1"/>
  <c r="F60" i="1"/>
  <c r="AO59" i="1"/>
  <c r="AD59" i="1" s="1"/>
  <c r="AL59" i="1"/>
  <c r="AK59" i="1"/>
  <c r="AF59" i="1"/>
  <c r="AE59" i="1"/>
  <c r="AI59" i="1" s="1"/>
  <c r="AB59" i="1"/>
  <c r="AA59" i="1"/>
  <c r="W59" i="1"/>
  <c r="S59" i="1"/>
  <c r="O59" i="1"/>
  <c r="M59" i="1"/>
  <c r="H59" i="1"/>
  <c r="G59" i="1"/>
  <c r="F59" i="1"/>
  <c r="AO58" i="1"/>
  <c r="AL58" i="1"/>
  <c r="AK58" i="1"/>
  <c r="AF58" i="1"/>
  <c r="AD58" i="1"/>
  <c r="AA58" i="1"/>
  <c r="AE58" i="1" s="1"/>
  <c r="W58" i="1"/>
  <c r="S58" i="1"/>
  <c r="O58" i="1"/>
  <c r="M58" i="1"/>
  <c r="H58" i="1"/>
  <c r="G58" i="1"/>
  <c r="F58" i="1"/>
  <c r="AO57" i="1"/>
  <c r="AD57" i="1" s="1"/>
  <c r="AL57" i="1"/>
  <c r="AK57" i="1"/>
  <c r="AF57" i="1"/>
  <c r="AE57" i="1"/>
  <c r="AI57" i="1" s="1"/>
  <c r="AB57" i="1"/>
  <c r="AA57" i="1"/>
  <c r="W57" i="1"/>
  <c r="S57" i="1"/>
  <c r="O57" i="1"/>
  <c r="M57" i="1"/>
  <c r="H57" i="1"/>
  <c r="G57" i="1"/>
  <c r="F57" i="1"/>
  <c r="AO56" i="1"/>
  <c r="AL56" i="1"/>
  <c r="AK56" i="1"/>
  <c r="AF56" i="1"/>
  <c r="AD56" i="1"/>
  <c r="AA56" i="1"/>
  <c r="AE56" i="1" s="1"/>
  <c r="W56" i="1"/>
  <c r="S56" i="1"/>
  <c r="O56" i="1"/>
  <c r="M56" i="1"/>
  <c r="H56" i="1"/>
  <c r="G56" i="1"/>
  <c r="F56" i="1"/>
  <c r="AO55" i="1"/>
  <c r="AD55" i="1" s="1"/>
  <c r="AL55" i="1"/>
  <c r="AK55" i="1"/>
  <c r="AF55" i="1"/>
  <c r="AE55" i="1"/>
  <c r="AI55" i="1" s="1"/>
  <c r="AB55" i="1"/>
  <c r="AA55" i="1"/>
  <c r="W55" i="1"/>
  <c r="S55" i="1"/>
  <c r="O55" i="1"/>
  <c r="M55" i="1"/>
  <c r="H55" i="1"/>
  <c r="G55" i="1"/>
  <c r="F55" i="1"/>
  <c r="AO54" i="1"/>
  <c r="AL54" i="1"/>
  <c r="AK54" i="1"/>
  <c r="AF54" i="1"/>
  <c r="AD54" i="1"/>
  <c r="AA54" i="1"/>
  <c r="AE54" i="1" s="1"/>
  <c r="W54" i="1"/>
  <c r="S54" i="1"/>
  <c r="O54" i="1"/>
  <c r="M54" i="1"/>
  <c r="H54" i="1"/>
  <c r="G54" i="1"/>
  <c r="F54" i="1"/>
  <c r="AO53" i="1"/>
  <c r="AD53" i="1" s="1"/>
  <c r="AL53" i="1"/>
  <c r="AK53" i="1"/>
  <c r="AF53" i="1"/>
  <c r="AE53" i="1"/>
  <c r="AB53" i="1"/>
  <c r="AA53" i="1"/>
  <c r="W53" i="1"/>
  <c r="S53" i="1"/>
  <c r="O53" i="1"/>
  <c r="M53" i="1"/>
  <c r="H53" i="1"/>
  <c r="G53" i="1"/>
  <c r="F53" i="1"/>
  <c r="AO52" i="1"/>
  <c r="AL52" i="1"/>
  <c r="AK52" i="1"/>
  <c r="AF52" i="1"/>
  <c r="AD52" i="1"/>
  <c r="AA52" i="1"/>
  <c r="AE52" i="1" s="1"/>
  <c r="W52" i="1"/>
  <c r="S52" i="1"/>
  <c r="O52" i="1"/>
  <c r="M52" i="1"/>
  <c r="H52" i="1"/>
  <c r="G52" i="1"/>
  <c r="F52" i="1"/>
  <c r="AO51" i="1"/>
  <c r="AD51" i="1" s="1"/>
  <c r="AL51" i="1"/>
  <c r="AK51" i="1"/>
  <c r="AF51" i="1"/>
  <c r="AE51" i="1"/>
  <c r="AB51" i="1"/>
  <c r="AA51" i="1"/>
  <c r="W51" i="1"/>
  <c r="S51" i="1"/>
  <c r="O51" i="1"/>
  <c r="M51" i="1"/>
  <c r="H51" i="1"/>
  <c r="G51" i="1"/>
  <c r="F51" i="1"/>
  <c r="AO50" i="1"/>
  <c r="AL50" i="1"/>
  <c r="AK50" i="1"/>
  <c r="AF50" i="1"/>
  <c r="AD50" i="1"/>
  <c r="AA50" i="1"/>
  <c r="AE50" i="1" s="1"/>
  <c r="W50" i="1"/>
  <c r="S50" i="1"/>
  <c r="O50" i="1"/>
  <c r="M50" i="1"/>
  <c r="H50" i="1"/>
  <c r="G50" i="1"/>
  <c r="F50" i="1"/>
  <c r="AO49" i="1"/>
  <c r="AD49" i="1" s="1"/>
  <c r="AL49" i="1"/>
  <c r="AK49" i="1"/>
  <c r="AF49" i="1"/>
  <c r="AE49" i="1"/>
  <c r="AI49" i="1" s="1"/>
  <c r="AB49" i="1"/>
  <c r="AA49" i="1"/>
  <c r="W49" i="1"/>
  <c r="S49" i="1"/>
  <c r="O49" i="1"/>
  <c r="M49" i="1"/>
  <c r="H49" i="1"/>
  <c r="G49" i="1"/>
  <c r="F49" i="1"/>
  <c r="AO48" i="1"/>
  <c r="AL48" i="1"/>
  <c r="AK48" i="1"/>
  <c r="AF48" i="1"/>
  <c r="AD48" i="1"/>
  <c r="AA48" i="1"/>
  <c r="AE48" i="1" s="1"/>
  <c r="W48" i="1"/>
  <c r="S48" i="1"/>
  <c r="O48" i="1"/>
  <c r="M48" i="1"/>
  <c r="H48" i="1"/>
  <c r="G48" i="1"/>
  <c r="F48" i="1"/>
  <c r="AO47" i="1"/>
  <c r="AD47" i="1" s="1"/>
  <c r="AL47" i="1"/>
  <c r="AK47" i="1"/>
  <c r="AF47" i="1"/>
  <c r="AE47" i="1"/>
  <c r="AI47" i="1" s="1"/>
  <c r="AB47" i="1"/>
  <c r="AA47" i="1"/>
  <c r="W47" i="1"/>
  <c r="S47" i="1"/>
  <c r="O47" i="1"/>
  <c r="M47" i="1"/>
  <c r="H47" i="1"/>
  <c r="G47" i="1"/>
  <c r="F47" i="1"/>
  <c r="AO46" i="1"/>
  <c r="AL46" i="1"/>
  <c r="AK46" i="1"/>
  <c r="AF46" i="1"/>
  <c r="AD46" i="1"/>
  <c r="AA46" i="1"/>
  <c r="AE46" i="1" s="1"/>
  <c r="W46" i="1"/>
  <c r="S46" i="1"/>
  <c r="O46" i="1"/>
  <c r="M46" i="1"/>
  <c r="H46" i="1"/>
  <c r="G46" i="1"/>
  <c r="F46" i="1"/>
  <c r="AO45" i="1"/>
  <c r="AD45" i="1" s="1"/>
  <c r="AL45" i="1"/>
  <c r="AK45" i="1"/>
  <c r="AF45" i="1"/>
  <c r="AE45" i="1"/>
  <c r="AI45" i="1" s="1"/>
  <c r="AB45" i="1"/>
  <c r="AA45" i="1"/>
  <c r="W45" i="1"/>
  <c r="S45" i="1"/>
  <c r="O45" i="1"/>
  <c r="M45" i="1"/>
  <c r="H45" i="1"/>
  <c r="G45" i="1"/>
  <c r="F45" i="1"/>
  <c r="AO44" i="1"/>
  <c r="AL44" i="1"/>
  <c r="AK44" i="1"/>
  <c r="AF44" i="1"/>
  <c r="AD44" i="1"/>
  <c r="AA44" i="1"/>
  <c r="AE44" i="1" s="1"/>
  <c r="W44" i="1"/>
  <c r="S44" i="1"/>
  <c r="O44" i="1"/>
  <c r="M44" i="1"/>
  <c r="H44" i="1"/>
  <c r="G44" i="1"/>
  <c r="F44" i="1"/>
  <c r="AO43" i="1"/>
  <c r="AD43" i="1" s="1"/>
  <c r="AL43" i="1"/>
  <c r="AK43" i="1"/>
  <c r="AF43" i="1"/>
  <c r="AE43" i="1"/>
  <c r="AB43" i="1"/>
  <c r="AA43" i="1"/>
  <c r="W43" i="1"/>
  <c r="S43" i="1"/>
  <c r="O43" i="1"/>
  <c r="M43" i="1"/>
  <c r="H43" i="1"/>
  <c r="G43" i="1"/>
  <c r="F43" i="1"/>
  <c r="AO42" i="1"/>
  <c r="AL42" i="1"/>
  <c r="AK42" i="1"/>
  <c r="AF42" i="1"/>
  <c r="AD42" i="1"/>
  <c r="AA42" i="1"/>
  <c r="AE42" i="1" s="1"/>
  <c r="W42" i="1"/>
  <c r="S42" i="1"/>
  <c r="O42" i="1"/>
  <c r="M42" i="1"/>
  <c r="H42" i="1"/>
  <c r="G42" i="1"/>
  <c r="F42" i="1"/>
  <c r="AO41" i="1"/>
  <c r="AD41" i="1" s="1"/>
  <c r="AL41" i="1"/>
  <c r="AK41" i="1"/>
  <c r="AF41" i="1"/>
  <c r="AE41" i="1"/>
  <c r="AI41" i="1" s="1"/>
  <c r="AB41" i="1"/>
  <c r="AA41" i="1"/>
  <c r="W41" i="1"/>
  <c r="S41" i="1"/>
  <c r="O41" i="1"/>
  <c r="M41" i="1"/>
  <c r="H41" i="1"/>
  <c r="G41" i="1"/>
  <c r="F41" i="1"/>
  <c r="AO40" i="1"/>
  <c r="AL40" i="1"/>
  <c r="AK40" i="1"/>
  <c r="AF40" i="1"/>
  <c r="AD40" i="1"/>
  <c r="AA40" i="1"/>
  <c r="AE40" i="1" s="1"/>
  <c r="W40" i="1"/>
  <c r="S40" i="1"/>
  <c r="O40" i="1"/>
  <c r="M40" i="1"/>
  <c r="H40" i="1"/>
  <c r="G40" i="1"/>
  <c r="F40" i="1"/>
  <c r="AO39" i="1"/>
  <c r="AD39" i="1" s="1"/>
  <c r="AL39" i="1"/>
  <c r="AK39" i="1"/>
  <c r="AF39" i="1"/>
  <c r="AE39" i="1"/>
  <c r="AI39" i="1" s="1"/>
  <c r="AB39" i="1"/>
  <c r="AA39" i="1"/>
  <c r="W39" i="1"/>
  <c r="S39" i="1"/>
  <c r="O39" i="1"/>
  <c r="M39" i="1"/>
  <c r="H39" i="1"/>
  <c r="G39" i="1"/>
  <c r="F39" i="1"/>
  <c r="AO38" i="1"/>
  <c r="AL38" i="1"/>
  <c r="AK38" i="1"/>
  <c r="AF38" i="1"/>
  <c r="AD38" i="1"/>
  <c r="AA38" i="1"/>
  <c r="AE38" i="1" s="1"/>
  <c r="W38" i="1"/>
  <c r="S38" i="1"/>
  <c r="O38" i="1"/>
  <c r="M38" i="1"/>
  <c r="H38" i="1"/>
  <c r="G38" i="1"/>
  <c r="F38" i="1"/>
  <c r="AO37" i="1"/>
  <c r="AD37" i="1" s="1"/>
  <c r="AL37" i="1"/>
  <c r="AK37" i="1"/>
  <c r="AF37" i="1"/>
  <c r="AE37" i="1"/>
  <c r="AB37" i="1"/>
  <c r="AA37" i="1"/>
  <c r="W37" i="1"/>
  <c r="S37" i="1"/>
  <c r="O37" i="1"/>
  <c r="M37" i="1"/>
  <c r="H37" i="1"/>
  <c r="G37" i="1"/>
  <c r="F37" i="1"/>
  <c r="AO36" i="1"/>
  <c r="AL36" i="1"/>
  <c r="AK36" i="1"/>
  <c r="AF36" i="1"/>
  <c r="AD36" i="1"/>
  <c r="AA36" i="1"/>
  <c r="AE36" i="1" s="1"/>
  <c r="W36" i="1"/>
  <c r="S36" i="1"/>
  <c r="O36" i="1"/>
  <c r="M36" i="1"/>
  <c r="H36" i="1"/>
  <c r="G36" i="1"/>
  <c r="F36" i="1"/>
  <c r="AO35" i="1"/>
  <c r="AD35" i="1" s="1"/>
  <c r="AL35" i="1"/>
  <c r="AK35" i="1"/>
  <c r="AF35" i="1"/>
  <c r="AE35" i="1"/>
  <c r="AB35" i="1"/>
  <c r="AA35" i="1"/>
  <c r="W35" i="1"/>
  <c r="S35" i="1"/>
  <c r="O35" i="1"/>
  <c r="M35" i="1"/>
  <c r="H35" i="1"/>
  <c r="G35" i="1"/>
  <c r="F35" i="1"/>
  <c r="AO34" i="1"/>
  <c r="AL34" i="1"/>
  <c r="AK34" i="1"/>
  <c r="AF34" i="1"/>
  <c r="AD34" i="1"/>
  <c r="AA34" i="1"/>
  <c r="AE34" i="1" s="1"/>
  <c r="W34" i="1"/>
  <c r="S34" i="1"/>
  <c r="O34" i="1"/>
  <c r="M34" i="1"/>
  <c r="H34" i="1"/>
  <c r="G34" i="1"/>
  <c r="F34" i="1"/>
  <c r="AO33" i="1"/>
  <c r="AD33" i="1" s="1"/>
  <c r="AL33" i="1"/>
  <c r="AK33" i="1"/>
  <c r="AF33" i="1"/>
  <c r="AE33" i="1"/>
  <c r="AB33" i="1"/>
  <c r="AA33" i="1"/>
  <c r="W33" i="1"/>
  <c r="S33" i="1"/>
  <c r="O33" i="1"/>
  <c r="M33" i="1"/>
  <c r="H33" i="1"/>
  <c r="G33" i="1"/>
  <c r="F33" i="1"/>
  <c r="AO32" i="1"/>
  <c r="AL32" i="1"/>
  <c r="AK32" i="1"/>
  <c r="AF32" i="1"/>
  <c r="AD32" i="1"/>
  <c r="AA32" i="1"/>
  <c r="AE32" i="1" s="1"/>
  <c r="W32" i="1"/>
  <c r="S32" i="1"/>
  <c r="O32" i="1"/>
  <c r="M32" i="1"/>
  <c r="H32" i="1"/>
  <c r="G32" i="1"/>
  <c r="F32" i="1"/>
  <c r="AO31" i="1"/>
  <c r="AD31" i="1" s="1"/>
  <c r="AL31" i="1"/>
  <c r="AK31" i="1"/>
  <c r="AI31" i="1"/>
  <c r="AF31" i="1"/>
  <c r="AE31" i="1"/>
  <c r="AJ31" i="1" s="1"/>
  <c r="AB31" i="1"/>
  <c r="AA31" i="1"/>
  <c r="W31" i="1"/>
  <c r="S31" i="1"/>
  <c r="O31" i="1"/>
  <c r="M31" i="1"/>
  <c r="H31" i="1"/>
  <c r="G31" i="1"/>
  <c r="F31" i="1"/>
  <c r="AO30" i="1"/>
  <c r="AL30" i="1"/>
  <c r="AK30" i="1"/>
  <c r="AF30" i="1"/>
  <c r="AD30" i="1"/>
  <c r="AA30" i="1"/>
  <c r="AE30" i="1" s="1"/>
  <c r="W30" i="1"/>
  <c r="S30" i="1"/>
  <c r="O30" i="1"/>
  <c r="M30" i="1"/>
  <c r="H30" i="1"/>
  <c r="G30" i="1"/>
  <c r="F30" i="1"/>
  <c r="AO29" i="1"/>
  <c r="AD29" i="1" s="1"/>
  <c r="AL29" i="1"/>
  <c r="AK29" i="1"/>
  <c r="AF29" i="1"/>
  <c r="AE29" i="1"/>
  <c r="AB29" i="1"/>
  <c r="AA29" i="1"/>
  <c r="W29" i="1"/>
  <c r="S29" i="1"/>
  <c r="O29" i="1"/>
  <c r="M29" i="1"/>
  <c r="H29" i="1"/>
  <c r="G29" i="1"/>
  <c r="F29" i="1"/>
  <c r="AO28" i="1"/>
  <c r="AL28" i="1"/>
  <c r="AK28" i="1"/>
  <c r="AF28" i="1"/>
  <c r="AD28" i="1"/>
  <c r="AA28" i="1"/>
  <c r="AE28" i="1" s="1"/>
  <c r="W28" i="1"/>
  <c r="S28" i="1"/>
  <c r="O28" i="1"/>
  <c r="M28" i="1"/>
  <c r="H28" i="1"/>
  <c r="G28" i="1"/>
  <c r="F28" i="1"/>
  <c r="AO27" i="1"/>
  <c r="AD27" i="1" s="1"/>
  <c r="AL27" i="1"/>
  <c r="AK27" i="1"/>
  <c r="AF27" i="1"/>
  <c r="AE27" i="1"/>
  <c r="AI27" i="1" s="1"/>
  <c r="AB27" i="1"/>
  <c r="AA27" i="1"/>
  <c r="W27" i="1"/>
  <c r="S27" i="1"/>
  <c r="O27" i="1"/>
  <c r="M27" i="1"/>
  <c r="H27" i="1"/>
  <c r="G27" i="1"/>
  <c r="F27" i="1"/>
  <c r="AO26" i="1"/>
  <c r="AL26" i="1"/>
  <c r="AK26" i="1"/>
  <c r="AF26" i="1"/>
  <c r="AD26" i="1"/>
  <c r="AA26" i="1"/>
  <c r="AE26" i="1" s="1"/>
  <c r="W26" i="1"/>
  <c r="S26" i="1"/>
  <c r="O26" i="1"/>
  <c r="M26" i="1"/>
  <c r="H26" i="1"/>
  <c r="G26" i="1"/>
  <c r="F26" i="1"/>
  <c r="AO25" i="1"/>
  <c r="AD25" i="1" s="1"/>
  <c r="AL25" i="1"/>
  <c r="AK25" i="1"/>
  <c r="AF25" i="1"/>
  <c r="AE25" i="1"/>
  <c r="AB25" i="1"/>
  <c r="AA25" i="1"/>
  <c r="W25" i="1"/>
  <c r="S25" i="1"/>
  <c r="O25" i="1"/>
  <c r="M25" i="1"/>
  <c r="H25" i="1"/>
  <c r="G25" i="1"/>
  <c r="F25" i="1"/>
  <c r="AO24" i="1"/>
  <c r="AL24" i="1"/>
  <c r="AK24" i="1"/>
  <c r="AF24" i="1"/>
  <c r="AD24" i="1"/>
  <c r="AA24" i="1"/>
  <c r="AE24" i="1" s="1"/>
  <c r="W24" i="1"/>
  <c r="S24" i="1"/>
  <c r="O24" i="1"/>
  <c r="M24" i="1"/>
  <c r="H24" i="1"/>
  <c r="G24" i="1"/>
  <c r="F24" i="1"/>
  <c r="AO23" i="1"/>
  <c r="AD23" i="1" s="1"/>
  <c r="AL23" i="1"/>
  <c r="AK23" i="1"/>
  <c r="AF23" i="1"/>
  <c r="AE23" i="1"/>
  <c r="AB23" i="1"/>
  <c r="AA23" i="1"/>
  <c r="W23" i="1"/>
  <c r="S23" i="1"/>
  <c r="O23" i="1"/>
  <c r="M23" i="1"/>
  <c r="H23" i="1"/>
  <c r="G23" i="1"/>
  <c r="F23" i="1"/>
  <c r="AO22" i="1"/>
  <c r="AL22" i="1"/>
  <c r="AK22" i="1"/>
  <c r="AF22" i="1"/>
  <c r="AD22" i="1"/>
  <c r="AA22" i="1"/>
  <c r="AE22" i="1" s="1"/>
  <c r="W22" i="1"/>
  <c r="S22" i="1"/>
  <c r="O22" i="1"/>
  <c r="M22" i="1"/>
  <c r="H22" i="1"/>
  <c r="G22" i="1"/>
  <c r="F22" i="1"/>
  <c r="AO21" i="1"/>
  <c r="AD21" i="1" s="1"/>
  <c r="AL21" i="1"/>
  <c r="AK21" i="1"/>
  <c r="AF21" i="1"/>
  <c r="AE21" i="1"/>
  <c r="AI21" i="1" s="1"/>
  <c r="AB21" i="1"/>
  <c r="AA21" i="1"/>
  <c r="W21" i="1"/>
  <c r="S21" i="1"/>
  <c r="O21" i="1"/>
  <c r="M21" i="1"/>
  <c r="H21" i="1"/>
  <c r="G21" i="1"/>
  <c r="F21" i="1"/>
  <c r="AO20" i="1"/>
  <c r="AL20" i="1"/>
  <c r="AK20" i="1"/>
  <c r="AF20" i="1"/>
  <c r="AD20" i="1"/>
  <c r="AA20" i="1"/>
  <c r="AE20" i="1" s="1"/>
  <c r="W20" i="1"/>
  <c r="S20" i="1"/>
  <c r="O20" i="1"/>
  <c r="M20" i="1"/>
  <c r="H20" i="1"/>
  <c r="G20" i="1"/>
  <c r="F20" i="1"/>
  <c r="AO19" i="1"/>
  <c r="AD19" i="1" s="1"/>
  <c r="AL19" i="1"/>
  <c r="AK19" i="1"/>
  <c r="AF19" i="1"/>
  <c r="AE19" i="1"/>
  <c r="AI19" i="1" s="1"/>
  <c r="AB19" i="1"/>
  <c r="AA19" i="1"/>
  <c r="W19" i="1"/>
  <c r="S19" i="1"/>
  <c r="O19" i="1"/>
  <c r="M19" i="1"/>
  <c r="H19" i="1"/>
  <c r="G19" i="1"/>
  <c r="F19" i="1"/>
  <c r="AO18" i="1"/>
  <c r="AL18" i="1"/>
  <c r="AK18" i="1"/>
  <c r="AF18" i="1"/>
  <c r="AD18" i="1"/>
  <c r="AA18" i="1"/>
  <c r="AE18" i="1" s="1"/>
  <c r="W18" i="1"/>
  <c r="S18" i="1"/>
  <c r="O18" i="1"/>
  <c r="M18" i="1"/>
  <c r="H18" i="1"/>
  <c r="G18" i="1"/>
  <c r="F18" i="1"/>
  <c r="AO17" i="1"/>
  <c r="AD17" i="1" s="1"/>
  <c r="AL17" i="1"/>
  <c r="AK17" i="1"/>
  <c r="AF17" i="1"/>
  <c r="AE17" i="1"/>
  <c r="AI17" i="1" s="1"/>
  <c r="AB17" i="1"/>
  <c r="AA17" i="1"/>
  <c r="W17" i="1"/>
  <c r="S17" i="1"/>
  <c r="O17" i="1"/>
  <c r="M17" i="1"/>
  <c r="H17" i="1"/>
  <c r="G17" i="1"/>
  <c r="F17" i="1"/>
  <c r="AO16" i="1"/>
  <c r="AL16" i="1"/>
  <c r="AK16" i="1"/>
  <c r="AF16" i="1"/>
  <c r="AD16" i="1"/>
  <c r="AA16" i="1"/>
  <c r="AE16" i="1" s="1"/>
  <c r="W16" i="1"/>
  <c r="S16" i="1"/>
  <c r="O16" i="1"/>
  <c r="M16" i="1"/>
  <c r="H16" i="1"/>
  <c r="G16" i="1"/>
  <c r="F16" i="1"/>
  <c r="AO15" i="1"/>
  <c r="AD15" i="1" s="1"/>
  <c r="AL15" i="1"/>
  <c r="AK15" i="1"/>
  <c r="AF15" i="1"/>
  <c r="AE15" i="1"/>
  <c r="AI15" i="1" s="1"/>
  <c r="AB15" i="1"/>
  <c r="AA15" i="1"/>
  <c r="W15" i="1"/>
  <c r="S15" i="1"/>
  <c r="O15" i="1"/>
  <c r="M15" i="1"/>
  <c r="H15" i="1"/>
  <c r="G15" i="1"/>
  <c r="F15" i="1"/>
  <c r="AO14" i="1"/>
  <c r="AL14" i="1"/>
  <c r="AK14" i="1"/>
  <c r="AF14" i="1"/>
  <c r="AD14" i="1"/>
  <c r="AA14" i="1"/>
  <c r="AE14" i="1" s="1"/>
  <c r="W14" i="1"/>
  <c r="S14" i="1"/>
  <c r="O14" i="1"/>
  <c r="M14" i="1"/>
  <c r="H14" i="1"/>
  <c r="G14" i="1"/>
  <c r="F14" i="1"/>
  <c r="AO13" i="1"/>
  <c r="AD13" i="1" s="1"/>
  <c r="AL13" i="1"/>
  <c r="AK13" i="1"/>
  <c r="AF13" i="1"/>
  <c r="AE13" i="1"/>
  <c r="AI13" i="1" s="1"/>
  <c r="AB13" i="1"/>
  <c r="AA13" i="1"/>
  <c r="W13" i="1"/>
  <c r="S13" i="1"/>
  <c r="O13" i="1"/>
  <c r="M13" i="1"/>
  <c r="H13" i="1"/>
  <c r="G13" i="1"/>
  <c r="F13" i="1"/>
  <c r="AO12" i="1"/>
  <c r="AL12" i="1"/>
  <c r="AK12" i="1"/>
  <c r="AF12" i="1"/>
  <c r="AD12" i="1"/>
  <c r="AA12" i="1"/>
  <c r="AE12" i="1" s="1"/>
  <c r="W12" i="1"/>
  <c r="S12" i="1"/>
  <c r="O12" i="1"/>
  <c r="M12" i="1"/>
  <c r="H12" i="1"/>
  <c r="G12" i="1"/>
  <c r="F12" i="1"/>
  <c r="AO11" i="1"/>
  <c r="AD11" i="1" s="1"/>
  <c r="AL11" i="1"/>
  <c r="AK11" i="1"/>
  <c r="AF11" i="1"/>
  <c r="AE11" i="1"/>
  <c r="AI11" i="1" s="1"/>
  <c r="AB11" i="1"/>
  <c r="AA11" i="1"/>
  <c r="W11" i="1"/>
  <c r="S11" i="1"/>
  <c r="O11" i="1"/>
  <c r="M11" i="1"/>
  <c r="H11" i="1"/>
  <c r="G11" i="1"/>
  <c r="F11" i="1"/>
  <c r="AO10" i="1"/>
  <c r="AL10" i="1"/>
  <c r="AK10" i="1"/>
  <c r="AF10" i="1"/>
  <c r="AD10" i="1"/>
  <c r="AA10" i="1"/>
  <c r="AE10" i="1" s="1"/>
  <c r="W10" i="1"/>
  <c r="S10" i="1"/>
  <c r="O10" i="1"/>
  <c r="M10" i="1"/>
  <c r="H10" i="1"/>
  <c r="G10" i="1"/>
  <c r="F10" i="1"/>
  <c r="AO9" i="1"/>
  <c r="AD9" i="1" s="1"/>
  <c r="AL9" i="1"/>
  <c r="AK9" i="1"/>
  <c r="AF9" i="1"/>
  <c r="AE9" i="1"/>
  <c r="AI9" i="1" s="1"/>
  <c r="AB9" i="1"/>
  <c r="AA9" i="1"/>
  <c r="W9" i="1"/>
  <c r="S9" i="1"/>
  <c r="O9" i="1"/>
  <c r="M9" i="1"/>
  <c r="H9" i="1"/>
  <c r="G9" i="1"/>
  <c r="F9" i="1"/>
  <c r="AO8" i="1"/>
  <c r="AL8" i="1"/>
  <c r="AK8" i="1"/>
  <c r="AF8" i="1"/>
  <c r="AD8" i="1"/>
  <c r="AA8" i="1"/>
  <c r="AE8" i="1" s="1"/>
  <c r="W8" i="1"/>
  <c r="S8" i="1"/>
  <c r="O8" i="1"/>
  <c r="M8" i="1"/>
  <c r="H8" i="1"/>
  <c r="G8" i="1"/>
  <c r="F8" i="1"/>
  <c r="AO7" i="1"/>
  <c r="AD7" i="1" s="1"/>
  <c r="AL7" i="1"/>
  <c r="AK7" i="1"/>
  <c r="AF7" i="1"/>
  <c r="AE7" i="1"/>
  <c r="AI7" i="1" s="1"/>
  <c r="AB7" i="1"/>
  <c r="AA7" i="1"/>
  <c r="W7" i="1"/>
  <c r="S7" i="1"/>
  <c r="O7" i="1"/>
  <c r="M7" i="1"/>
  <c r="H7" i="1"/>
  <c r="G7" i="1"/>
  <c r="F7" i="1"/>
  <c r="AO6" i="1"/>
  <c r="AL6" i="1"/>
  <c r="AK6" i="1"/>
  <c r="AF6" i="1"/>
  <c r="AD6" i="1"/>
  <c r="AA6" i="1"/>
  <c r="AE6" i="1" s="1"/>
  <c r="W6" i="1"/>
  <c r="S6" i="1"/>
  <c r="O6" i="1"/>
  <c r="M6" i="1"/>
  <c r="H6" i="1"/>
  <c r="G6" i="1"/>
  <c r="F6" i="1"/>
  <c r="AO5" i="1"/>
  <c r="AD5" i="1" s="1"/>
  <c r="AL5" i="1"/>
  <c r="AK5" i="1"/>
  <c r="AF5" i="1"/>
  <c r="AE5" i="1"/>
  <c r="AI5" i="1" s="1"/>
  <c r="AB5" i="1"/>
  <c r="AA5" i="1"/>
  <c r="W5" i="1"/>
  <c r="S5" i="1"/>
  <c r="O5" i="1"/>
  <c r="M5" i="1"/>
  <c r="H5" i="1"/>
  <c r="G5" i="1"/>
  <c r="F5" i="1"/>
  <c r="AO4" i="1"/>
  <c r="AL4" i="1"/>
  <c r="AK4" i="1"/>
  <c r="AF4" i="1"/>
  <c r="AD4" i="1"/>
  <c r="AA4" i="1"/>
  <c r="AE4" i="1" s="1"/>
  <c r="W4" i="1"/>
  <c r="S4" i="1"/>
  <c r="O4" i="1"/>
  <c r="M4" i="1"/>
  <c r="H4" i="1"/>
  <c r="G4" i="1"/>
  <c r="F4" i="1"/>
  <c r="AO3" i="1"/>
  <c r="AD3" i="1" s="1"/>
  <c r="AL3" i="1"/>
  <c r="AK3" i="1"/>
  <c r="AF3" i="1"/>
  <c r="AE3" i="1"/>
  <c r="AB3" i="1"/>
  <c r="AA3" i="1"/>
  <c r="W3" i="1"/>
  <c r="S3" i="1"/>
  <c r="O3" i="1"/>
  <c r="M3" i="1"/>
  <c r="H3" i="1"/>
  <c r="G3" i="1"/>
  <c r="F3" i="1"/>
  <c r="AO2" i="1"/>
  <c r="AL2" i="1"/>
  <c r="AK2" i="1"/>
  <c r="AF2" i="1"/>
  <c r="AD2" i="1"/>
  <c r="AA2" i="1"/>
  <c r="AE2" i="1" s="1"/>
  <c r="W2" i="1"/>
  <c r="S2" i="1"/>
  <c r="O2" i="1"/>
  <c r="M2" i="1"/>
  <c r="H2" i="1"/>
  <c r="G2" i="1"/>
  <c r="F2" i="1"/>
  <c r="AJ4" i="1" l="1"/>
  <c r="AI4" i="1"/>
  <c r="AI8" i="1"/>
  <c r="AJ8" i="1" s="1"/>
  <c r="AJ12" i="1"/>
  <c r="AI12" i="1"/>
  <c r="AJ16" i="1"/>
  <c r="AI16" i="1"/>
  <c r="AJ20" i="1"/>
  <c r="AI20" i="1"/>
  <c r="AJ23" i="1"/>
  <c r="AI24" i="1"/>
  <c r="AJ24" i="1" s="1"/>
  <c r="AI28" i="1"/>
  <c r="AJ28" i="1"/>
  <c r="AI34" i="1"/>
  <c r="AJ34" i="1" s="1"/>
  <c r="AI38" i="1"/>
  <c r="AJ38" i="1"/>
  <c r="AI42" i="1"/>
  <c r="AJ42" i="1" s="1"/>
  <c r="AI46" i="1"/>
  <c r="AJ46" i="1" s="1"/>
  <c r="AI50" i="1"/>
  <c r="AJ50" i="1"/>
  <c r="AJ54" i="1"/>
  <c r="AI54" i="1"/>
  <c r="AJ58" i="1"/>
  <c r="AI58" i="1"/>
  <c r="AI62" i="1"/>
  <c r="AJ62" i="1"/>
  <c r="AI66" i="1"/>
  <c r="AJ66" i="1" s="1"/>
  <c r="AJ69" i="1"/>
  <c r="AI70" i="1"/>
  <c r="AJ70" i="1"/>
  <c r="AI76" i="1"/>
  <c r="AJ76" i="1" s="1"/>
  <c r="AJ79" i="1"/>
  <c r="AI80" i="1"/>
  <c r="AJ80" i="1"/>
  <c r="AI84" i="1"/>
  <c r="AJ84" i="1" s="1"/>
  <c r="AJ87" i="1"/>
  <c r="AI88" i="1"/>
  <c r="AJ88" i="1"/>
  <c r="AI92" i="1"/>
  <c r="AJ92" i="1" s="1"/>
  <c r="AJ95" i="1"/>
  <c r="AI96" i="1"/>
  <c r="AJ96" i="1"/>
  <c r="AI100" i="1"/>
  <c r="AJ100" i="1" s="1"/>
  <c r="AJ103" i="1"/>
  <c r="AI104" i="1"/>
  <c r="AJ104" i="1"/>
  <c r="AI107" i="1"/>
  <c r="AJ107" i="1"/>
  <c r="AI111" i="1"/>
  <c r="AJ111" i="1" s="1"/>
  <c r="AI115" i="1"/>
  <c r="AJ115" i="1"/>
  <c r="AI119" i="1"/>
  <c r="AJ119" i="1" s="1"/>
  <c r="AI123" i="1"/>
  <c r="AJ123" i="1"/>
  <c r="AI127" i="1"/>
  <c r="AJ127" i="1" s="1"/>
  <c r="AI131" i="1"/>
  <c r="AJ131" i="1"/>
  <c r="AI135" i="1"/>
  <c r="AJ135" i="1" s="1"/>
  <c r="AI139" i="1"/>
  <c r="AJ139" i="1"/>
  <c r="AI143" i="1"/>
  <c r="AJ143" i="1" s="1"/>
  <c r="AI147" i="1"/>
  <c r="AJ147" i="1"/>
  <c r="AI151" i="1"/>
  <c r="AJ151" i="1" s="1"/>
  <c r="AI155" i="1"/>
  <c r="AJ155" i="1"/>
  <c r="AI159" i="1"/>
  <c r="AJ159" i="1" s="1"/>
  <c r="AI163" i="1"/>
  <c r="AJ163" i="1"/>
  <c r="AI167" i="1"/>
  <c r="AJ167" i="1" s="1"/>
  <c r="AI171" i="1"/>
  <c r="AJ171" i="1"/>
  <c r="AI175" i="1"/>
  <c r="AJ175" i="1" s="1"/>
  <c r="AI179" i="1"/>
  <c r="AJ179" i="1"/>
  <c r="AI2" i="1"/>
  <c r="AJ2" i="1" s="1"/>
  <c r="AI6" i="1"/>
  <c r="AJ6" i="1" s="1"/>
  <c r="AI10" i="1"/>
  <c r="AJ10" i="1" s="1"/>
  <c r="AI14" i="1"/>
  <c r="AJ14" i="1"/>
  <c r="AI18" i="1"/>
  <c r="AJ18" i="1" s="1"/>
  <c r="AI22" i="1"/>
  <c r="AJ22" i="1"/>
  <c r="AJ26" i="1"/>
  <c r="AI26" i="1"/>
  <c r="AJ29" i="1"/>
  <c r="AI30" i="1"/>
  <c r="AJ30" i="1"/>
  <c r="AI32" i="1"/>
  <c r="AJ32" i="1"/>
  <c r="AI36" i="1"/>
  <c r="AJ36" i="1" s="1"/>
  <c r="AJ40" i="1"/>
  <c r="AI40" i="1"/>
  <c r="AJ43" i="1"/>
  <c r="AI44" i="1"/>
  <c r="AJ44" i="1" s="1"/>
  <c r="AI48" i="1"/>
  <c r="AJ48" i="1" s="1"/>
  <c r="AI52" i="1"/>
  <c r="AJ52" i="1" s="1"/>
  <c r="AJ56" i="1"/>
  <c r="AI56" i="1"/>
  <c r="AI60" i="1"/>
  <c r="AJ60" i="1" s="1"/>
  <c r="AJ63" i="1"/>
  <c r="AI64" i="1"/>
  <c r="AJ64" i="1" s="1"/>
  <c r="AI68" i="1"/>
  <c r="AJ68" i="1" s="1"/>
  <c r="AI72" i="1"/>
  <c r="AJ72" i="1" s="1"/>
  <c r="AI74" i="1"/>
  <c r="AJ74" i="1" s="1"/>
  <c r="AI78" i="1"/>
  <c r="AJ78" i="1"/>
  <c r="AI82" i="1"/>
  <c r="AJ82" i="1" s="1"/>
  <c r="AI86" i="1"/>
  <c r="AJ86" i="1"/>
  <c r="AI90" i="1"/>
  <c r="AJ90" i="1" s="1"/>
  <c r="AI94" i="1"/>
  <c r="AJ94" i="1"/>
  <c r="AI98" i="1"/>
  <c r="AJ98" i="1" s="1"/>
  <c r="AI102" i="1"/>
  <c r="AJ102" i="1"/>
  <c r="AI109" i="1"/>
  <c r="AJ109" i="1" s="1"/>
  <c r="AJ112" i="1"/>
  <c r="AI113" i="1"/>
  <c r="AJ113" i="1"/>
  <c r="AI117" i="1"/>
  <c r="AJ117" i="1" s="1"/>
  <c r="AJ120" i="1"/>
  <c r="AI121" i="1"/>
  <c r="AJ121" i="1"/>
  <c r="AI125" i="1"/>
  <c r="AJ125" i="1" s="1"/>
  <c r="AJ128" i="1"/>
  <c r="AI129" i="1"/>
  <c r="AJ129" i="1"/>
  <c r="AI133" i="1"/>
  <c r="AJ133" i="1" s="1"/>
  <c r="AJ136" i="1"/>
  <c r="AI137" i="1"/>
  <c r="AJ137" i="1"/>
  <c r="AI141" i="1"/>
  <c r="AJ141" i="1" s="1"/>
  <c r="AJ144" i="1"/>
  <c r="AI145" i="1"/>
  <c r="AJ145" i="1"/>
  <c r="AI149" i="1"/>
  <c r="AJ149" i="1" s="1"/>
  <c r="AJ152" i="1"/>
  <c r="AI153" i="1"/>
  <c r="AJ153" i="1"/>
  <c r="AI157" i="1"/>
  <c r="AJ157" i="1" s="1"/>
  <c r="AJ160" i="1"/>
  <c r="AI161" i="1"/>
  <c r="AJ161" i="1"/>
  <c r="AI165" i="1"/>
  <c r="AJ165" i="1" s="1"/>
  <c r="AJ168" i="1"/>
  <c r="AI169" i="1"/>
  <c r="AJ169" i="1"/>
  <c r="AI173" i="1"/>
  <c r="AJ173" i="1" s="1"/>
  <c r="AJ176" i="1"/>
  <c r="AI177" i="1"/>
  <c r="AJ177" i="1"/>
  <c r="AI181" i="1"/>
  <c r="AJ181" i="1" s="1"/>
  <c r="AI3" i="1"/>
  <c r="AJ3" i="1" s="1"/>
  <c r="AI23" i="1"/>
  <c r="AI25" i="1"/>
  <c r="AJ25" i="1" s="1"/>
  <c r="AI29" i="1"/>
  <c r="AI33" i="1"/>
  <c r="AJ33" i="1" s="1"/>
  <c r="AI35" i="1"/>
  <c r="AJ35" i="1" s="1"/>
  <c r="AI37" i="1"/>
  <c r="AJ37" i="1" s="1"/>
  <c r="AI43" i="1"/>
  <c r="AI51" i="1"/>
  <c r="AJ51" i="1" s="1"/>
  <c r="AI53" i="1"/>
  <c r="AJ53" i="1" s="1"/>
  <c r="AI61" i="1"/>
  <c r="AJ61" i="1" s="1"/>
  <c r="AI63" i="1"/>
  <c r="AI65" i="1"/>
  <c r="AJ65" i="1" s="1"/>
  <c r="AI69" i="1"/>
  <c r="AI71" i="1"/>
  <c r="AJ71" i="1" s="1"/>
  <c r="AI75" i="1"/>
  <c r="AJ75" i="1" s="1"/>
  <c r="AI77" i="1"/>
  <c r="AJ77" i="1" s="1"/>
  <c r="AI79" i="1"/>
  <c r="AI81" i="1"/>
  <c r="AJ81" i="1" s="1"/>
  <c r="AI83" i="1"/>
  <c r="AJ83" i="1" s="1"/>
  <c r="AI85" i="1"/>
  <c r="AJ85" i="1" s="1"/>
  <c r="AI87" i="1"/>
  <c r="AI89" i="1"/>
  <c r="AJ89" i="1" s="1"/>
  <c r="AI91" i="1"/>
  <c r="AJ91" i="1" s="1"/>
  <c r="AI93" i="1"/>
  <c r="AJ93" i="1" s="1"/>
  <c r="AI95" i="1"/>
  <c r="AI97" i="1"/>
  <c r="AJ97" i="1" s="1"/>
  <c r="AI99" i="1"/>
  <c r="AJ99" i="1" s="1"/>
  <c r="AI101" i="1"/>
  <c r="AJ101" i="1" s="1"/>
  <c r="AI103" i="1"/>
  <c r="AI105" i="1"/>
  <c r="AJ105" i="1" s="1"/>
  <c r="AB2" i="1"/>
  <c r="AB4" i="1"/>
  <c r="AJ5" i="1"/>
  <c r="AB6" i="1"/>
  <c r="AJ7" i="1"/>
  <c r="AB8" i="1"/>
  <c r="AJ9" i="1"/>
  <c r="AB10" i="1"/>
  <c r="AJ11" i="1"/>
  <c r="AB12" i="1"/>
  <c r="AJ13" i="1"/>
  <c r="AB14" i="1"/>
  <c r="AJ15" i="1"/>
  <c r="AB16" i="1"/>
  <c r="AJ17" i="1"/>
  <c r="AB18" i="1"/>
  <c r="AJ19" i="1"/>
  <c r="AB20" i="1"/>
  <c r="AJ21" i="1"/>
  <c r="AB22" i="1"/>
  <c r="AB24" i="1"/>
  <c r="AB26" i="1"/>
  <c r="AJ27" i="1"/>
  <c r="AB28" i="1"/>
  <c r="AB30" i="1"/>
  <c r="AB32" i="1"/>
  <c r="AB34" i="1"/>
  <c r="AB36" i="1"/>
  <c r="AB38" i="1"/>
  <c r="AJ39" i="1"/>
  <c r="AB40" i="1"/>
  <c r="AJ41" i="1"/>
  <c r="AB42" i="1"/>
  <c r="AB44" i="1"/>
  <c r="AJ45" i="1"/>
  <c r="AB46" i="1"/>
  <c r="AJ47" i="1"/>
  <c r="AB48" i="1"/>
  <c r="AJ49" i="1"/>
  <c r="AB50" i="1"/>
  <c r="AB52" i="1"/>
  <c r="AB54" i="1"/>
  <c r="AJ55" i="1"/>
  <c r="AB56" i="1"/>
  <c r="AJ57" i="1"/>
  <c r="AB58" i="1"/>
  <c r="AJ59" i="1"/>
  <c r="AB60" i="1"/>
  <c r="AB62" i="1"/>
  <c r="AB64" i="1"/>
  <c r="AB66" i="1"/>
  <c r="AJ67" i="1"/>
  <c r="AB68" i="1"/>
  <c r="AB70" i="1"/>
  <c r="AB72" i="1"/>
  <c r="AB74" i="1"/>
  <c r="AB76" i="1"/>
  <c r="AB78" i="1"/>
  <c r="AB80" i="1"/>
  <c r="AB82" i="1"/>
  <c r="AB84" i="1"/>
  <c r="AB86" i="1"/>
  <c r="AB88" i="1"/>
  <c r="AB90" i="1"/>
  <c r="AB92" i="1"/>
  <c r="AB94" i="1"/>
  <c r="AB96" i="1"/>
  <c r="AB98" i="1"/>
  <c r="AB100" i="1"/>
  <c r="AB102" i="1"/>
  <c r="AB104" i="1"/>
  <c r="AI106" i="1"/>
  <c r="AJ106" i="1" s="1"/>
  <c r="AI108" i="1"/>
  <c r="AJ108" i="1" s="1"/>
  <c r="AI110" i="1"/>
  <c r="AJ110" i="1" s="1"/>
  <c r="AI112" i="1"/>
  <c r="AI114" i="1"/>
  <c r="AJ114" i="1" s="1"/>
  <c r="AI116" i="1"/>
  <c r="AJ116" i="1" s="1"/>
  <c r="AI118" i="1"/>
  <c r="AJ118" i="1" s="1"/>
  <c r="AI120" i="1"/>
  <c r="AI122" i="1"/>
  <c r="AJ122" i="1" s="1"/>
  <c r="AI124" i="1"/>
  <c r="AJ124" i="1" s="1"/>
  <c r="AI126" i="1"/>
  <c r="AJ126" i="1" s="1"/>
  <c r="AI128" i="1"/>
  <c r="AI130" i="1"/>
  <c r="AJ130" i="1" s="1"/>
  <c r="AI132" i="1"/>
  <c r="AJ132" i="1" s="1"/>
  <c r="AI134" i="1"/>
  <c r="AJ134" i="1" s="1"/>
  <c r="AI136" i="1"/>
  <c r="AI138" i="1"/>
  <c r="AJ138" i="1" s="1"/>
  <c r="AI140" i="1"/>
  <c r="AJ140" i="1" s="1"/>
  <c r="AI142" i="1"/>
  <c r="AJ142" i="1" s="1"/>
  <c r="AI144" i="1"/>
  <c r="AI146" i="1"/>
  <c r="AJ146" i="1" s="1"/>
  <c r="AI148" i="1"/>
  <c r="AJ148" i="1" s="1"/>
  <c r="AI150" i="1"/>
  <c r="AJ150" i="1" s="1"/>
  <c r="AI152" i="1"/>
  <c r="AI154" i="1"/>
  <c r="AJ154" i="1" s="1"/>
  <c r="AI156" i="1"/>
  <c r="AJ156" i="1" s="1"/>
  <c r="AI158" i="1"/>
  <c r="AJ158" i="1" s="1"/>
  <c r="AI160" i="1"/>
  <c r="AI162" i="1"/>
  <c r="AJ162" i="1" s="1"/>
  <c r="AI164" i="1"/>
  <c r="AJ164" i="1" s="1"/>
  <c r="AI166" i="1"/>
  <c r="AJ166" i="1" s="1"/>
  <c r="AI168" i="1"/>
  <c r="AI170" i="1"/>
  <c r="AJ170" i="1" s="1"/>
  <c r="AI172" i="1"/>
  <c r="AJ172" i="1" s="1"/>
  <c r="AI174" i="1"/>
  <c r="AJ174" i="1" s="1"/>
  <c r="AI176" i="1"/>
  <c r="AI178" i="1"/>
  <c r="AJ178" i="1" s="1"/>
  <c r="AI180" i="1"/>
  <c r="AJ180" i="1" s="1"/>
  <c r="AJ183" i="1"/>
  <c r="AI183" i="1"/>
  <c r="AE186" i="1"/>
  <c r="AB186" i="1"/>
  <c r="AJ187" i="1"/>
  <c r="AI187" i="1"/>
  <c r="AE190" i="1"/>
  <c r="AB190" i="1"/>
  <c r="AJ191" i="1"/>
  <c r="AI191" i="1"/>
  <c r="AE194" i="1"/>
  <c r="AB194" i="1"/>
  <c r="AJ195" i="1"/>
  <c r="AI195" i="1"/>
  <c r="AJ200" i="1"/>
  <c r="AI200" i="1"/>
  <c r="AJ204" i="1"/>
  <c r="AI204" i="1"/>
  <c r="AJ208" i="1"/>
  <c r="AI208" i="1"/>
  <c r="AJ212" i="1"/>
  <c r="AI212" i="1"/>
  <c r="AJ216" i="1"/>
  <c r="AI216" i="1"/>
  <c r="AJ220" i="1"/>
  <c r="AI220" i="1"/>
  <c r="AJ224" i="1"/>
  <c r="AI224" i="1"/>
  <c r="AJ228" i="1"/>
  <c r="AI228" i="1"/>
  <c r="AJ232" i="1"/>
  <c r="AI232" i="1"/>
  <c r="AJ236" i="1"/>
  <c r="AI236" i="1"/>
  <c r="AJ240" i="1"/>
  <c r="AI240" i="1"/>
  <c r="AJ244" i="1"/>
  <c r="AI244" i="1"/>
  <c r="AJ248" i="1"/>
  <c r="AI248" i="1"/>
  <c r="AJ252" i="1"/>
  <c r="AI252" i="1"/>
  <c r="AJ256" i="1"/>
  <c r="AI256" i="1"/>
  <c r="AJ260" i="1"/>
  <c r="AI260" i="1"/>
  <c r="AJ264" i="1"/>
  <c r="AI264" i="1"/>
  <c r="AJ268" i="1"/>
  <c r="AI268" i="1"/>
  <c r="AJ272" i="1"/>
  <c r="AI272" i="1"/>
  <c r="AJ276" i="1"/>
  <c r="AI276" i="1"/>
  <c r="AJ280" i="1"/>
  <c r="AI280" i="1"/>
  <c r="AJ284" i="1"/>
  <c r="AI284" i="1"/>
  <c r="AJ288" i="1"/>
  <c r="AI288" i="1"/>
  <c r="AJ292" i="1"/>
  <c r="AI292" i="1"/>
  <c r="AJ296" i="1"/>
  <c r="AI296" i="1"/>
  <c r="AJ300" i="1"/>
  <c r="AI300" i="1"/>
  <c r="AJ304" i="1"/>
  <c r="AI304" i="1"/>
  <c r="AJ308" i="1"/>
  <c r="AI308" i="1"/>
  <c r="AJ312" i="1"/>
  <c r="AI312" i="1"/>
  <c r="AJ316" i="1"/>
  <c r="AI316" i="1"/>
  <c r="AJ320" i="1"/>
  <c r="AI320" i="1"/>
  <c r="AJ324" i="1"/>
  <c r="AI324" i="1"/>
  <c r="AJ328" i="1"/>
  <c r="AI328" i="1"/>
  <c r="AJ332" i="1"/>
  <c r="AI332" i="1"/>
  <c r="AJ336" i="1"/>
  <c r="AI336" i="1"/>
  <c r="AJ340" i="1"/>
  <c r="AI340" i="1"/>
  <c r="AJ344" i="1"/>
  <c r="AI344" i="1"/>
  <c r="AJ348" i="1"/>
  <c r="AI348" i="1"/>
  <c r="AJ352" i="1"/>
  <c r="AI352" i="1"/>
  <c r="AJ356" i="1"/>
  <c r="AI356" i="1"/>
  <c r="AJ360" i="1"/>
  <c r="AI360" i="1"/>
  <c r="AJ364" i="1"/>
  <c r="AI364" i="1"/>
  <c r="AJ368" i="1"/>
  <c r="AI368" i="1"/>
  <c r="AJ372" i="1"/>
  <c r="AI372" i="1"/>
  <c r="AJ376" i="1"/>
  <c r="AI376" i="1"/>
  <c r="AJ380" i="1"/>
  <c r="AI380" i="1"/>
  <c r="AJ384" i="1"/>
  <c r="AI384" i="1"/>
  <c r="AJ388" i="1"/>
  <c r="AI388" i="1"/>
  <c r="AJ392" i="1"/>
  <c r="AI392" i="1"/>
  <c r="AJ396" i="1"/>
  <c r="AI396" i="1"/>
  <c r="AJ400" i="1"/>
  <c r="AI400" i="1"/>
  <c r="AJ404" i="1"/>
  <c r="AI404" i="1"/>
  <c r="AJ408" i="1"/>
  <c r="AI408" i="1"/>
  <c r="AJ412" i="1"/>
  <c r="AI412" i="1"/>
  <c r="AJ416" i="1"/>
  <c r="AI416" i="1"/>
  <c r="AJ420" i="1"/>
  <c r="AI420" i="1"/>
  <c r="AJ424" i="1"/>
  <c r="AI424" i="1"/>
  <c r="AJ428" i="1"/>
  <c r="AI428" i="1"/>
  <c r="AJ432" i="1"/>
  <c r="AI432" i="1"/>
  <c r="AB107" i="1"/>
  <c r="AB109" i="1"/>
  <c r="AB111" i="1"/>
  <c r="AB113" i="1"/>
  <c r="AB115" i="1"/>
  <c r="AB117" i="1"/>
  <c r="AB119" i="1"/>
  <c r="AB121" i="1"/>
  <c r="AB123" i="1"/>
  <c r="AB125" i="1"/>
  <c r="AB127" i="1"/>
  <c r="AB129" i="1"/>
  <c r="AB131" i="1"/>
  <c r="AB133" i="1"/>
  <c r="AB135" i="1"/>
  <c r="AB137" i="1"/>
  <c r="AB139" i="1"/>
  <c r="AB141" i="1"/>
  <c r="AB143" i="1"/>
  <c r="AB145" i="1"/>
  <c r="AB147" i="1"/>
  <c r="AB149" i="1"/>
  <c r="AB151" i="1"/>
  <c r="AB153" i="1"/>
  <c r="AB155" i="1"/>
  <c r="AB157" i="1"/>
  <c r="AB159" i="1"/>
  <c r="AB161" i="1"/>
  <c r="AB163" i="1"/>
  <c r="AB165" i="1"/>
  <c r="AB167" i="1"/>
  <c r="AB169" i="1"/>
  <c r="AB171" i="1"/>
  <c r="AB173" i="1"/>
  <c r="AB175" i="1"/>
  <c r="AB177" i="1"/>
  <c r="AB179" i="1"/>
  <c r="AB181" i="1"/>
  <c r="AJ182" i="1"/>
  <c r="AE184" i="1"/>
  <c r="AB184" i="1"/>
  <c r="AI185" i="1"/>
  <c r="AJ185" i="1" s="1"/>
  <c r="AE188" i="1"/>
  <c r="AB188" i="1"/>
  <c r="AI189" i="1"/>
  <c r="AJ189" i="1" s="1"/>
  <c r="AE192" i="1"/>
  <c r="AB192" i="1"/>
  <c r="AI193" i="1"/>
  <c r="AJ193" i="1" s="1"/>
  <c r="AE196" i="1"/>
  <c r="AB196" i="1"/>
  <c r="AI198" i="1"/>
  <c r="AJ198" i="1" s="1"/>
  <c r="AI202" i="1"/>
  <c r="AJ202" i="1" s="1"/>
  <c r="AI206" i="1"/>
  <c r="AJ206" i="1" s="1"/>
  <c r="AI210" i="1"/>
  <c r="AJ210" i="1" s="1"/>
  <c r="AI214" i="1"/>
  <c r="AJ214" i="1" s="1"/>
  <c r="AI218" i="1"/>
  <c r="AJ218" i="1" s="1"/>
  <c r="AI222" i="1"/>
  <c r="AJ222" i="1" s="1"/>
  <c r="AI226" i="1"/>
  <c r="AJ226" i="1" s="1"/>
  <c r="AI230" i="1"/>
  <c r="AJ230" i="1" s="1"/>
  <c r="AI234" i="1"/>
  <c r="AJ234" i="1" s="1"/>
  <c r="AI238" i="1"/>
  <c r="AJ238" i="1" s="1"/>
  <c r="AI242" i="1"/>
  <c r="AJ242" i="1" s="1"/>
  <c r="AI246" i="1"/>
  <c r="AJ246" i="1" s="1"/>
  <c r="AI250" i="1"/>
  <c r="AJ250" i="1" s="1"/>
  <c r="AI254" i="1"/>
  <c r="AJ254" i="1" s="1"/>
  <c r="AI258" i="1"/>
  <c r="AJ258" i="1" s="1"/>
  <c r="AI262" i="1"/>
  <c r="AJ262" i="1" s="1"/>
  <c r="AI266" i="1"/>
  <c r="AJ266" i="1" s="1"/>
  <c r="AI270" i="1"/>
  <c r="AJ270" i="1" s="1"/>
  <c r="AI274" i="1"/>
  <c r="AJ274" i="1" s="1"/>
  <c r="AI278" i="1"/>
  <c r="AJ278" i="1" s="1"/>
  <c r="AI282" i="1"/>
  <c r="AJ282" i="1" s="1"/>
  <c r="AI286" i="1"/>
  <c r="AJ286" i="1" s="1"/>
  <c r="AI290" i="1"/>
  <c r="AJ290" i="1" s="1"/>
  <c r="AI294" i="1"/>
  <c r="AJ294" i="1" s="1"/>
  <c r="AI298" i="1"/>
  <c r="AJ298" i="1" s="1"/>
  <c r="AI302" i="1"/>
  <c r="AJ302" i="1" s="1"/>
  <c r="AI306" i="1"/>
  <c r="AJ306" i="1" s="1"/>
  <c r="AI310" i="1"/>
  <c r="AJ310" i="1" s="1"/>
  <c r="AI314" i="1"/>
  <c r="AJ314" i="1" s="1"/>
  <c r="AI318" i="1"/>
  <c r="AJ318" i="1" s="1"/>
  <c r="AI322" i="1"/>
  <c r="AJ322" i="1" s="1"/>
  <c r="AI326" i="1"/>
  <c r="AJ326" i="1" s="1"/>
  <c r="AI330" i="1"/>
  <c r="AJ330" i="1" s="1"/>
  <c r="AI334" i="1"/>
  <c r="AJ334" i="1" s="1"/>
  <c r="AI338" i="1"/>
  <c r="AJ338" i="1" s="1"/>
  <c r="AI342" i="1"/>
  <c r="AJ342" i="1" s="1"/>
  <c r="AI346" i="1"/>
  <c r="AJ346" i="1" s="1"/>
  <c r="AI350" i="1"/>
  <c r="AJ350" i="1" s="1"/>
  <c r="AI354" i="1"/>
  <c r="AJ354" i="1" s="1"/>
  <c r="AI358" i="1"/>
  <c r="AJ358" i="1" s="1"/>
  <c r="AI362" i="1"/>
  <c r="AJ362" i="1" s="1"/>
  <c r="AI366" i="1"/>
  <c r="AJ366" i="1" s="1"/>
  <c r="AI370" i="1"/>
  <c r="AJ370" i="1" s="1"/>
  <c r="AI374" i="1"/>
  <c r="AJ374" i="1" s="1"/>
  <c r="AI378" i="1"/>
  <c r="AJ378" i="1" s="1"/>
  <c r="AI382" i="1"/>
  <c r="AJ382" i="1" s="1"/>
  <c r="AI386" i="1"/>
  <c r="AJ386" i="1" s="1"/>
  <c r="AI390" i="1"/>
  <c r="AJ390" i="1" s="1"/>
  <c r="AI394" i="1"/>
  <c r="AJ394" i="1" s="1"/>
  <c r="AI398" i="1"/>
  <c r="AJ398" i="1" s="1"/>
  <c r="AI402" i="1"/>
  <c r="AJ402" i="1" s="1"/>
  <c r="AI406" i="1"/>
  <c r="AJ406" i="1" s="1"/>
  <c r="AI410" i="1"/>
  <c r="AJ410" i="1" s="1"/>
  <c r="AI414" i="1"/>
  <c r="AJ414" i="1" s="1"/>
  <c r="AI418" i="1"/>
  <c r="AJ418" i="1" s="1"/>
  <c r="AI422" i="1"/>
  <c r="AJ422" i="1" s="1"/>
  <c r="AI426" i="1"/>
  <c r="AJ426" i="1" s="1"/>
  <c r="AI430" i="1"/>
  <c r="AJ430" i="1" s="1"/>
  <c r="AJ197" i="1"/>
  <c r="AB198" i="1"/>
  <c r="AJ199" i="1"/>
  <c r="AB200" i="1"/>
  <c r="AJ201" i="1"/>
  <c r="AB202" i="1"/>
  <c r="AJ203" i="1"/>
  <c r="AB204" i="1"/>
  <c r="AJ205" i="1"/>
  <c r="AB206" i="1"/>
  <c r="AJ207" i="1"/>
  <c r="AB208" i="1"/>
  <c r="AJ209" i="1"/>
  <c r="AB210" i="1"/>
  <c r="AJ211" i="1"/>
  <c r="AB212" i="1"/>
  <c r="AJ213" i="1"/>
  <c r="AB214" i="1"/>
  <c r="AJ215" i="1"/>
  <c r="AB216" i="1"/>
  <c r="AJ217" i="1"/>
  <c r="AB218" i="1"/>
  <c r="AJ219" i="1"/>
  <c r="AB220" i="1"/>
  <c r="AJ221" i="1"/>
  <c r="AB222" i="1"/>
  <c r="AJ223" i="1"/>
  <c r="AB224" i="1"/>
  <c r="AJ225" i="1"/>
  <c r="AB226" i="1"/>
  <c r="AJ227" i="1"/>
  <c r="AB228" i="1"/>
  <c r="AJ229" i="1"/>
  <c r="AB230" i="1"/>
  <c r="AJ231" i="1"/>
  <c r="AB232" i="1"/>
  <c r="AJ233" i="1"/>
  <c r="AB234" i="1"/>
  <c r="AJ235" i="1"/>
  <c r="AB236" i="1"/>
  <c r="AJ237" i="1"/>
  <c r="AB238" i="1"/>
  <c r="AJ239" i="1"/>
  <c r="AB240" i="1"/>
  <c r="AJ241" i="1"/>
  <c r="AB242" i="1"/>
  <c r="AJ243" i="1"/>
  <c r="AB244" i="1"/>
  <c r="AJ245" i="1"/>
  <c r="AB246" i="1"/>
  <c r="AJ247" i="1"/>
  <c r="AB248" i="1"/>
  <c r="AJ249" i="1"/>
  <c r="AB250" i="1"/>
  <c r="AJ251" i="1"/>
  <c r="AB252" i="1"/>
  <c r="AJ253" i="1"/>
  <c r="AB254" i="1"/>
  <c r="AJ255" i="1"/>
  <c r="AB256" i="1"/>
  <c r="AJ257" i="1"/>
  <c r="AB258" i="1"/>
  <c r="AJ259" i="1"/>
  <c r="AB260" i="1"/>
  <c r="AJ261" i="1"/>
  <c r="AB262" i="1"/>
  <c r="AJ263" i="1"/>
  <c r="AB264" i="1"/>
  <c r="AJ265" i="1"/>
  <c r="AB266" i="1"/>
  <c r="AJ267" i="1"/>
  <c r="AB268" i="1"/>
  <c r="AJ269" i="1"/>
  <c r="AB270" i="1"/>
  <c r="AJ271" i="1"/>
  <c r="AB272" i="1"/>
  <c r="AJ273" i="1"/>
  <c r="AB274" i="1"/>
  <c r="AJ275" i="1"/>
  <c r="AB276" i="1"/>
  <c r="AJ277" i="1"/>
  <c r="AB278" i="1"/>
  <c r="AJ279" i="1"/>
  <c r="AB280" i="1"/>
  <c r="AJ281" i="1"/>
  <c r="AB282" i="1"/>
  <c r="AJ283" i="1"/>
  <c r="AB284" i="1"/>
  <c r="AJ285" i="1"/>
  <c r="AB286" i="1"/>
  <c r="AJ287" i="1"/>
  <c r="AB288" i="1"/>
  <c r="AJ289" i="1"/>
  <c r="AB290" i="1"/>
  <c r="AJ291" i="1"/>
  <c r="AB292" i="1"/>
  <c r="AJ293" i="1"/>
  <c r="AB294" i="1"/>
  <c r="AJ295" i="1"/>
  <c r="AB296" i="1"/>
  <c r="AJ297" i="1"/>
  <c r="AB298" i="1"/>
  <c r="AJ299" i="1"/>
  <c r="AB300" i="1"/>
  <c r="AJ301" i="1"/>
  <c r="AB302" i="1"/>
  <c r="AJ303" i="1"/>
  <c r="AB304" i="1"/>
  <c r="AJ305" i="1"/>
  <c r="AB306" i="1"/>
  <c r="AJ307" i="1"/>
  <c r="AB308" i="1"/>
  <c r="AJ309" i="1"/>
  <c r="AB310" i="1"/>
  <c r="AJ311" i="1"/>
  <c r="AB312" i="1"/>
  <c r="AJ313" i="1"/>
  <c r="AB314" i="1"/>
  <c r="AJ315" i="1"/>
  <c r="AB316" i="1"/>
  <c r="AJ317" i="1"/>
  <c r="AB318" i="1"/>
  <c r="AJ319" i="1"/>
  <c r="AB320" i="1"/>
  <c r="AJ321" i="1"/>
  <c r="AB322" i="1"/>
  <c r="AJ323" i="1"/>
  <c r="AB324" i="1"/>
  <c r="AJ325" i="1"/>
  <c r="AB326" i="1"/>
  <c r="AJ327" i="1"/>
  <c r="AB328" i="1"/>
  <c r="AJ329" i="1"/>
  <c r="AB330" i="1"/>
  <c r="AJ331" i="1"/>
  <c r="AB332" i="1"/>
  <c r="AJ333" i="1"/>
  <c r="AB334" i="1"/>
  <c r="AJ335" i="1"/>
  <c r="AB336" i="1"/>
  <c r="AJ337" i="1"/>
  <c r="AB338" i="1"/>
  <c r="AJ339" i="1"/>
  <c r="AB340" i="1"/>
  <c r="AJ341" i="1"/>
  <c r="AB342" i="1"/>
  <c r="AJ343" i="1"/>
  <c r="AB344" i="1"/>
  <c r="AJ345" i="1"/>
  <c r="AB346" i="1"/>
  <c r="AJ347" i="1"/>
  <c r="AB348" i="1"/>
  <c r="AJ349" i="1"/>
  <c r="AB350" i="1"/>
  <c r="AJ351" i="1"/>
  <c r="AB352" i="1"/>
  <c r="AJ353" i="1"/>
  <c r="AB354" i="1"/>
  <c r="AJ355" i="1"/>
  <c r="AB356" i="1"/>
  <c r="AJ357" i="1"/>
  <c r="AB358" i="1"/>
  <c r="AJ359" i="1"/>
  <c r="AB360" i="1"/>
  <c r="AJ361" i="1"/>
  <c r="AB362" i="1"/>
  <c r="AJ363" i="1"/>
  <c r="AB364" i="1"/>
  <c r="AJ365" i="1"/>
  <c r="AB366" i="1"/>
  <c r="AJ367" i="1"/>
  <c r="AB368" i="1"/>
  <c r="AJ369" i="1"/>
  <c r="AB370" i="1"/>
  <c r="AJ371" i="1"/>
  <c r="AB372" i="1"/>
  <c r="AJ373" i="1"/>
  <c r="AB374" i="1"/>
  <c r="AJ375" i="1"/>
  <c r="AB376" i="1"/>
  <c r="AJ377" i="1"/>
  <c r="AB378" i="1"/>
  <c r="AJ379" i="1"/>
  <c r="AB380" i="1"/>
  <c r="AJ381" i="1"/>
  <c r="AB382" i="1"/>
  <c r="AJ383" i="1"/>
  <c r="AB384" i="1"/>
  <c r="AJ385" i="1"/>
  <c r="AB386" i="1"/>
  <c r="AJ387" i="1"/>
  <c r="AB388" i="1"/>
  <c r="AJ389" i="1"/>
  <c r="AB390" i="1"/>
  <c r="AJ391" i="1"/>
  <c r="AB392" i="1"/>
  <c r="AJ393" i="1"/>
  <c r="AB394" i="1"/>
  <c r="AJ395" i="1"/>
  <c r="AB396" i="1"/>
  <c r="AJ397" i="1"/>
  <c r="AB398" i="1"/>
  <c r="AJ399" i="1"/>
  <c r="AB400" i="1"/>
  <c r="AJ401" i="1"/>
  <c r="AB402" i="1"/>
  <c r="AJ403" i="1"/>
  <c r="AB404" i="1"/>
  <c r="AJ405" i="1"/>
  <c r="AB406" i="1"/>
  <c r="AJ407" i="1"/>
  <c r="AB408" i="1"/>
  <c r="AJ409" i="1"/>
  <c r="AB410" i="1"/>
  <c r="AJ411" i="1"/>
  <c r="AB412" i="1"/>
  <c r="AJ413" i="1"/>
  <c r="AB414" i="1"/>
  <c r="AJ415" i="1"/>
  <c r="AB416" i="1"/>
  <c r="AJ417" i="1"/>
  <c r="AB418" i="1"/>
  <c r="AJ419" i="1"/>
  <c r="AB420" i="1"/>
  <c r="AJ421" i="1"/>
  <c r="AB422" i="1"/>
  <c r="AJ423" i="1"/>
  <c r="AB424" i="1"/>
  <c r="AJ425" i="1"/>
  <c r="AB426" i="1"/>
  <c r="AJ427" i="1"/>
  <c r="AB428" i="1"/>
  <c r="AJ429" i="1"/>
  <c r="AB430" i="1"/>
  <c r="AJ431" i="1"/>
  <c r="AB432" i="1"/>
  <c r="AE435" i="1"/>
  <c r="AB435" i="1"/>
  <c r="AI436" i="1"/>
  <c r="AJ436" i="1" s="1"/>
  <c r="AE439" i="1"/>
  <c r="AB439" i="1"/>
  <c r="AI440" i="1"/>
  <c r="AJ440" i="1" s="1"/>
  <c r="AE443" i="1"/>
  <c r="AB443" i="1"/>
  <c r="AI444" i="1"/>
  <c r="AJ444" i="1" s="1"/>
  <c r="AE447" i="1"/>
  <c r="AB447" i="1"/>
  <c r="AI448" i="1"/>
  <c r="AJ448" i="1" s="1"/>
  <c r="AE451" i="1"/>
  <c r="AB451" i="1"/>
  <c r="AI452" i="1"/>
  <c r="AJ452" i="1" s="1"/>
  <c r="AE455" i="1"/>
  <c r="AB455" i="1"/>
  <c r="AI456" i="1"/>
  <c r="AJ456" i="1" s="1"/>
  <c r="AE459" i="1"/>
  <c r="AB459" i="1"/>
  <c r="AI460" i="1"/>
  <c r="AJ460" i="1" s="1"/>
  <c r="AI463" i="1"/>
  <c r="AJ463" i="1" s="1"/>
  <c r="AJ466" i="1"/>
  <c r="AI467" i="1"/>
  <c r="AJ467" i="1"/>
  <c r="AI471" i="1"/>
  <c r="AJ471" i="1" s="1"/>
  <c r="AJ474" i="1"/>
  <c r="AI475" i="1"/>
  <c r="AJ475" i="1"/>
  <c r="AI479" i="1"/>
  <c r="AJ479" i="1" s="1"/>
  <c r="AJ482" i="1"/>
  <c r="AI483" i="1"/>
  <c r="AJ483" i="1"/>
  <c r="AI487" i="1"/>
  <c r="AJ487" i="1" s="1"/>
  <c r="AJ490" i="1"/>
  <c r="AI491" i="1"/>
  <c r="AJ491" i="1"/>
  <c r="AI495" i="1"/>
  <c r="AJ495" i="1" s="1"/>
  <c r="AJ498" i="1"/>
  <c r="AI499" i="1"/>
  <c r="AJ499" i="1"/>
  <c r="AI503" i="1"/>
  <c r="AJ503" i="1" s="1"/>
  <c r="AJ506" i="1"/>
  <c r="AI507" i="1"/>
  <c r="AJ507" i="1"/>
  <c r="AI511" i="1"/>
  <c r="AJ511" i="1" s="1"/>
  <c r="AJ514" i="1"/>
  <c r="AI515" i="1"/>
  <c r="AJ515" i="1"/>
  <c r="AI519" i="1"/>
  <c r="AJ519" i="1" s="1"/>
  <c r="AJ522" i="1"/>
  <c r="AI523" i="1"/>
  <c r="AJ523" i="1"/>
  <c r="AI527" i="1"/>
  <c r="AJ527" i="1" s="1"/>
  <c r="AJ530" i="1"/>
  <c r="AI531" i="1"/>
  <c r="AJ531" i="1"/>
  <c r="AI535" i="1"/>
  <c r="AJ535" i="1" s="1"/>
  <c r="AJ538" i="1"/>
  <c r="AI539" i="1"/>
  <c r="AJ539" i="1"/>
  <c r="AI543" i="1"/>
  <c r="AJ543" i="1" s="1"/>
  <c r="AJ546" i="1"/>
  <c r="AI547" i="1"/>
  <c r="AJ547" i="1"/>
  <c r="AI551" i="1"/>
  <c r="AJ551" i="1" s="1"/>
  <c r="AJ554" i="1"/>
  <c r="AI555" i="1"/>
  <c r="AJ555" i="1"/>
  <c r="AE433" i="1"/>
  <c r="AB433" i="1"/>
  <c r="AI434" i="1"/>
  <c r="AJ434" i="1" s="1"/>
  <c r="AE437" i="1"/>
  <c r="AB437" i="1"/>
  <c r="AI438" i="1"/>
  <c r="AJ438" i="1" s="1"/>
  <c r="AE441" i="1"/>
  <c r="AB441" i="1"/>
  <c r="AI442" i="1"/>
  <c r="AJ442" i="1" s="1"/>
  <c r="AE445" i="1"/>
  <c r="AB445" i="1"/>
  <c r="AI446" i="1"/>
  <c r="AJ446" i="1" s="1"/>
  <c r="AE449" i="1"/>
  <c r="AB449" i="1"/>
  <c r="AI450" i="1"/>
  <c r="AJ450" i="1" s="1"/>
  <c r="AE453" i="1"/>
  <c r="AB453" i="1"/>
  <c r="AI454" i="1"/>
  <c r="AJ454" i="1" s="1"/>
  <c r="AE457" i="1"/>
  <c r="AB457" i="1"/>
  <c r="AI458" i="1"/>
  <c r="AJ458" i="1" s="1"/>
  <c r="AI461" i="1"/>
  <c r="AJ461" i="1"/>
  <c r="AI465" i="1"/>
  <c r="AJ465" i="1" s="1"/>
  <c r="AI469" i="1"/>
  <c r="AJ469" i="1"/>
  <c r="AI473" i="1"/>
  <c r="AJ473" i="1" s="1"/>
  <c r="AI477" i="1"/>
  <c r="AJ477" i="1"/>
  <c r="AI481" i="1"/>
  <c r="AJ481" i="1" s="1"/>
  <c r="AI485" i="1"/>
  <c r="AJ485" i="1"/>
  <c r="AI489" i="1"/>
  <c r="AJ489" i="1" s="1"/>
  <c r="AI493" i="1"/>
  <c r="AJ493" i="1"/>
  <c r="AI497" i="1"/>
  <c r="AJ497" i="1" s="1"/>
  <c r="AI501" i="1"/>
  <c r="AJ501" i="1"/>
  <c r="AI505" i="1"/>
  <c r="AJ505" i="1" s="1"/>
  <c r="AI509" i="1"/>
  <c r="AJ509" i="1"/>
  <c r="AI513" i="1"/>
  <c r="AJ513" i="1" s="1"/>
  <c r="AI517" i="1"/>
  <c r="AJ517" i="1"/>
  <c r="AI521" i="1"/>
  <c r="AJ521" i="1" s="1"/>
  <c r="AI525" i="1"/>
  <c r="AJ525" i="1"/>
  <c r="AI529" i="1"/>
  <c r="AJ529" i="1" s="1"/>
  <c r="AI533" i="1"/>
  <c r="AJ533" i="1"/>
  <c r="AI537" i="1"/>
  <c r="AJ537" i="1" s="1"/>
  <c r="AI541" i="1"/>
  <c r="AJ541" i="1"/>
  <c r="AI545" i="1"/>
  <c r="AJ545" i="1" s="1"/>
  <c r="AI549" i="1"/>
  <c r="AJ549" i="1"/>
  <c r="AI553" i="1"/>
  <c r="AJ553" i="1" s="1"/>
  <c r="AI557" i="1"/>
  <c r="AJ557" i="1"/>
  <c r="AI462" i="1"/>
  <c r="AJ462" i="1" s="1"/>
  <c r="AI464" i="1"/>
  <c r="AJ464" i="1" s="1"/>
  <c r="AI466" i="1"/>
  <c r="AI468" i="1"/>
  <c r="AJ468" i="1" s="1"/>
  <c r="AI470" i="1"/>
  <c r="AJ470" i="1" s="1"/>
  <c r="AI472" i="1"/>
  <c r="AJ472" i="1" s="1"/>
  <c r="AI474" i="1"/>
  <c r="AI476" i="1"/>
  <c r="AJ476" i="1" s="1"/>
  <c r="AI478" i="1"/>
  <c r="AJ478" i="1" s="1"/>
  <c r="AI480" i="1"/>
  <c r="AJ480" i="1" s="1"/>
  <c r="AI482" i="1"/>
  <c r="AI484" i="1"/>
  <c r="AJ484" i="1" s="1"/>
  <c r="AI486" i="1"/>
  <c r="AJ486" i="1" s="1"/>
  <c r="AI488" i="1"/>
  <c r="AJ488" i="1" s="1"/>
  <c r="AI490" i="1"/>
  <c r="AI492" i="1"/>
  <c r="AJ492" i="1" s="1"/>
  <c r="AI494" i="1"/>
  <c r="AJ494" i="1" s="1"/>
  <c r="AI496" i="1"/>
  <c r="AJ496" i="1" s="1"/>
  <c r="AI498" i="1"/>
  <c r="AI500" i="1"/>
  <c r="AJ500" i="1" s="1"/>
  <c r="AI502" i="1"/>
  <c r="AJ502" i="1" s="1"/>
  <c r="AI504" i="1"/>
  <c r="AJ504" i="1" s="1"/>
  <c r="AI506" i="1"/>
  <c r="AI508" i="1"/>
  <c r="AJ508" i="1" s="1"/>
  <c r="AI510" i="1"/>
  <c r="AJ510" i="1" s="1"/>
  <c r="AI512" i="1"/>
  <c r="AJ512" i="1" s="1"/>
  <c r="AI514" i="1"/>
  <c r="AI516" i="1"/>
  <c r="AJ516" i="1" s="1"/>
  <c r="AI518" i="1"/>
  <c r="AJ518" i="1" s="1"/>
  <c r="AI520" i="1"/>
  <c r="AJ520" i="1" s="1"/>
  <c r="AI522" i="1"/>
  <c r="AI524" i="1"/>
  <c r="AJ524" i="1" s="1"/>
  <c r="AI526" i="1"/>
  <c r="AJ526" i="1" s="1"/>
  <c r="AI528" i="1"/>
  <c r="AJ528" i="1" s="1"/>
  <c r="AI530" i="1"/>
  <c r="AI532" i="1"/>
  <c r="AJ532" i="1" s="1"/>
  <c r="AI534" i="1"/>
  <c r="AJ534" i="1" s="1"/>
  <c r="AI536" i="1"/>
  <c r="AJ536" i="1" s="1"/>
  <c r="AI538" i="1"/>
  <c r="AI540" i="1"/>
  <c r="AJ540" i="1" s="1"/>
  <c r="AI542" i="1"/>
  <c r="AJ542" i="1" s="1"/>
  <c r="AI544" i="1"/>
  <c r="AJ544" i="1" s="1"/>
  <c r="AI546" i="1"/>
  <c r="AI548" i="1"/>
  <c r="AJ548" i="1" s="1"/>
  <c r="AI550" i="1"/>
  <c r="AJ550" i="1" s="1"/>
  <c r="AI552" i="1"/>
  <c r="AJ552" i="1" s="1"/>
  <c r="AI554" i="1"/>
  <c r="AI556" i="1"/>
  <c r="AJ556" i="1" s="1"/>
  <c r="AJ558" i="1"/>
  <c r="AE560" i="1"/>
  <c r="AB560" i="1"/>
  <c r="AJ561" i="1"/>
  <c r="AI561" i="1"/>
  <c r="AE564" i="1"/>
  <c r="AB564" i="1"/>
  <c r="AJ565" i="1"/>
  <c r="AI565" i="1"/>
  <c r="AE568" i="1"/>
  <c r="AB568" i="1"/>
  <c r="AJ569" i="1"/>
  <c r="AI569" i="1"/>
  <c r="AE572" i="1"/>
  <c r="AB572" i="1"/>
  <c r="AJ573" i="1"/>
  <c r="AI573" i="1"/>
  <c r="AE576" i="1"/>
  <c r="AB576" i="1"/>
  <c r="AJ577" i="1"/>
  <c r="AI578" i="1"/>
  <c r="AJ578" i="1"/>
  <c r="AI582" i="1"/>
  <c r="AJ582" i="1" s="1"/>
  <c r="AJ585" i="1"/>
  <c r="AI586" i="1"/>
  <c r="AJ586" i="1"/>
  <c r="AI590" i="1"/>
  <c r="AJ590" i="1" s="1"/>
  <c r="AJ593" i="1"/>
  <c r="AI594" i="1"/>
  <c r="AJ594" i="1"/>
  <c r="AI598" i="1"/>
  <c r="AJ598" i="1" s="1"/>
  <c r="AJ601" i="1"/>
  <c r="AI602" i="1"/>
  <c r="AJ602" i="1"/>
  <c r="AI606" i="1"/>
  <c r="AJ606" i="1" s="1"/>
  <c r="AB461" i="1"/>
  <c r="AB463" i="1"/>
  <c r="AB465" i="1"/>
  <c r="AB467" i="1"/>
  <c r="AB469" i="1"/>
  <c r="AB471" i="1"/>
  <c r="AB473" i="1"/>
  <c r="AB475" i="1"/>
  <c r="AB477" i="1"/>
  <c r="AB479" i="1"/>
  <c r="AB481" i="1"/>
  <c r="AB483" i="1"/>
  <c r="AB485" i="1"/>
  <c r="AB487" i="1"/>
  <c r="AB489" i="1"/>
  <c r="AB491" i="1"/>
  <c r="AB493" i="1"/>
  <c r="AB495" i="1"/>
  <c r="AB497" i="1"/>
  <c r="AB499" i="1"/>
  <c r="AB501" i="1"/>
  <c r="AB503" i="1"/>
  <c r="AB505" i="1"/>
  <c r="AB507" i="1"/>
  <c r="AB509" i="1"/>
  <c r="AB511" i="1"/>
  <c r="AB513" i="1"/>
  <c r="AB515" i="1"/>
  <c r="AB517" i="1"/>
  <c r="AB519" i="1"/>
  <c r="AB521" i="1"/>
  <c r="AB523" i="1"/>
  <c r="AB525" i="1"/>
  <c r="AB527" i="1"/>
  <c r="AB529" i="1"/>
  <c r="AB531" i="1"/>
  <c r="AB533" i="1"/>
  <c r="AB535" i="1"/>
  <c r="AB537" i="1"/>
  <c r="AB539" i="1"/>
  <c r="AB541" i="1"/>
  <c r="AB543" i="1"/>
  <c r="AB545" i="1"/>
  <c r="AB547" i="1"/>
  <c r="AB549" i="1"/>
  <c r="AB551" i="1"/>
  <c r="AB553" i="1"/>
  <c r="AB555" i="1"/>
  <c r="AB557" i="1"/>
  <c r="AI559" i="1"/>
  <c r="AJ559" i="1" s="1"/>
  <c r="AE562" i="1"/>
  <c r="AB562" i="1"/>
  <c r="AI563" i="1"/>
  <c r="AJ563" i="1" s="1"/>
  <c r="AE566" i="1"/>
  <c r="AB566" i="1"/>
  <c r="AI567" i="1"/>
  <c r="AJ567" i="1" s="1"/>
  <c r="AE570" i="1"/>
  <c r="AB570" i="1"/>
  <c r="AI571" i="1"/>
  <c r="AJ571" i="1" s="1"/>
  <c r="AE574" i="1"/>
  <c r="AB574" i="1"/>
  <c r="AI575" i="1"/>
  <c r="AJ575" i="1" s="1"/>
  <c r="AI580" i="1"/>
  <c r="AJ580" i="1" s="1"/>
  <c r="AI584" i="1"/>
  <c r="AJ584" i="1"/>
  <c r="AI588" i="1"/>
  <c r="AJ588" i="1" s="1"/>
  <c r="AI592" i="1"/>
  <c r="AJ592" i="1"/>
  <c r="AI596" i="1"/>
  <c r="AJ596" i="1" s="1"/>
  <c r="AI600" i="1"/>
  <c r="AJ600" i="1"/>
  <c r="AI604" i="1"/>
  <c r="AJ604" i="1" s="1"/>
  <c r="AI608" i="1"/>
  <c r="AJ608" i="1"/>
  <c r="AI577" i="1"/>
  <c r="AI579" i="1"/>
  <c r="AJ579" i="1" s="1"/>
  <c r="AI581" i="1"/>
  <c r="AJ581" i="1" s="1"/>
  <c r="AI583" i="1"/>
  <c r="AJ583" i="1" s="1"/>
  <c r="AI585" i="1"/>
  <c r="AI587" i="1"/>
  <c r="AJ587" i="1" s="1"/>
  <c r="AI589" i="1"/>
  <c r="AJ589" i="1" s="1"/>
  <c r="AI591" i="1"/>
  <c r="AJ591" i="1" s="1"/>
  <c r="AI593" i="1"/>
  <c r="AI595" i="1"/>
  <c r="AJ595" i="1" s="1"/>
  <c r="AI597" i="1"/>
  <c r="AJ597" i="1" s="1"/>
  <c r="AI599" i="1"/>
  <c r="AJ599" i="1" s="1"/>
  <c r="AI601" i="1"/>
  <c r="AI603" i="1"/>
  <c r="AJ603" i="1" s="1"/>
  <c r="AI605" i="1"/>
  <c r="AJ605" i="1" s="1"/>
  <c r="AI607" i="1"/>
  <c r="AJ607" i="1" s="1"/>
  <c r="AI609" i="1"/>
  <c r="AJ609" i="1" s="1"/>
  <c r="AE612" i="1"/>
  <c r="AB612" i="1"/>
  <c r="AI613" i="1"/>
  <c r="AJ613" i="1" s="1"/>
  <c r="AE616" i="1"/>
  <c r="AB616" i="1"/>
  <c r="AI617" i="1"/>
  <c r="AJ617" i="1" s="1"/>
  <c r="AE620" i="1"/>
  <c r="AB620" i="1"/>
  <c r="AI621" i="1"/>
  <c r="AJ621" i="1" s="1"/>
  <c r="AE624" i="1"/>
  <c r="AB624" i="1"/>
  <c r="AI625" i="1"/>
  <c r="AJ625" i="1" s="1"/>
  <c r="AE628" i="1"/>
  <c r="AB628" i="1"/>
  <c r="AI629" i="1"/>
  <c r="AJ629" i="1" s="1"/>
  <c r="AE632" i="1"/>
  <c r="AB632" i="1"/>
  <c r="AI633" i="1"/>
  <c r="AJ633" i="1" s="1"/>
  <c r="AE636" i="1"/>
  <c r="AB636" i="1"/>
  <c r="AI637" i="1"/>
  <c r="AJ637" i="1" s="1"/>
  <c r="AE640" i="1"/>
  <c r="AB640" i="1"/>
  <c r="AI641" i="1"/>
  <c r="AJ641" i="1" s="1"/>
  <c r="AE644" i="1"/>
  <c r="AB644" i="1"/>
  <c r="AI645" i="1"/>
  <c r="AJ645" i="1" s="1"/>
  <c r="AE648" i="1"/>
  <c r="AB648" i="1"/>
  <c r="AI649" i="1"/>
  <c r="AJ649" i="1" s="1"/>
  <c r="AE652" i="1"/>
  <c r="AB652" i="1"/>
  <c r="AI653" i="1"/>
  <c r="AJ653" i="1" s="1"/>
  <c r="AI656" i="1"/>
  <c r="AJ656" i="1" s="1"/>
  <c r="AI660" i="1"/>
  <c r="AJ660" i="1" s="1"/>
  <c r="AI664" i="1"/>
  <c r="AJ664" i="1" s="1"/>
  <c r="AI668" i="1"/>
  <c r="AJ668" i="1" s="1"/>
  <c r="AI672" i="1"/>
  <c r="AJ672" i="1" s="1"/>
  <c r="AI676" i="1"/>
  <c r="AJ676" i="1" s="1"/>
  <c r="AI680" i="1"/>
  <c r="AJ680" i="1" s="1"/>
  <c r="AI684" i="1"/>
  <c r="AJ684" i="1" s="1"/>
  <c r="AI688" i="1"/>
  <c r="AJ688" i="1" s="1"/>
  <c r="AI692" i="1"/>
  <c r="AJ692" i="1" s="1"/>
  <c r="AI696" i="1"/>
  <c r="AJ696" i="1" s="1"/>
  <c r="AI700" i="1"/>
  <c r="AJ700" i="1" s="1"/>
  <c r="AI704" i="1"/>
  <c r="AJ704" i="1" s="1"/>
  <c r="AI708" i="1"/>
  <c r="AJ708" i="1" s="1"/>
  <c r="AI712" i="1"/>
  <c r="AJ712" i="1" s="1"/>
  <c r="AI716" i="1"/>
  <c r="AJ716" i="1" s="1"/>
  <c r="AI720" i="1"/>
  <c r="AJ720" i="1" s="1"/>
  <c r="AI724" i="1"/>
  <c r="AJ724" i="1" s="1"/>
  <c r="AI728" i="1"/>
  <c r="AJ728" i="1" s="1"/>
  <c r="AI732" i="1"/>
  <c r="AJ732" i="1" s="1"/>
  <c r="AI736" i="1"/>
  <c r="AJ736" i="1" s="1"/>
  <c r="AI740" i="1"/>
  <c r="AJ740" i="1" s="1"/>
  <c r="AB578" i="1"/>
  <c r="AB580" i="1"/>
  <c r="AB582" i="1"/>
  <c r="AB584" i="1"/>
  <c r="AB586" i="1"/>
  <c r="AB588" i="1"/>
  <c r="AB590" i="1"/>
  <c r="AB592" i="1"/>
  <c r="AB594" i="1"/>
  <c r="AB596" i="1"/>
  <c r="AB598" i="1"/>
  <c r="AB600" i="1"/>
  <c r="AB602" i="1"/>
  <c r="AB604" i="1"/>
  <c r="AB606" i="1"/>
  <c r="AB608" i="1"/>
  <c r="AE610" i="1"/>
  <c r="AB610" i="1"/>
  <c r="AI611" i="1"/>
  <c r="AJ611" i="1" s="1"/>
  <c r="AE614" i="1"/>
  <c r="AB614" i="1"/>
  <c r="AI615" i="1"/>
  <c r="AJ615" i="1" s="1"/>
  <c r="AE618" i="1"/>
  <c r="AB618" i="1"/>
  <c r="AI619" i="1"/>
  <c r="AJ619" i="1" s="1"/>
  <c r="AE622" i="1"/>
  <c r="AB622" i="1"/>
  <c r="AI623" i="1"/>
  <c r="AJ623" i="1" s="1"/>
  <c r="AE626" i="1"/>
  <c r="AB626" i="1"/>
  <c r="AI627" i="1"/>
  <c r="AJ627" i="1" s="1"/>
  <c r="AE630" i="1"/>
  <c r="AB630" i="1"/>
  <c r="AI631" i="1"/>
  <c r="AJ631" i="1" s="1"/>
  <c r="AE634" i="1"/>
  <c r="AB634" i="1"/>
  <c r="AI635" i="1"/>
  <c r="AJ635" i="1" s="1"/>
  <c r="AE638" i="1"/>
  <c r="AB638" i="1"/>
  <c r="AI639" i="1"/>
  <c r="AJ639" i="1" s="1"/>
  <c r="AE642" i="1"/>
  <c r="AB642" i="1"/>
  <c r="AI643" i="1"/>
  <c r="AJ643" i="1" s="1"/>
  <c r="AE646" i="1"/>
  <c r="AB646" i="1"/>
  <c r="AI647" i="1"/>
  <c r="AJ647" i="1" s="1"/>
  <c r="AE650" i="1"/>
  <c r="AB650" i="1"/>
  <c r="AI651" i="1"/>
  <c r="AJ651" i="1" s="1"/>
  <c r="AI654" i="1"/>
  <c r="AJ654" i="1" s="1"/>
  <c r="AI658" i="1"/>
  <c r="AJ658" i="1" s="1"/>
  <c r="AI662" i="1"/>
  <c r="AJ662" i="1" s="1"/>
  <c r="AI666" i="1"/>
  <c r="AJ666" i="1" s="1"/>
  <c r="AI670" i="1"/>
  <c r="AJ670" i="1" s="1"/>
  <c r="AI674" i="1"/>
  <c r="AJ674" i="1" s="1"/>
  <c r="AI678" i="1"/>
  <c r="AJ678" i="1" s="1"/>
  <c r="AI682" i="1"/>
  <c r="AJ682" i="1" s="1"/>
  <c r="AI686" i="1"/>
  <c r="AJ686" i="1" s="1"/>
  <c r="AI690" i="1"/>
  <c r="AJ690" i="1" s="1"/>
  <c r="AI694" i="1"/>
  <c r="AJ694" i="1" s="1"/>
  <c r="AI698" i="1"/>
  <c r="AJ698" i="1" s="1"/>
  <c r="AI702" i="1"/>
  <c r="AJ702" i="1" s="1"/>
  <c r="AI706" i="1"/>
  <c r="AJ706" i="1" s="1"/>
  <c r="AI710" i="1"/>
  <c r="AJ710" i="1" s="1"/>
  <c r="AI714" i="1"/>
  <c r="AJ714" i="1" s="1"/>
  <c r="AI718" i="1"/>
  <c r="AJ718" i="1" s="1"/>
  <c r="AI722" i="1"/>
  <c r="AJ722" i="1" s="1"/>
  <c r="AI726" i="1"/>
  <c r="AJ726" i="1" s="1"/>
  <c r="AI730" i="1"/>
  <c r="AJ730" i="1" s="1"/>
  <c r="AI734" i="1"/>
  <c r="AJ734" i="1" s="1"/>
  <c r="AI738" i="1"/>
  <c r="AJ738" i="1" s="1"/>
  <c r="AB654" i="1"/>
  <c r="AJ655" i="1"/>
  <c r="AB656" i="1"/>
  <c r="AJ657" i="1"/>
  <c r="AB658" i="1"/>
  <c r="AJ659" i="1"/>
  <c r="AB660" i="1"/>
  <c r="AJ661" i="1"/>
  <c r="AB662" i="1"/>
  <c r="AJ663" i="1"/>
  <c r="AB664" i="1"/>
  <c r="AJ665" i="1"/>
  <c r="AB666" i="1"/>
  <c r="AJ667" i="1"/>
  <c r="AB668" i="1"/>
  <c r="AJ669" i="1"/>
  <c r="AB670" i="1"/>
  <c r="AJ671" i="1"/>
  <c r="AB672" i="1"/>
  <c r="AJ673" i="1"/>
  <c r="AB674" i="1"/>
  <c r="AJ675" i="1"/>
  <c r="AB676" i="1"/>
  <c r="AJ677" i="1"/>
  <c r="AB678" i="1"/>
  <c r="AJ679" i="1"/>
  <c r="AB680" i="1"/>
  <c r="AJ681" i="1"/>
  <c r="AB682" i="1"/>
  <c r="AJ683" i="1"/>
  <c r="AB684" i="1"/>
  <c r="AJ685" i="1"/>
  <c r="AB686" i="1"/>
  <c r="AJ687" i="1"/>
  <c r="AB688" i="1"/>
  <c r="AJ689" i="1"/>
  <c r="AB690" i="1"/>
  <c r="AJ691" i="1"/>
  <c r="AB692" i="1"/>
  <c r="AJ693" i="1"/>
  <c r="AB694" i="1"/>
  <c r="AJ695" i="1"/>
  <c r="AB696" i="1"/>
  <c r="AJ697" i="1"/>
  <c r="AB698" i="1"/>
  <c r="AJ699" i="1"/>
  <c r="AB700" i="1"/>
  <c r="AJ701" i="1"/>
  <c r="AB702" i="1"/>
  <c r="AJ703" i="1"/>
  <c r="AB704" i="1"/>
  <c r="AJ705" i="1"/>
  <c r="AB706" i="1"/>
  <c r="AJ707" i="1"/>
  <c r="AB708" i="1"/>
  <c r="AJ709" i="1"/>
  <c r="AB710" i="1"/>
  <c r="AJ711" i="1"/>
  <c r="AB712" i="1"/>
  <c r="AJ713" i="1"/>
  <c r="AB714" i="1"/>
  <c r="AJ715" i="1"/>
  <c r="AB716" i="1"/>
  <c r="AJ717" i="1"/>
  <c r="AB718" i="1"/>
  <c r="AJ719" i="1"/>
  <c r="AB720" i="1"/>
  <c r="AJ721" i="1"/>
  <c r="AB722" i="1"/>
  <c r="AJ723" i="1"/>
  <c r="AB724" i="1"/>
  <c r="AJ725" i="1"/>
  <c r="AB726" i="1"/>
  <c r="AJ727" i="1"/>
  <c r="AB728" i="1"/>
  <c r="AJ729" i="1"/>
  <c r="AB730" i="1"/>
  <c r="AJ731" i="1"/>
  <c r="AB732" i="1"/>
  <c r="AJ733" i="1"/>
  <c r="AB734" i="1"/>
  <c r="AJ735" i="1"/>
  <c r="AB736" i="1"/>
  <c r="AJ737" i="1"/>
  <c r="AB738" i="1"/>
  <c r="AJ739" i="1"/>
  <c r="AB740" i="1"/>
  <c r="AE741" i="1"/>
  <c r="AB741" i="1"/>
  <c r="AJ742" i="1"/>
  <c r="AI742" i="1"/>
  <c r="AE745" i="1"/>
  <c r="AB745" i="1"/>
  <c r="AJ746" i="1"/>
  <c r="AI746" i="1"/>
  <c r="AJ751" i="1"/>
  <c r="AI751" i="1"/>
  <c r="AJ755" i="1"/>
  <c r="AI755" i="1"/>
  <c r="AJ759" i="1"/>
  <c r="AI759" i="1"/>
  <c r="AJ763" i="1"/>
  <c r="AI763" i="1"/>
  <c r="AJ767" i="1"/>
  <c r="AI767" i="1"/>
  <c r="AJ771" i="1"/>
  <c r="AI771" i="1"/>
  <c r="AJ775" i="1"/>
  <c r="AI775" i="1"/>
  <c r="AJ779" i="1"/>
  <c r="AI779" i="1"/>
  <c r="AJ783" i="1"/>
  <c r="AI783" i="1"/>
  <c r="AJ787" i="1"/>
  <c r="AI787" i="1"/>
  <c r="AJ791" i="1"/>
  <c r="AI791" i="1"/>
  <c r="AJ795" i="1"/>
  <c r="AI795" i="1"/>
  <c r="AJ799" i="1"/>
  <c r="AI799" i="1"/>
  <c r="AJ803" i="1"/>
  <c r="AI803" i="1"/>
  <c r="AJ807" i="1"/>
  <c r="AI807" i="1"/>
  <c r="AJ811" i="1"/>
  <c r="AI811" i="1"/>
  <c r="AE743" i="1"/>
  <c r="AB743" i="1"/>
  <c r="AJ744" i="1"/>
  <c r="AI744" i="1"/>
  <c r="AE747" i="1"/>
  <c r="AB747" i="1"/>
  <c r="AI748" i="1"/>
  <c r="AJ748" i="1" s="1"/>
  <c r="AJ749" i="1"/>
  <c r="AI749" i="1"/>
  <c r="AJ753" i="1"/>
  <c r="AI753" i="1"/>
  <c r="AJ757" i="1"/>
  <c r="AI757" i="1"/>
  <c r="AJ761" i="1"/>
  <c r="AI761" i="1"/>
  <c r="AJ765" i="1"/>
  <c r="AI765" i="1"/>
  <c r="AJ769" i="1"/>
  <c r="AI769" i="1"/>
  <c r="AJ773" i="1"/>
  <c r="AI773" i="1"/>
  <c r="AJ777" i="1"/>
  <c r="AI777" i="1"/>
  <c r="AJ781" i="1"/>
  <c r="AI781" i="1"/>
  <c r="AJ785" i="1"/>
  <c r="AI785" i="1"/>
  <c r="AJ789" i="1"/>
  <c r="AI789" i="1"/>
  <c r="AJ793" i="1"/>
  <c r="AI793" i="1"/>
  <c r="AJ797" i="1"/>
  <c r="AI797" i="1"/>
  <c r="AJ801" i="1"/>
  <c r="AI801" i="1"/>
  <c r="AJ805" i="1"/>
  <c r="AI805" i="1"/>
  <c r="AJ809" i="1"/>
  <c r="AI809" i="1"/>
  <c r="AB749" i="1"/>
  <c r="AJ750" i="1"/>
  <c r="AB751" i="1"/>
  <c r="AJ752" i="1"/>
  <c r="AB753" i="1"/>
  <c r="AJ754" i="1"/>
  <c r="AB755" i="1"/>
  <c r="AJ756" i="1"/>
  <c r="AB757" i="1"/>
  <c r="AJ758" i="1"/>
  <c r="AB759" i="1"/>
  <c r="AJ760" i="1"/>
  <c r="AB761" i="1"/>
  <c r="AJ762" i="1"/>
  <c r="AB763" i="1"/>
  <c r="AJ764" i="1"/>
  <c r="AB765" i="1"/>
  <c r="AJ766" i="1"/>
  <c r="AB767" i="1"/>
  <c r="AJ768" i="1"/>
  <c r="AB769" i="1"/>
  <c r="AJ770" i="1"/>
  <c r="AB771" i="1"/>
  <c r="AJ772" i="1"/>
  <c r="AB773" i="1"/>
  <c r="AJ774" i="1"/>
  <c r="AB775" i="1"/>
  <c r="AJ776" i="1"/>
  <c r="AB777" i="1"/>
  <c r="AJ778" i="1"/>
  <c r="AB779" i="1"/>
  <c r="AJ780" i="1"/>
  <c r="AB781" i="1"/>
  <c r="AJ782" i="1"/>
  <c r="AB783" i="1"/>
  <c r="AJ784" i="1"/>
  <c r="AB785" i="1"/>
  <c r="AJ786" i="1"/>
  <c r="AB787" i="1"/>
  <c r="AJ788" i="1"/>
  <c r="AB789" i="1"/>
  <c r="AJ790" i="1"/>
  <c r="AB791" i="1"/>
  <c r="AJ792" i="1"/>
  <c r="AB793" i="1"/>
  <c r="AJ794" i="1"/>
  <c r="AB795" i="1"/>
  <c r="AJ796" i="1"/>
  <c r="AB797" i="1"/>
  <c r="AJ798" i="1"/>
  <c r="AB799" i="1"/>
  <c r="AJ800" i="1"/>
  <c r="AB801" i="1"/>
  <c r="AJ802" i="1"/>
  <c r="AB803" i="1"/>
  <c r="AJ804" i="1"/>
  <c r="AB805" i="1"/>
  <c r="AJ806" i="1"/>
  <c r="AB807" i="1"/>
  <c r="AJ808" i="1"/>
  <c r="AB809" i="1"/>
  <c r="AJ810" i="1"/>
  <c r="AB811" i="1"/>
  <c r="AJ812" i="1"/>
  <c r="AE814" i="1"/>
  <c r="AB814" i="1"/>
  <c r="AJ815" i="1"/>
  <c r="AI815" i="1"/>
  <c r="AE818" i="1"/>
  <c r="AB818" i="1"/>
  <c r="AJ819" i="1"/>
  <c r="AI819" i="1"/>
  <c r="AE822" i="1"/>
  <c r="AB822" i="1"/>
  <c r="AJ823" i="1"/>
  <c r="AI823" i="1"/>
  <c r="AE826" i="1"/>
  <c r="AB826" i="1"/>
  <c r="AJ827" i="1"/>
  <c r="AI827" i="1"/>
  <c r="AE830" i="1"/>
  <c r="AB830" i="1"/>
  <c r="AJ831" i="1"/>
  <c r="AI831" i="1"/>
  <c r="AJ836" i="1"/>
  <c r="AI836" i="1"/>
  <c r="AJ840" i="1"/>
  <c r="AI840" i="1"/>
  <c r="AJ844" i="1"/>
  <c r="AI844" i="1"/>
  <c r="AJ848" i="1"/>
  <c r="AI848" i="1"/>
  <c r="AJ852" i="1"/>
  <c r="AI852" i="1"/>
  <c r="AJ856" i="1"/>
  <c r="AI856" i="1"/>
  <c r="AJ860" i="1"/>
  <c r="AI860" i="1"/>
  <c r="AJ864" i="1"/>
  <c r="AI864" i="1"/>
  <c r="AJ868" i="1"/>
  <c r="AI868" i="1"/>
  <c r="AJ872" i="1"/>
  <c r="AI872" i="1"/>
  <c r="AJ876" i="1"/>
  <c r="AI876" i="1"/>
  <c r="AJ813" i="1"/>
  <c r="AI813" i="1"/>
  <c r="AE816" i="1"/>
  <c r="AB816" i="1"/>
  <c r="AJ817" i="1"/>
  <c r="AI817" i="1"/>
  <c r="AE820" i="1"/>
  <c r="AB820" i="1"/>
  <c r="AJ821" i="1"/>
  <c r="AI821" i="1"/>
  <c r="AE824" i="1"/>
  <c r="AB824" i="1"/>
  <c r="AJ825" i="1"/>
  <c r="AI825" i="1"/>
  <c r="AE828" i="1"/>
  <c r="AB828" i="1"/>
  <c r="AJ829" i="1"/>
  <c r="AI829" i="1"/>
  <c r="AE832" i="1"/>
  <c r="AB832" i="1"/>
  <c r="AJ834" i="1"/>
  <c r="AI834" i="1"/>
  <c r="AJ838" i="1"/>
  <c r="AI838" i="1"/>
  <c r="AJ842" i="1"/>
  <c r="AI842" i="1"/>
  <c r="AJ846" i="1"/>
  <c r="AI846" i="1"/>
  <c r="AJ850" i="1"/>
  <c r="AI850" i="1"/>
  <c r="AJ854" i="1"/>
  <c r="AI854" i="1"/>
  <c r="AJ858" i="1"/>
  <c r="AI858" i="1"/>
  <c r="AJ862" i="1"/>
  <c r="AI862" i="1"/>
  <c r="AJ866" i="1"/>
  <c r="AI866" i="1"/>
  <c r="AJ870" i="1"/>
  <c r="AI870" i="1"/>
  <c r="AJ874" i="1"/>
  <c r="AI874" i="1"/>
  <c r="AJ878" i="1"/>
  <c r="AI878" i="1"/>
  <c r="AJ833" i="1"/>
  <c r="AB834" i="1"/>
  <c r="AJ835" i="1"/>
  <c r="AB836" i="1"/>
  <c r="AJ837" i="1"/>
  <c r="AB838" i="1"/>
  <c r="AJ839" i="1"/>
  <c r="AB840" i="1"/>
  <c r="AJ841" i="1"/>
  <c r="AB842" i="1"/>
  <c r="AJ843" i="1"/>
  <c r="AB844" i="1"/>
  <c r="AJ845" i="1"/>
  <c r="AB846" i="1"/>
  <c r="AJ847" i="1"/>
  <c r="AB848" i="1"/>
  <c r="AJ849" i="1"/>
  <c r="AB850" i="1"/>
  <c r="AJ851" i="1"/>
  <c r="AB852" i="1"/>
  <c r="AJ853" i="1"/>
  <c r="AB854" i="1"/>
  <c r="AJ855" i="1"/>
  <c r="AB856" i="1"/>
  <c r="AJ857" i="1"/>
  <c r="AB858" i="1"/>
  <c r="AJ859" i="1"/>
  <c r="AB860" i="1"/>
  <c r="AJ861" i="1"/>
  <c r="AB862" i="1"/>
  <c r="AJ863" i="1"/>
  <c r="AB864" i="1"/>
  <c r="AJ865" i="1"/>
  <c r="AB866" i="1"/>
  <c r="AJ867" i="1"/>
  <c r="AB868" i="1"/>
  <c r="AJ869" i="1"/>
  <c r="AB870" i="1"/>
  <c r="AJ871" i="1"/>
  <c r="AB872" i="1"/>
  <c r="AJ873" i="1"/>
  <c r="AB874" i="1"/>
  <c r="AJ875" i="1"/>
  <c r="AB876" i="1"/>
  <c r="AJ877" i="1"/>
  <c r="AB878" i="1"/>
  <c r="AE880" i="1"/>
  <c r="AB880" i="1"/>
  <c r="AJ882" i="1"/>
  <c r="AI882" i="1"/>
  <c r="AJ886" i="1"/>
  <c r="AI886" i="1"/>
  <c r="AJ890" i="1"/>
  <c r="AI890" i="1"/>
  <c r="AJ894" i="1"/>
  <c r="AI894" i="1"/>
  <c r="AJ898" i="1"/>
  <c r="AI898" i="1"/>
  <c r="AJ902" i="1"/>
  <c r="AI902" i="1"/>
  <c r="AJ906" i="1"/>
  <c r="AI906" i="1"/>
  <c r="AJ910" i="1"/>
  <c r="AI910" i="1"/>
  <c r="AJ879" i="1"/>
  <c r="AI879" i="1"/>
  <c r="AJ884" i="1"/>
  <c r="AI884" i="1"/>
  <c r="AJ888" i="1"/>
  <c r="AI888" i="1"/>
  <c r="AJ892" i="1"/>
  <c r="AI892" i="1"/>
  <c r="AJ896" i="1"/>
  <c r="AI896" i="1"/>
  <c r="AJ900" i="1"/>
  <c r="AI900" i="1"/>
  <c r="AJ904" i="1"/>
  <c r="AI904" i="1"/>
  <c r="AJ908" i="1"/>
  <c r="AI908" i="1"/>
  <c r="AJ912" i="1"/>
  <c r="AI912" i="1"/>
  <c r="AJ881" i="1"/>
  <c r="AB882" i="1"/>
  <c r="AJ883" i="1"/>
  <c r="AB884" i="1"/>
  <c r="AJ885" i="1"/>
  <c r="AB886" i="1"/>
  <c r="AJ887" i="1"/>
  <c r="AB888" i="1"/>
  <c r="AJ889" i="1"/>
  <c r="AB890" i="1"/>
  <c r="AJ891" i="1"/>
  <c r="AB892" i="1"/>
  <c r="AJ893" i="1"/>
  <c r="AB894" i="1"/>
  <c r="AJ895" i="1"/>
  <c r="AB896" i="1"/>
  <c r="AJ897" i="1"/>
  <c r="AB898" i="1"/>
  <c r="AJ899" i="1"/>
  <c r="AB900" i="1"/>
  <c r="AJ901" i="1"/>
  <c r="AB902" i="1"/>
  <c r="AJ903" i="1"/>
  <c r="AB904" i="1"/>
  <c r="AJ905" i="1"/>
  <c r="AB906" i="1"/>
  <c r="AJ907" i="1"/>
  <c r="AB908" i="1"/>
  <c r="AJ909" i="1"/>
  <c r="AB910" i="1"/>
  <c r="AJ911" i="1"/>
  <c r="AB912" i="1"/>
  <c r="AJ913" i="1"/>
  <c r="AI880" i="1" l="1"/>
  <c r="AJ880" i="1" s="1"/>
  <c r="AI832" i="1"/>
  <c r="AJ832" i="1" s="1"/>
  <c r="AI828" i="1"/>
  <c r="AJ828" i="1" s="1"/>
  <c r="AI824" i="1"/>
  <c r="AJ824" i="1" s="1"/>
  <c r="AI820" i="1"/>
  <c r="AJ820" i="1" s="1"/>
  <c r="AI816" i="1"/>
  <c r="AJ816" i="1" s="1"/>
  <c r="AI830" i="1"/>
  <c r="AJ830" i="1" s="1"/>
  <c r="AI826" i="1"/>
  <c r="AJ826" i="1" s="1"/>
  <c r="AI822" i="1"/>
  <c r="AJ822" i="1" s="1"/>
  <c r="AI818" i="1"/>
  <c r="AJ818" i="1" s="1"/>
  <c r="AI814" i="1"/>
  <c r="AJ814" i="1" s="1"/>
  <c r="AI747" i="1"/>
  <c r="AJ747" i="1" s="1"/>
  <c r="AI743" i="1"/>
  <c r="AJ743" i="1" s="1"/>
  <c r="AI745" i="1"/>
  <c r="AJ745" i="1" s="1"/>
  <c r="AI741" i="1"/>
  <c r="AJ741" i="1" s="1"/>
  <c r="AI576" i="1"/>
  <c r="AJ576" i="1" s="1"/>
  <c r="AI572" i="1"/>
  <c r="AJ572" i="1" s="1"/>
  <c r="AI568" i="1"/>
  <c r="AJ568" i="1" s="1"/>
  <c r="AI564" i="1"/>
  <c r="AJ564" i="1" s="1"/>
  <c r="AI560" i="1"/>
  <c r="AJ560" i="1" s="1"/>
  <c r="AI194" i="1"/>
  <c r="AJ194" i="1" s="1"/>
  <c r="AI190" i="1"/>
  <c r="AJ190" i="1" s="1"/>
  <c r="AI186" i="1"/>
  <c r="AJ186" i="1" s="1"/>
  <c r="AI650" i="1"/>
  <c r="AJ650" i="1" s="1"/>
  <c r="AI646" i="1"/>
  <c r="AJ646" i="1" s="1"/>
  <c r="AI642" i="1"/>
  <c r="AJ642" i="1" s="1"/>
  <c r="AI638" i="1"/>
  <c r="AJ638" i="1" s="1"/>
  <c r="AI634" i="1"/>
  <c r="AJ634" i="1" s="1"/>
  <c r="AI630" i="1"/>
  <c r="AJ630" i="1" s="1"/>
  <c r="AI626" i="1"/>
  <c r="AJ626" i="1" s="1"/>
  <c r="AI622" i="1"/>
  <c r="AJ622" i="1" s="1"/>
  <c r="AI618" i="1"/>
  <c r="AJ618" i="1" s="1"/>
  <c r="AI614" i="1"/>
  <c r="AJ614" i="1" s="1"/>
  <c r="AI610" i="1"/>
  <c r="AJ610" i="1" s="1"/>
  <c r="AI652" i="1"/>
  <c r="AJ652" i="1" s="1"/>
  <c r="AI648" i="1"/>
  <c r="AJ648" i="1" s="1"/>
  <c r="AI644" i="1"/>
  <c r="AJ644" i="1" s="1"/>
  <c r="AI640" i="1"/>
  <c r="AJ640" i="1" s="1"/>
  <c r="AI636" i="1"/>
  <c r="AJ636" i="1" s="1"/>
  <c r="AI632" i="1"/>
  <c r="AJ632" i="1" s="1"/>
  <c r="AI628" i="1"/>
  <c r="AJ628" i="1" s="1"/>
  <c r="AI624" i="1"/>
  <c r="AJ624" i="1" s="1"/>
  <c r="AI620" i="1"/>
  <c r="AJ620" i="1" s="1"/>
  <c r="AI616" i="1"/>
  <c r="AJ616" i="1" s="1"/>
  <c r="AI612" i="1"/>
  <c r="AJ612" i="1" s="1"/>
  <c r="AI574" i="1"/>
  <c r="AJ574" i="1" s="1"/>
  <c r="AI570" i="1"/>
  <c r="AJ570" i="1" s="1"/>
  <c r="AI566" i="1"/>
  <c r="AJ566" i="1" s="1"/>
  <c r="AI562" i="1"/>
  <c r="AJ562" i="1" s="1"/>
  <c r="AI457" i="1"/>
  <c r="AJ457" i="1" s="1"/>
  <c r="AI453" i="1"/>
  <c r="AJ453" i="1" s="1"/>
  <c r="AI449" i="1"/>
  <c r="AJ449" i="1" s="1"/>
  <c r="AI445" i="1"/>
  <c r="AJ445" i="1" s="1"/>
  <c r="AI441" i="1"/>
  <c r="AJ441" i="1" s="1"/>
  <c r="AI437" i="1"/>
  <c r="AJ437" i="1" s="1"/>
  <c r="AI433" i="1"/>
  <c r="AJ433" i="1" s="1"/>
  <c r="AI459" i="1"/>
  <c r="AJ459" i="1" s="1"/>
  <c r="AI455" i="1"/>
  <c r="AJ455" i="1" s="1"/>
  <c r="AI451" i="1"/>
  <c r="AJ451" i="1" s="1"/>
  <c r="AI447" i="1"/>
  <c r="AJ447" i="1" s="1"/>
  <c r="AI443" i="1"/>
  <c r="AJ443" i="1" s="1"/>
  <c r="AI439" i="1"/>
  <c r="AJ439" i="1" s="1"/>
  <c r="AI435" i="1"/>
  <c r="AJ435" i="1" s="1"/>
  <c r="AI196" i="1"/>
  <c r="AJ196" i="1" s="1"/>
  <c r="AI192" i="1"/>
  <c r="AJ192" i="1" s="1"/>
  <c r="AI188" i="1"/>
  <c r="AJ188" i="1" s="1"/>
  <c r="AI184" i="1"/>
  <c r="AJ184" i="1" s="1"/>
</calcChain>
</file>

<file path=xl/sharedStrings.xml><?xml version="1.0" encoding="utf-8"?>
<sst xmlns="http://schemas.openxmlformats.org/spreadsheetml/2006/main" count="14595" uniqueCount="4108">
  <si>
    <t>order_id</t>
  </si>
  <si>
    <t>order_date</t>
  </si>
  <si>
    <t>order_date_clean</t>
  </si>
  <si>
    <t>ship_date_</t>
  </si>
  <si>
    <t>ship_date_clean</t>
  </si>
  <si>
    <t>date_validation</t>
  </si>
  <si>
    <t>shipping_delay_days</t>
  </si>
  <si>
    <t>Data_Quality_Flag</t>
  </si>
  <si>
    <t>customer_id</t>
  </si>
  <si>
    <t>customer_name</t>
  </si>
  <si>
    <t>customer_name_clean</t>
  </si>
  <si>
    <t>segment</t>
  </si>
  <si>
    <t>segment_clean</t>
  </si>
  <si>
    <t>region</t>
  </si>
  <si>
    <t>region_clean</t>
  </si>
  <si>
    <t>state</t>
  </si>
  <si>
    <t>city</t>
  </si>
  <si>
    <t>category</t>
  </si>
  <si>
    <t>category_clean</t>
  </si>
  <si>
    <t>sub_category</t>
  </si>
  <si>
    <t>product_name</t>
  </si>
  <si>
    <t>ship_mode</t>
  </si>
  <si>
    <t>ship_mode_clean</t>
  </si>
  <si>
    <t>quantity</t>
  </si>
  <si>
    <t>unit_price</t>
  </si>
  <si>
    <t>discount</t>
  </si>
  <si>
    <t>Clean_discount</t>
  </si>
  <si>
    <t>discount_flag</t>
  </si>
  <si>
    <t>sales</t>
  </si>
  <si>
    <t>sales_summary_flag</t>
  </si>
  <si>
    <t>calculated_sales</t>
  </si>
  <si>
    <t>refund_flag</t>
  </si>
  <si>
    <t>cost</t>
  </si>
  <si>
    <t>profit</t>
  </si>
  <si>
    <t>calculated_profit</t>
  </si>
  <si>
    <t>profit_margin</t>
  </si>
  <si>
    <t>order_month</t>
  </si>
  <si>
    <t>order_year</t>
  </si>
  <si>
    <t>payment_status</t>
  </si>
  <si>
    <t>order_status</t>
  </si>
  <si>
    <t>order_status_clean</t>
  </si>
  <si>
    <t>ORD-2024-10001</t>
  </si>
  <si>
    <t>21 Jul 2024</t>
  </si>
  <si>
    <t>07/27/2024</t>
  </si>
  <si>
    <t>CUST-4655</t>
  </si>
  <si>
    <t>Karan Malhotra</t>
  </si>
  <si>
    <t>Consumer</t>
  </si>
  <si>
    <t>North</t>
  </si>
  <si>
    <t>Rajasthan</t>
  </si>
  <si>
    <t>Jaipur</t>
  </si>
  <si>
    <t>Office Supplies</t>
  </si>
  <si>
    <t>Paper</t>
  </si>
  <si>
    <t>Pro Paper 122</t>
  </si>
  <si>
    <t>Second Class</t>
  </si>
  <si>
    <t>Paid</t>
  </si>
  <si>
    <t>Completed</t>
  </si>
  <si>
    <t>ORD-2024-10002</t>
  </si>
  <si>
    <t>08/31/2024</t>
  </si>
  <si>
    <t>05 Sep 2024</t>
  </si>
  <si>
    <t>CUST-2054</t>
  </si>
  <si>
    <t>Mira Das</t>
  </si>
  <si>
    <t>Small Business</t>
  </si>
  <si>
    <t>East</t>
  </si>
  <si>
    <t>Odisha</t>
  </si>
  <si>
    <t>Bhubaneswar</t>
  </si>
  <si>
    <t>Furniture</t>
  </si>
  <si>
    <t>Tables</t>
  </si>
  <si>
    <t>Pro Tables 258</t>
  </si>
  <si>
    <t>Same Day</t>
  </si>
  <si>
    <t>ORD-2024-10003</t>
  </si>
  <si>
    <t>06/08/2024</t>
  </si>
  <si>
    <t>15 Jun 2024</t>
  </si>
  <si>
    <t>CUST-6843</t>
  </si>
  <si>
    <t>Isha Nair</t>
  </si>
  <si>
    <t>Art</t>
  </si>
  <si>
    <t>Elite Art 525</t>
  </si>
  <si>
    <t>First Class</t>
  </si>
  <si>
    <t>ORD-2024-10004</t>
  </si>
  <si>
    <t>28-11-2024</t>
  </si>
  <si>
    <t>11/29/2024</t>
  </si>
  <si>
    <t>CUST-3722</t>
  </si>
  <si>
    <t>Arjun Bose</t>
  </si>
  <si>
    <t>South</t>
  </si>
  <si>
    <t>Telangana</t>
  </si>
  <si>
    <t>Hyderabad</t>
  </si>
  <si>
    <t>Furnishings</t>
  </si>
  <si>
    <t>Smart Furnishings 294</t>
  </si>
  <si>
    <t>Standard Class</t>
  </si>
  <si>
    <t>ORD-2025-10005</t>
  </si>
  <si>
    <t>29 Aug 2025</t>
  </si>
  <si>
    <t>2025-09-01</t>
  </si>
  <si>
    <t>CUST-8130</t>
  </si>
  <si>
    <t>Ananya Rao</t>
  </si>
  <si>
    <t>West</t>
  </si>
  <si>
    <t>Maharashtra</t>
  </si>
  <si>
    <t>Mumbai</t>
  </si>
  <si>
    <t>Chairs</t>
  </si>
  <si>
    <t>Elite Chairs 543</t>
  </si>
  <si>
    <t>Cancelled</t>
  </si>
  <si>
    <t>ORD-2024-10006</t>
  </si>
  <si>
    <t>2024-05-24</t>
  </si>
  <si>
    <t>28-05-2024</t>
  </si>
  <si>
    <t>CUST-6056</t>
  </si>
  <si>
    <t>Vikram Iyer</t>
  </si>
  <si>
    <t>Madhya Pradesh</t>
  </si>
  <si>
    <t>Indore</t>
  </si>
  <si>
    <t>Technology</t>
  </si>
  <si>
    <t>Accessories</t>
  </si>
  <si>
    <t>Pro Accessories 821</t>
  </si>
  <si>
    <t>ORD-2025-10007</t>
  </si>
  <si>
    <t>04/10/2025</t>
  </si>
  <si>
    <t>04/16/2025</t>
  </si>
  <si>
    <t>CUST-3656</t>
  </si>
  <si>
    <t>Neha Gupta</t>
  </si>
  <si>
    <t>Copiers</t>
  </si>
  <si>
    <t>Eco Copiers 790</t>
  </si>
  <si>
    <t>ORD-2025-10008</t>
  </si>
  <si>
    <t>2025-02-23</t>
  </si>
  <si>
    <t>26-02-2025</t>
  </si>
  <si>
    <t>CUST-4683</t>
  </si>
  <si>
    <t>Andhra Pradesh</t>
  </si>
  <si>
    <t>Vijayawada</t>
  </si>
  <si>
    <t>Eco Art 848</t>
  </si>
  <si>
    <t>ORD-2024-10009</t>
  </si>
  <si>
    <t>11/05/2024</t>
  </si>
  <si>
    <t>11/10/2024</t>
  </si>
  <si>
    <t>CUST-2598</t>
  </si>
  <si>
    <t>Aditi Sen</t>
  </si>
  <si>
    <t>Corporate</t>
  </si>
  <si>
    <t>Labels</t>
  </si>
  <si>
    <t>Classic Labels 815</t>
  </si>
  <si>
    <t>ORD-2025-10010</t>
  </si>
  <si>
    <t>07-09-2025</t>
  </si>
  <si>
    <t>09/12/2025</t>
  </si>
  <si>
    <t>CUST-2483</t>
  </si>
  <si>
    <t>Home Office</t>
  </si>
  <si>
    <t>Pro Paper 622</t>
  </si>
  <si>
    <t>ORD-2025-10011</t>
  </si>
  <si>
    <t>20 May 2025</t>
  </si>
  <si>
    <t>05/20/2025</t>
  </si>
  <si>
    <t>CUST-8092</t>
  </si>
  <si>
    <t>West Bengal</t>
  </si>
  <si>
    <t>Kolkata</t>
  </si>
  <si>
    <t>Prime Labels 644</t>
  </si>
  <si>
    <t>Refunded</t>
  </si>
  <si>
    <t>Returned</t>
  </si>
  <si>
    <t>ORD-2024-10012</t>
  </si>
  <si>
    <t>2024-07-22</t>
  </si>
  <si>
    <t>23-07-2024</t>
  </si>
  <si>
    <t>CUST-6528</t>
  </si>
  <si>
    <t>Smart Accessories 603</t>
  </si>
  <si>
    <t>ORD-2024-10013</t>
  </si>
  <si>
    <t>20 Dec 2024</t>
  </si>
  <si>
    <t>12/21/2024</t>
  </si>
  <si>
    <t>CUST-2648</t>
  </si>
  <si>
    <t>Udaipur</t>
  </si>
  <si>
    <t>Pro Paper 481</t>
  </si>
  <si>
    <t>Pending</t>
  </si>
  <si>
    <t>ORD-2025-10014</t>
  </si>
  <si>
    <t>2025-10-12</t>
  </si>
  <si>
    <t>16-10-2025</t>
  </si>
  <si>
    <t>CUST-7482</t>
  </si>
  <si>
    <t>Priya Menon</t>
  </si>
  <si>
    <t>Smart Art 795</t>
  </si>
  <si>
    <t>ORD-2024-10015</t>
  </si>
  <si>
    <t>27 Dec 2024</t>
  </si>
  <si>
    <t>12/28/2024</t>
  </si>
  <si>
    <t>CUST-4912</t>
  </si>
  <si>
    <t>Rahul Verma</t>
  </si>
  <si>
    <t>Max Copiers 983</t>
  </si>
  <si>
    <t>ORD-2024-10016</t>
  </si>
  <si>
    <t>07/09/2024</t>
  </si>
  <si>
    <t>09 Jul 2024</t>
  </si>
  <si>
    <t>CUST-7656</t>
  </si>
  <si>
    <t>Punjab</t>
  </si>
  <si>
    <t>Ludhiana</t>
  </si>
  <si>
    <t>Storage</t>
  </si>
  <si>
    <t>Classic Storage 198</t>
  </si>
  <si>
    <t>ORD-2024-10017</t>
  </si>
  <si>
    <t>05/08/2024</t>
  </si>
  <si>
    <t>15-05-2024</t>
  </si>
  <si>
    <t>CUST-6214</t>
  </si>
  <si>
    <t>Aarav Sharma</t>
  </si>
  <si>
    <t>Basic Art 204</t>
  </si>
  <si>
    <t>ORD-2024-10018</t>
  </si>
  <si>
    <t>01/07/2024</t>
  </si>
  <si>
    <t>2024-01-08</t>
  </si>
  <si>
    <t>CUST-1626</t>
  </si>
  <si>
    <t>Sneha Kapoor</t>
  </si>
  <si>
    <t>Basic Furnishings 434</t>
  </si>
  <si>
    <t>ORD-2025-10019</t>
  </si>
  <si>
    <t>07/15/2025</t>
  </si>
  <si>
    <t>17-07-2025</t>
  </si>
  <si>
    <t>CUST-2110</t>
  </si>
  <si>
    <t>Uttar Pradesh</t>
  </si>
  <si>
    <t>Noida</t>
  </si>
  <si>
    <t>Eco Copiers 755</t>
  </si>
  <si>
    <t>ORD-2024-10020</t>
  </si>
  <si>
    <t>31 Jul 2024</t>
  </si>
  <si>
    <t>CUST-3186</t>
  </si>
  <si>
    <t>Rohan Mehta</t>
  </si>
  <si>
    <t>Prime Storage 121</t>
  </si>
  <si>
    <t>ORD-2025-10021</t>
  </si>
  <si>
    <t>21-01-2025</t>
  </si>
  <si>
    <t>23 Jan 2025</t>
  </si>
  <si>
    <t>CUST-3190</t>
  </si>
  <si>
    <t>Bihar</t>
  </si>
  <si>
    <t>Patna</t>
  </si>
  <si>
    <t>Elite Copiers 233</t>
  </si>
  <si>
    <t>ORD-2025-10022</t>
  </si>
  <si>
    <t>24-01-2025</t>
  </si>
  <si>
    <t>01/30/2025</t>
  </si>
  <si>
    <t>CUST-3036</t>
  </si>
  <si>
    <t>Eco Furnishings 897</t>
  </si>
  <si>
    <t>ORD-2025-10023</t>
  </si>
  <si>
    <t>19 Jan 2025</t>
  </si>
  <si>
    <t>2025-01-21</t>
  </si>
  <si>
    <t>CUST-3588</t>
  </si>
  <si>
    <t>Binders</t>
  </si>
  <si>
    <t>Max Binders 355</t>
  </si>
  <si>
    <t>Failed</t>
  </si>
  <si>
    <t>ORD-2025-10024</t>
  </si>
  <si>
    <t>31-08-2025</t>
  </si>
  <si>
    <t>CUST-7098</t>
  </si>
  <si>
    <t>Bookcases</t>
  </si>
  <si>
    <t>Pro Bookcases 394</t>
  </si>
  <si>
    <t>ORD-2024-10025</t>
  </si>
  <si>
    <t>2024-03-04</t>
  </si>
  <si>
    <t>03/01/2024</t>
  </si>
  <si>
    <t>CUST-1747</t>
  </si>
  <si>
    <t>Diya Patel</t>
  </si>
  <si>
    <t>Max Art 215</t>
  </si>
  <si>
    <t>ORD-2024-10026</t>
  </si>
  <si>
    <t>11-10-2024</t>
  </si>
  <si>
    <t>2024-10-19</t>
  </si>
  <si>
    <t>CUST-1731</t>
  </si>
  <si>
    <t>Assam</t>
  </si>
  <si>
    <t>Guwahati</t>
  </si>
  <si>
    <t>Classic Accessories 478</t>
  </si>
  <si>
    <t>ORD-2024-10027</t>
  </si>
  <si>
    <t>23-11-2024</t>
  </si>
  <si>
    <t>23 Nov 2024</t>
  </si>
  <si>
    <t>CUST-4401</t>
  </si>
  <si>
    <t>Phones</t>
  </si>
  <si>
    <t>Pro Phones 243</t>
  </si>
  <si>
    <t>ORD-2025-10028</t>
  </si>
  <si>
    <t>29 Sep 2025</t>
  </si>
  <si>
    <t>05-10-2025</t>
  </si>
  <si>
    <t>CUST-9875</t>
  </si>
  <si>
    <t>Karnataka</t>
  </si>
  <si>
    <t>Bengaluru</t>
  </si>
  <si>
    <t>Basic Paper 613</t>
  </si>
  <si>
    <t>ORD-2024-10029</t>
  </si>
  <si>
    <t>18-10-2024</t>
  </si>
  <si>
    <t>CUST-1569</t>
  </si>
  <si>
    <t>Gujarat</t>
  </si>
  <si>
    <t>Ahmedabad</t>
  </si>
  <si>
    <t>Prime Phones 698</t>
  </si>
  <si>
    <t>ORD-2025-10030</t>
  </si>
  <si>
    <t>13 Aug 2025</t>
  </si>
  <si>
    <t>13-08-2025</t>
  </si>
  <si>
    <t>CUST-5936</t>
  </si>
  <si>
    <t>Kerala</t>
  </si>
  <si>
    <t>Kochi</t>
  </si>
  <si>
    <t>Pro Phones 442</t>
  </si>
  <si>
    <t>ORD-2024-10031</t>
  </si>
  <si>
    <t>09 Feb 2024</t>
  </si>
  <si>
    <t>02/12/2024</t>
  </si>
  <si>
    <t>CUST-8759</t>
  </si>
  <si>
    <t>Goa</t>
  </si>
  <si>
    <t>Panaji</t>
  </si>
  <si>
    <t>Pro Labels 355</t>
  </si>
  <si>
    <t>ORD-2025-10032</t>
  </si>
  <si>
    <t>15-06-2025</t>
  </si>
  <si>
    <t>19-06-2025</t>
  </si>
  <si>
    <t>CUST-7867</t>
  </si>
  <si>
    <t>Pro Paper 959</t>
  </si>
  <si>
    <t>ORD-2024-10033</t>
  </si>
  <si>
    <t>22-11-2024</t>
  </si>
  <si>
    <t>2024-11-26</t>
  </si>
  <si>
    <t>CUST-6509</t>
  </si>
  <si>
    <t>Basic Phones 242</t>
  </si>
  <si>
    <t>ORD-2024-10034</t>
  </si>
  <si>
    <t>07/22/2024</t>
  </si>
  <si>
    <t>27-07-2024</t>
  </si>
  <si>
    <t>CUST-6660</t>
  </si>
  <si>
    <t>Max Tables 836</t>
  </si>
  <si>
    <t>ORD-2025-10035</t>
  </si>
  <si>
    <t>2025-01-31</t>
  </si>
  <si>
    <t>2025-02-05</t>
  </si>
  <si>
    <t>CUST-2392</t>
  </si>
  <si>
    <t>Elite Chairs 862</t>
  </si>
  <si>
    <t>ORD-2024-10036</t>
  </si>
  <si>
    <t>29-05-2024</t>
  </si>
  <si>
    <t>29 May 2024</t>
  </si>
  <si>
    <t>CUST-1611</t>
  </si>
  <si>
    <t>Prime Bookcases 414</t>
  </si>
  <si>
    <t>ORD-2024-10037</t>
  </si>
  <si>
    <t>2024-10-25</t>
  </si>
  <si>
    <t>28 Oct 2024</t>
  </si>
  <si>
    <t>CUST-8296</t>
  </si>
  <si>
    <t>Eco Bookcases 220</t>
  </si>
  <si>
    <t>ORD-2025-10038</t>
  </si>
  <si>
    <t>29-07-2025</t>
  </si>
  <si>
    <t>CUST-4646</t>
  </si>
  <si>
    <t>Pro Copiers 830</t>
  </si>
  <si>
    <t>STANDARD CLASS</t>
  </si>
  <si>
    <t>ORD-2024-10039</t>
  </si>
  <si>
    <t>2024-06-17</t>
  </si>
  <si>
    <t>22-06-2024</t>
  </si>
  <si>
    <t>CUST-8235</t>
  </si>
  <si>
    <t>Prime Phones 507</t>
  </si>
  <si>
    <t>ORD-2024-10040</t>
  </si>
  <si>
    <t>12/11/2024</t>
  </si>
  <si>
    <t>2024-12-11</t>
  </si>
  <si>
    <t>CUST-5830</t>
  </si>
  <si>
    <t>Classic Copiers 590</t>
  </si>
  <si>
    <t>ORD-2024-10041</t>
  </si>
  <si>
    <t>10-10-2024</t>
  </si>
  <si>
    <t>16 Oct 2024</t>
  </si>
  <si>
    <t>CUST-7178</t>
  </si>
  <si>
    <t>Eco Copiers 865</t>
  </si>
  <si>
    <t>ORD-2024-10042</t>
  </si>
  <si>
    <t>03/12/2024</t>
  </si>
  <si>
    <t>17-03-2024</t>
  </si>
  <si>
    <t>CUST-3829</t>
  </si>
  <si>
    <t>Classic Bookcases 835</t>
  </si>
  <si>
    <t>ORD-2025-10043</t>
  </si>
  <si>
    <t>2025-10-10</t>
  </si>
  <si>
    <t>15 Oct 2025</t>
  </si>
  <si>
    <t>CUST-6708</t>
  </si>
  <si>
    <t>Jharkhand</t>
  </si>
  <si>
    <t>Ranchi</t>
  </si>
  <si>
    <t>Eco Phones 702</t>
  </si>
  <si>
    <t>ORD-2024-10044</t>
  </si>
  <si>
    <t>07/08/2024</t>
  </si>
  <si>
    <t>07/14/2024</t>
  </si>
  <si>
    <t>CUST-7119</t>
  </si>
  <si>
    <t>Smart Furnishings 956</t>
  </si>
  <si>
    <t>ORD-2024-10045</t>
  </si>
  <si>
    <t>06/22/2024</t>
  </si>
  <si>
    <t>25-06-2024</t>
  </si>
  <si>
    <t>CUST-3373</t>
  </si>
  <si>
    <t>Haryana</t>
  </si>
  <si>
    <t>Gurugram</t>
  </si>
  <si>
    <t>Max Chairs 393</t>
  </si>
  <si>
    <t>ORD-2024-10046</t>
  </si>
  <si>
    <t>18 Jan 2024</t>
  </si>
  <si>
    <t>24-01-2024</t>
  </si>
  <si>
    <t>CUST-8896</t>
  </si>
  <si>
    <t>Prime Art 221</t>
  </si>
  <si>
    <t>ORD-2024-10047</t>
  </si>
  <si>
    <t>19-07-2024</t>
  </si>
  <si>
    <t>CUST-8517</t>
  </si>
  <si>
    <t>Elite Bookcases 671</t>
  </si>
  <si>
    <t>ORD-2024-10048</t>
  </si>
  <si>
    <t>12-08-2024</t>
  </si>
  <si>
    <t>2024-08-12</t>
  </si>
  <si>
    <t>CUST-1987</t>
  </si>
  <si>
    <t>Tamil Nadu</t>
  </si>
  <si>
    <t>Chennai</t>
  </si>
  <si>
    <t>Max Storage 432</t>
  </si>
  <si>
    <t>ORD-2025-10049</t>
  </si>
  <si>
    <t>30 Jan 2025</t>
  </si>
  <si>
    <t>05 Feb 2025</t>
  </si>
  <si>
    <t>CUST-8183</t>
  </si>
  <si>
    <t>Basic Chairs 837</t>
  </si>
  <si>
    <t>ORD-2024-10050</t>
  </si>
  <si>
    <t>2024-04-06</t>
  </si>
  <si>
    <t>13 Apr 2024</t>
  </si>
  <si>
    <t>CUST-2380</t>
  </si>
  <si>
    <t>Classic Copiers 295</t>
  </si>
  <si>
    <t>ORD-2025-10051</t>
  </si>
  <si>
    <t>05/11/2025</t>
  </si>
  <si>
    <t>19 May 2025</t>
  </si>
  <si>
    <t>CUST-8787</t>
  </si>
  <si>
    <t>Pro Copiers 963</t>
  </si>
  <si>
    <t>ORD-2024-10052</t>
  </si>
  <si>
    <t>24 Apr 2024</t>
  </si>
  <si>
    <t>29 Apr 2024</t>
  </si>
  <si>
    <t>CUST-3557</t>
  </si>
  <si>
    <t>Pro Art 907</t>
  </si>
  <si>
    <t>ORD-2024-10053</t>
  </si>
  <si>
    <t>26-10-2024</t>
  </si>
  <si>
    <t>2024-10-28</t>
  </si>
  <si>
    <t>CUST-2778</t>
  </si>
  <si>
    <t>Kabir Singh</t>
  </si>
  <si>
    <t>Pro Chairs 526</t>
  </si>
  <si>
    <t>ORD-2025-10054</t>
  </si>
  <si>
    <t>31 Mar 2025</t>
  </si>
  <si>
    <t>2025-03-31</t>
  </si>
  <si>
    <t>CUST-7195</t>
  </si>
  <si>
    <t>Elite Storage 924</t>
  </si>
  <si>
    <t>ORD-2025-10055</t>
  </si>
  <si>
    <t>30 May 2025</t>
  </si>
  <si>
    <t>2025-06-02</t>
  </si>
  <si>
    <t>CUST-9039</t>
  </si>
  <si>
    <t>Pro Labels 957</t>
  </si>
  <si>
    <t>ORD-2025-10056</t>
  </si>
  <si>
    <t>01-07-2025</t>
  </si>
  <si>
    <t>03-07-2025</t>
  </si>
  <si>
    <t>CUST-9821</t>
  </si>
  <si>
    <t>Machines</t>
  </si>
  <si>
    <t>Classic Machines 310</t>
  </si>
  <si>
    <t>ORD-2025-10057</t>
  </si>
  <si>
    <t>2025-01-05</t>
  </si>
  <si>
    <t>06-01-2025</t>
  </si>
  <si>
    <t>CUST-8701</t>
  </si>
  <si>
    <t>Smart Binders 393</t>
  </si>
  <si>
    <t>ORD-2024-10058</t>
  </si>
  <si>
    <t>2024-02-07</t>
  </si>
  <si>
    <t>15 Feb 2024</t>
  </si>
  <si>
    <t>CUST-9941</t>
  </si>
  <si>
    <t>Max Chairs 813</t>
  </si>
  <si>
    <t>ORD-2024-10059</t>
  </si>
  <si>
    <t>2024-09-01</t>
  </si>
  <si>
    <t>2024-09-07</t>
  </si>
  <si>
    <t>CUST-3983</t>
  </si>
  <si>
    <t>Basic Storage 872</t>
  </si>
  <si>
    <t>ORD-2024-10060</t>
  </si>
  <si>
    <t>20-07-2024</t>
  </si>
  <si>
    <t>25 Jul 2024</t>
  </si>
  <si>
    <t>CUST-2418</t>
  </si>
  <si>
    <t>Smart Labels 655</t>
  </si>
  <si>
    <t>ORD-2024-10061</t>
  </si>
  <si>
    <t>07/13/2024</t>
  </si>
  <si>
    <t>2024-07-19</t>
  </si>
  <si>
    <t>CUST-2892</t>
  </si>
  <si>
    <t>Eco Labels 210</t>
  </si>
  <si>
    <t>ORD-2024-10062</t>
  </si>
  <si>
    <t>16 Apr 2024</t>
  </si>
  <si>
    <t>04/16/2024</t>
  </si>
  <si>
    <t>CUST-7008</t>
  </si>
  <si>
    <t>Classic Bookcases 296</t>
  </si>
  <si>
    <t>ORD-2024-10063</t>
  </si>
  <si>
    <t>30 Oct 2024</t>
  </si>
  <si>
    <t>02-11-2024</t>
  </si>
  <si>
    <t>CUST-4900</t>
  </si>
  <si>
    <t>Basic Phones 230</t>
  </si>
  <si>
    <t>ORD-2024-10064</t>
  </si>
  <si>
    <t>2024-01-25</t>
  </si>
  <si>
    <t>01-02-2024</t>
  </si>
  <si>
    <t>CUST-5382</t>
  </si>
  <si>
    <t>Pro Binders 690</t>
  </si>
  <si>
    <t>ORD-2024-10065</t>
  </si>
  <si>
    <t>2024-12-23</t>
  </si>
  <si>
    <t>12/29/2024</t>
  </si>
  <si>
    <t>CUST-2749</t>
  </si>
  <si>
    <t>Classic Paper 458</t>
  </si>
  <si>
    <t>ORD-2024-10066</t>
  </si>
  <si>
    <t>22 Apr 2024</t>
  </si>
  <si>
    <t>2024-04-27</t>
  </si>
  <si>
    <t>CUST-2463</t>
  </si>
  <si>
    <t>Pro Paper 552</t>
  </si>
  <si>
    <t>ORD-2025-10067</t>
  </si>
  <si>
    <t>08/28/2025</t>
  </si>
  <si>
    <t>01 Sep 2025</t>
  </si>
  <si>
    <t>CUST-1504</t>
  </si>
  <si>
    <t>Elite Accessories 187</t>
  </si>
  <si>
    <t>ORD-2025-10068</t>
  </si>
  <si>
    <t>03 Feb 2025</t>
  </si>
  <si>
    <t>07-02-2025</t>
  </si>
  <si>
    <t>CUST-8282</t>
  </si>
  <si>
    <t>Eco Paper 922</t>
  </si>
  <si>
    <t>ORD-2024-10069</t>
  </si>
  <si>
    <t>13 Nov 2024</t>
  </si>
  <si>
    <t>CUST-6054</t>
  </si>
  <si>
    <t>Pro Storage 975</t>
  </si>
  <si>
    <t>ORD-2024-10070</t>
  </si>
  <si>
    <t>09 Apr 2024</t>
  </si>
  <si>
    <t>04/14/2024</t>
  </si>
  <si>
    <t>CUST-5979</t>
  </si>
  <si>
    <t>Prime Machines 782</t>
  </si>
  <si>
    <t>ORD-2025-10071</t>
  </si>
  <si>
    <t>2025-08-22</t>
  </si>
  <si>
    <t>27 Aug 2025</t>
  </si>
  <si>
    <t>CUST-5582</t>
  </si>
  <si>
    <t>Max Phones 661</t>
  </si>
  <si>
    <t>ORD-2025-10072</t>
  </si>
  <si>
    <t>2025-04-23</t>
  </si>
  <si>
    <t>CUST-3308</t>
  </si>
  <si>
    <t>Elite Machines 836</t>
  </si>
  <si>
    <t>ORD-2024-10073</t>
  </si>
  <si>
    <t>2024-02-11</t>
  </si>
  <si>
    <t>07 Feb 2024</t>
  </si>
  <si>
    <t>CUST-5018</t>
  </si>
  <si>
    <t>Prime Tables 902</t>
  </si>
  <si>
    <t>ORD-2025-10074</t>
  </si>
  <si>
    <t>29-03-2025</t>
  </si>
  <si>
    <t>04/03/2025</t>
  </si>
  <si>
    <t>CUST-2342</t>
  </si>
  <si>
    <t>Smart Bookcases 167</t>
  </si>
  <si>
    <t>ORD-2025-10075</t>
  </si>
  <si>
    <t>02/27/2025</t>
  </si>
  <si>
    <t>2025-03-01</t>
  </si>
  <si>
    <t>CUST-6201</t>
  </si>
  <si>
    <t>Max Chairs 244</t>
  </si>
  <si>
    <t>ORD-2025-10076</t>
  </si>
  <si>
    <t>22-08-2025</t>
  </si>
  <si>
    <t>08/27/2025</t>
  </si>
  <si>
    <t>CUST-5808</t>
  </si>
  <si>
    <t>Eco Labels 653</t>
  </si>
  <si>
    <t>ORD-2024-10077</t>
  </si>
  <si>
    <t>03 Nov 2024</t>
  </si>
  <si>
    <t>11-11-2024</t>
  </si>
  <si>
    <t>CUST-2642</t>
  </si>
  <si>
    <t>Max Labels 617</t>
  </si>
  <si>
    <t>ORD-2025-10078</t>
  </si>
  <si>
    <t>07/08/2025</t>
  </si>
  <si>
    <t>12-07-2025</t>
  </si>
  <si>
    <t>CUST-4385</t>
  </si>
  <si>
    <t>Pro Furnishings 529</t>
  </si>
  <si>
    <t>ORD-2025-10079</t>
  </si>
  <si>
    <t>07/16/2025</t>
  </si>
  <si>
    <t>21-07-2025</t>
  </si>
  <si>
    <t>CUST-8043</t>
  </si>
  <si>
    <t>Smart Tables 561</t>
  </si>
  <si>
    <t>ORD-2025-10080</t>
  </si>
  <si>
    <t>2025-09-27</t>
  </si>
  <si>
    <t>2025-10-03</t>
  </si>
  <si>
    <t>CUST-9978</t>
  </si>
  <si>
    <t>Prime Chairs 838</t>
  </si>
  <si>
    <t>ORD-2024-10081</t>
  </si>
  <si>
    <t>2024-08-10</t>
  </si>
  <si>
    <t>2024-08-14</t>
  </si>
  <si>
    <t>CUST-2094</t>
  </si>
  <si>
    <t>Delhi</t>
  </si>
  <si>
    <t>New Delhi</t>
  </si>
  <si>
    <t>Elite Storage 371</t>
  </si>
  <si>
    <t>ORD-2025-10082</t>
  </si>
  <si>
    <t>2025-03-16</t>
  </si>
  <si>
    <t>17-03-2025</t>
  </si>
  <si>
    <t>CUST-7907</t>
  </si>
  <si>
    <t>Eco Labels 662</t>
  </si>
  <si>
    <t>ORD-2024-10083</t>
  </si>
  <si>
    <t>2024-08-03</t>
  </si>
  <si>
    <t>04-08-2024</t>
  </si>
  <si>
    <t>CUST-6516</t>
  </si>
  <si>
    <t>Smart Copiers 702</t>
  </si>
  <si>
    <t>ORD-2024-10084</t>
  </si>
  <si>
    <t>29-10-2024</t>
  </si>
  <si>
    <t>CUST-4989</t>
  </si>
  <si>
    <t>Elite Tables 362</t>
  </si>
  <si>
    <t>ORD-2024-10085</t>
  </si>
  <si>
    <t>01 Oct 2024</t>
  </si>
  <si>
    <t>2024-10-03</t>
  </si>
  <si>
    <t>CUST-3758</t>
  </si>
  <si>
    <t>Elite Phones 781</t>
  </si>
  <si>
    <t>ORD-2024-10086</t>
  </si>
  <si>
    <t>2024-07-30</t>
  </si>
  <si>
    <t>08/05/2024</t>
  </si>
  <si>
    <t>CUST-6702</t>
  </si>
  <si>
    <t>Eco Binders 456</t>
  </si>
  <si>
    <t>ORD-2024-10087</t>
  </si>
  <si>
    <t>01 Jul 2024</t>
  </si>
  <si>
    <t>CUST-9148</t>
  </si>
  <si>
    <t>Basic Copiers 525</t>
  </si>
  <si>
    <t>ORD-2024-10088</t>
  </si>
  <si>
    <t>02-08-2024</t>
  </si>
  <si>
    <t>CUST-5829</t>
  </si>
  <si>
    <t>Eco Binders 258</t>
  </si>
  <si>
    <t>ORD-2024-10089</t>
  </si>
  <si>
    <t>03/24/2024</t>
  </si>
  <si>
    <t>27 Mar 2024</t>
  </si>
  <si>
    <t>CUST-6059</t>
  </si>
  <si>
    <t>Max Bookcases 398</t>
  </si>
  <si>
    <t>ORD-2024-10090</t>
  </si>
  <si>
    <t>CUST-7744</t>
  </si>
  <si>
    <t>Smart Bookcases 857</t>
  </si>
  <si>
    <t>ORD-2025-10091</t>
  </si>
  <si>
    <t>08/24/2025</t>
  </si>
  <si>
    <t>CUST-5909</t>
  </si>
  <si>
    <t>Smart Copiers 556</t>
  </si>
  <si>
    <t>ORD-2025-10092</t>
  </si>
  <si>
    <t>02-03-2025</t>
  </si>
  <si>
    <t>03/08/2025</t>
  </si>
  <si>
    <t>CUST-6409</t>
  </si>
  <si>
    <t>Prime Copiers 575</t>
  </si>
  <si>
    <t>ORD-2025-10093</t>
  </si>
  <si>
    <t>01/26/2025</t>
  </si>
  <si>
    <t>CUST-3014</t>
  </si>
  <si>
    <t>Elite Paper 669</t>
  </si>
  <si>
    <t>ORD-2024-10094</t>
  </si>
  <si>
    <t>13-01-2024</t>
  </si>
  <si>
    <t>CUST-6106</t>
  </si>
  <si>
    <t>Eco Binders 780</t>
  </si>
  <si>
    <t>ORD-2024-10095</t>
  </si>
  <si>
    <t>09/06/2024</t>
  </si>
  <si>
    <t>09 Sep 2024</t>
  </si>
  <si>
    <t>CUST-1926</t>
  </si>
  <si>
    <t>Elite Phones 723</t>
  </si>
  <si>
    <t>ORD-2025-10096</t>
  </si>
  <si>
    <t>05-09-2025</t>
  </si>
  <si>
    <t>09/10/2025</t>
  </si>
  <si>
    <t>CUST-2687</t>
  </si>
  <si>
    <t>Classic Bookcases 988</t>
  </si>
  <si>
    <t>ORD-2024-10097</t>
  </si>
  <si>
    <t>05 Jun 2024</t>
  </si>
  <si>
    <t>07-06-2024</t>
  </si>
  <si>
    <t>CUST-7283</t>
  </si>
  <si>
    <t>Smart Copiers 547</t>
  </si>
  <si>
    <t>ORD-2025-10098</t>
  </si>
  <si>
    <t>08 Aug 2025</t>
  </si>
  <si>
    <t>2025-08-11</t>
  </si>
  <si>
    <t>CUST-8111</t>
  </si>
  <si>
    <t>Basic Storage 656</t>
  </si>
  <si>
    <t>ORD-2024-10099</t>
  </si>
  <si>
    <t>2024-01-26</t>
  </si>
  <si>
    <t>02/01/2024</t>
  </si>
  <si>
    <t>CUST-5434</t>
  </si>
  <si>
    <t>Elite Copiers 785</t>
  </si>
  <si>
    <t>ORD-2025-10100</t>
  </si>
  <si>
    <t>11-01-2025</t>
  </si>
  <si>
    <t>CUST-3865</t>
  </si>
  <si>
    <t>Smart Accessories 542</t>
  </si>
  <si>
    <t>ORD-2025-10101</t>
  </si>
  <si>
    <t>12 Sep 2025</t>
  </si>
  <si>
    <t>18 Sep 2025</t>
  </si>
  <si>
    <t>CUST-6015</t>
  </si>
  <si>
    <t>Eco Storage 936</t>
  </si>
  <si>
    <t>ORD-2024-10102</t>
  </si>
  <si>
    <t>26-06-2024</t>
  </si>
  <si>
    <t>CUST-7909</t>
  </si>
  <si>
    <t>Classic Furnishings 682</t>
  </si>
  <si>
    <t>ORD-2025-10103</t>
  </si>
  <si>
    <t>12 Jul 2025</t>
  </si>
  <si>
    <t>2025-07-16</t>
  </si>
  <si>
    <t>CUST-9603</t>
  </si>
  <si>
    <t>Classic Chairs 604</t>
  </si>
  <si>
    <t>ORD-2025-10104</t>
  </si>
  <si>
    <t>05/02/2025</t>
  </si>
  <si>
    <t>05/10/2025</t>
  </si>
  <si>
    <t>CUST-6263</t>
  </si>
  <si>
    <t>Prime Tables 377</t>
  </si>
  <si>
    <t>ORD-2025-10105</t>
  </si>
  <si>
    <t>2025-02-01</t>
  </si>
  <si>
    <t>02/08/2025</t>
  </si>
  <si>
    <t>CUST-1576</t>
  </si>
  <si>
    <t>Prime Labels 807</t>
  </si>
  <si>
    <t>ORD-2024-10106</t>
  </si>
  <si>
    <t>06/24/2024</t>
  </si>
  <si>
    <t>29-06-2024</t>
  </si>
  <si>
    <t>CUST-6540</t>
  </si>
  <si>
    <t>Eco Tables 575</t>
  </si>
  <si>
    <t>ORD-2024-10107</t>
  </si>
  <si>
    <t>20-02-2024</t>
  </si>
  <si>
    <t>28 Feb 2024</t>
  </si>
  <si>
    <t>CUST-4008</t>
  </si>
  <si>
    <t>Eco Paper 918</t>
  </si>
  <si>
    <t>ORD-2024-10108</t>
  </si>
  <si>
    <t>29 Oct 2024</t>
  </si>
  <si>
    <t>2024-11-04</t>
  </si>
  <si>
    <t>CUST-6604</t>
  </si>
  <si>
    <t>Prime Furnishings 952</t>
  </si>
  <si>
    <t>ORD-2024-10109</t>
  </si>
  <si>
    <t>15 Aug 2024</t>
  </si>
  <si>
    <t>08/23/2024</t>
  </si>
  <si>
    <t>CUST-4337</t>
  </si>
  <si>
    <t>Prime Bookcases 631</t>
  </si>
  <si>
    <t>ORD-2025-10110</t>
  </si>
  <si>
    <t>23-08-2025</t>
  </si>
  <si>
    <t>CUST-3740</t>
  </si>
  <si>
    <t>Classic Binders 660</t>
  </si>
  <si>
    <t>ORD-2024-10111</t>
  </si>
  <si>
    <t>10/18/2024</t>
  </si>
  <si>
    <t>2024-10-24</t>
  </si>
  <si>
    <t>CUST-7128</t>
  </si>
  <si>
    <t>Pro Labels 255</t>
  </si>
  <si>
    <t>ORD-2025-10112</t>
  </si>
  <si>
    <t>06/27/2025</t>
  </si>
  <si>
    <t>2025-06-30</t>
  </si>
  <si>
    <t>CUST-4743</t>
  </si>
  <si>
    <t>Basic Accessories 187</t>
  </si>
  <si>
    <t>ORD-2024-10113</t>
  </si>
  <si>
    <t>10 Jan 2024</t>
  </si>
  <si>
    <t>14-01-2024</t>
  </si>
  <si>
    <t>CUST-5213</t>
  </si>
  <si>
    <t>Max Accessories 451</t>
  </si>
  <si>
    <t>ORD-2024-10114</t>
  </si>
  <si>
    <t>12-02-2024</t>
  </si>
  <si>
    <t>Classic Tables 752</t>
  </si>
  <si>
    <t>ORD-2024-10115</t>
  </si>
  <si>
    <t>2024-09-25</t>
  </si>
  <si>
    <t>30 Sep 2024</t>
  </si>
  <si>
    <t>CUST-2927</t>
  </si>
  <si>
    <t>Eco Accessories 452</t>
  </si>
  <si>
    <t>ORD-2024-10116</t>
  </si>
  <si>
    <t>2024-12-27</t>
  </si>
  <si>
    <t>01-01-2025</t>
  </si>
  <si>
    <t>CUST-7764</t>
  </si>
  <si>
    <t>Classic Binders 203</t>
  </si>
  <si>
    <t>ORD-2025-10117</t>
  </si>
  <si>
    <t>2025-02-15</t>
  </si>
  <si>
    <t>19 Feb 2025</t>
  </si>
  <si>
    <t>CUST-3632</t>
  </si>
  <si>
    <t>Basic Binders 859</t>
  </si>
  <si>
    <t>ORD-2024-10118</t>
  </si>
  <si>
    <t>2024-02-15</t>
  </si>
  <si>
    <t>17 Feb 2024</t>
  </si>
  <si>
    <t>CUST-9608</t>
  </si>
  <si>
    <t>Elite Machines 705</t>
  </si>
  <si>
    <t>70%</t>
  </si>
  <si>
    <t>ORD-2024-10119</t>
  </si>
  <si>
    <t>06/10/2024</t>
  </si>
  <si>
    <t>2024-06-18</t>
  </si>
  <si>
    <t>CUST-9135</t>
  </si>
  <si>
    <t>Vikram  Iyer</t>
  </si>
  <si>
    <t>Pro Copiers 208</t>
  </si>
  <si>
    <t>ORD-2024-10120</t>
  </si>
  <si>
    <t>12 Jun 2024</t>
  </si>
  <si>
    <t>19 Jun 2024</t>
  </si>
  <si>
    <t>CUST-7861</t>
  </si>
  <si>
    <t>Elite Chairs 921</t>
  </si>
  <si>
    <t>ORD-2024-10121</t>
  </si>
  <si>
    <t>2024-08-18</t>
  </si>
  <si>
    <t>CUST-6096</t>
  </si>
  <si>
    <t>Prime Phones 540</t>
  </si>
  <si>
    <t>ORD-2025-10122</t>
  </si>
  <si>
    <t>08/22/2025</t>
  </si>
  <si>
    <t>08/26/2025</t>
  </si>
  <si>
    <t>CUST-2044</t>
  </si>
  <si>
    <t>Small  Business</t>
  </si>
  <si>
    <t>Max Machines 948</t>
  </si>
  <si>
    <t>ORD-2024-10123</t>
  </si>
  <si>
    <t>11/30/2024</t>
  </si>
  <si>
    <t>04-12-2024</t>
  </si>
  <si>
    <t>CUST-1721</t>
  </si>
  <si>
    <t>Max Chairs 786</t>
  </si>
  <si>
    <t>ORD-2024-10124</t>
  </si>
  <si>
    <t>05/24/2024</t>
  </si>
  <si>
    <t>25 May 2024</t>
  </si>
  <si>
    <t>CUST-1007</t>
  </si>
  <si>
    <t>NORTH</t>
  </si>
  <si>
    <t>Max Copiers 970</t>
  </si>
  <si>
    <t>ORD-2024-10125</t>
  </si>
  <si>
    <t>07/24/2024</t>
  </si>
  <si>
    <t>CUST-4450</t>
  </si>
  <si>
    <t>Pro Copiers 769</t>
  </si>
  <si>
    <t>ORD-2025-10126</t>
  </si>
  <si>
    <t>2025-07-17</t>
  </si>
  <si>
    <t>18-07-2025</t>
  </si>
  <si>
    <t>CUST-7924</t>
  </si>
  <si>
    <t>Basic Tables 753</t>
  </si>
  <si>
    <t>ORD-2025-10127</t>
  </si>
  <si>
    <t>24-09-2025</t>
  </si>
  <si>
    <t>26 Sep 2025</t>
  </si>
  <si>
    <t>CUST-1715</t>
  </si>
  <si>
    <t>Prime Copiers 651</t>
  </si>
  <si>
    <t>ORD-2025-10128</t>
  </si>
  <si>
    <t>26-01-2025</t>
  </si>
  <si>
    <t>CUST-6802</t>
  </si>
  <si>
    <t>Basic Storage 321</t>
  </si>
  <si>
    <t>ORD-2024-10129</t>
  </si>
  <si>
    <t>13 Dec 2024</t>
  </si>
  <si>
    <t>16 Dec 2024</t>
  </si>
  <si>
    <t>CUST-9328</t>
  </si>
  <si>
    <t>Prime Furnishings 710</t>
  </si>
  <si>
    <t>ORD-2024-10130</t>
  </si>
  <si>
    <t>25-07-2024</t>
  </si>
  <si>
    <t>CUST-2588</t>
  </si>
  <si>
    <t>Elite Binders 723</t>
  </si>
  <si>
    <t>ORD-2024-10131</t>
  </si>
  <si>
    <t>2024-01-27</t>
  </si>
  <si>
    <t>02 Feb 2024</t>
  </si>
  <si>
    <t>CUST-5435</t>
  </si>
  <si>
    <t>Smart Labels 878</t>
  </si>
  <si>
    <t>ORD-2025-10132</t>
  </si>
  <si>
    <t>09/29/2025</t>
  </si>
  <si>
    <t>2025-10-04</t>
  </si>
  <si>
    <t>CUST-7637</t>
  </si>
  <si>
    <t>Pro Paper 934</t>
  </si>
  <si>
    <t>ORD-2024-10133</t>
  </si>
  <si>
    <t>04 Nov 2024</t>
  </si>
  <si>
    <t>CUST-3602</t>
  </si>
  <si>
    <t>Classic Machines 886</t>
  </si>
  <si>
    <t>ORD-2024-10134</t>
  </si>
  <si>
    <t>2024-12-13</t>
  </si>
  <si>
    <t>12/18/2024</t>
  </si>
  <si>
    <t>CUST-9441</t>
  </si>
  <si>
    <t>Prime Phones 419</t>
  </si>
  <si>
    <t>ORD-2025-10135</t>
  </si>
  <si>
    <t>07/14/2025</t>
  </si>
  <si>
    <t>2025-07-14</t>
  </si>
  <si>
    <t>CUST-7361</t>
  </si>
  <si>
    <t>Elite Bookcases 266</t>
  </si>
  <si>
    <t>ORD-2025-10136</t>
  </si>
  <si>
    <t>2025-08-24</t>
  </si>
  <si>
    <t>CUST-1148</t>
  </si>
  <si>
    <t>Prime Bookcases 954</t>
  </si>
  <si>
    <t>ORD-2025-10137</t>
  </si>
  <si>
    <t>09-02-2025</t>
  </si>
  <si>
    <t>15-02-2025</t>
  </si>
  <si>
    <t>CUST-3350</t>
  </si>
  <si>
    <t>Max Binders 362</t>
  </si>
  <si>
    <t>Standard  Class</t>
  </si>
  <si>
    <t>ORD-2025-10138</t>
  </si>
  <si>
    <t>01/09/2025</t>
  </si>
  <si>
    <t>2025-01-09</t>
  </si>
  <si>
    <t>CUST-7932</t>
  </si>
  <si>
    <t>Prime Chairs 261</t>
  </si>
  <si>
    <t>ORD-2024-10139</t>
  </si>
  <si>
    <t>2024-01-20</t>
  </si>
  <si>
    <t>26-01-2024</t>
  </si>
  <si>
    <t>CUST-7173</t>
  </si>
  <si>
    <t>Basic Machines 185</t>
  </si>
  <si>
    <t>ORD-2025-10140</t>
  </si>
  <si>
    <t>03/02/2025</t>
  </si>
  <si>
    <t>07-03-2025</t>
  </si>
  <si>
    <t>CUST-4225</t>
  </si>
  <si>
    <t>Basic Labels 509</t>
  </si>
  <si>
    <t>ORD-2024-10141</t>
  </si>
  <si>
    <t>31-05-2024</t>
  </si>
  <si>
    <t>01 Jun 2024</t>
  </si>
  <si>
    <t>CUST-2149</t>
  </si>
  <si>
    <t>Elite Bookcases 696</t>
  </si>
  <si>
    <t>ORD-2024-10142</t>
  </si>
  <si>
    <t>03/23/2024</t>
  </si>
  <si>
    <t>2024-03-29</t>
  </si>
  <si>
    <t>CUST-3314</t>
  </si>
  <si>
    <t>Elite Bookcases 772</t>
  </si>
  <si>
    <t>ORD-2024-10143</t>
  </si>
  <si>
    <t>30 Mar 2024</t>
  </si>
  <si>
    <t>26 Mar 2024</t>
  </si>
  <si>
    <t>CUST-8944</t>
  </si>
  <si>
    <t>Classic Phones 142</t>
  </si>
  <si>
    <t>ORD-2024-10144</t>
  </si>
  <si>
    <t>2024-03-26</t>
  </si>
  <si>
    <t>CUST-3144</t>
  </si>
  <si>
    <t>Pro Paper 575</t>
  </si>
  <si>
    <t>ORD-2024-10145</t>
  </si>
  <si>
    <t>2024-06-15</t>
  </si>
  <si>
    <t>CUST-6747</t>
  </si>
  <si>
    <t>Elite Accessories 905</t>
  </si>
  <si>
    <t>ORD-2025-10146</t>
  </si>
  <si>
    <t>11-04-2025</t>
  </si>
  <si>
    <t>04/13/2025</t>
  </si>
  <si>
    <t>CUST-6161</t>
  </si>
  <si>
    <t>Smart Paper 899</t>
  </si>
  <si>
    <t>ORD-2025-10147</t>
  </si>
  <si>
    <t>30 Jul 2025</t>
  </si>
  <si>
    <t>08/01/2025</t>
  </si>
  <si>
    <t>CUST-1460</t>
  </si>
  <si>
    <t>Classic Storage 423</t>
  </si>
  <si>
    <t>ORD-2024-10148</t>
  </si>
  <si>
    <t>23-12-2024</t>
  </si>
  <si>
    <t>2024-12-30</t>
  </si>
  <si>
    <t>CUST-2692</t>
  </si>
  <si>
    <t>Classic Furnishings 743</t>
  </si>
  <si>
    <t>ORD-2025-10149</t>
  </si>
  <si>
    <t>09 Feb 2025</t>
  </si>
  <si>
    <t>13-02-2025</t>
  </si>
  <si>
    <t>CUST-2822</t>
  </si>
  <si>
    <t>Smart Phones 336</t>
  </si>
  <si>
    <t>ORD-2024-10150</t>
  </si>
  <si>
    <t>30-01-2024</t>
  </si>
  <si>
    <t>CUST-5876</t>
  </si>
  <si>
    <t>west</t>
  </si>
  <si>
    <t>Eco Copiers 381</t>
  </si>
  <si>
    <t>ORD-2024-10151</t>
  </si>
  <si>
    <t>04-03-2024</t>
  </si>
  <si>
    <t>2024-03-12</t>
  </si>
  <si>
    <t>CUST-4661</t>
  </si>
  <si>
    <t>Max Bookcases 595</t>
  </si>
  <si>
    <t>ORD-2024-10152</t>
  </si>
  <si>
    <t>27 Jun 2024</t>
  </si>
  <si>
    <t>06/27/2024</t>
  </si>
  <si>
    <t>CUST-6011</t>
  </si>
  <si>
    <t>Max Copiers 992</t>
  </si>
  <si>
    <t>ORD-2024-10153</t>
  </si>
  <si>
    <t>14 Jun 2024</t>
  </si>
  <si>
    <t>06/17/2024</t>
  </si>
  <si>
    <t>CUST-6160</t>
  </si>
  <si>
    <t>Pro Tables 407</t>
  </si>
  <si>
    <t>ORD-2025-10154</t>
  </si>
  <si>
    <t>23 Sep 2025</t>
  </si>
  <si>
    <t>2025-09-25</t>
  </si>
  <si>
    <t>CUST-6971</t>
  </si>
  <si>
    <t>Prime Labels 559</t>
  </si>
  <si>
    <t>ORD-2024-10155</t>
  </si>
  <si>
    <t>12 Feb 2024</t>
  </si>
  <si>
    <t>02/11/2024</t>
  </si>
  <si>
    <t>Classic Bookcases 847</t>
  </si>
  <si>
    <t>ORD-2025-10156</t>
  </si>
  <si>
    <t>CUST-8327</t>
  </si>
  <si>
    <t>Classic Furnishings 655</t>
  </si>
  <si>
    <t>ORD-2025-10157</t>
  </si>
  <si>
    <t>27-03-2025</t>
  </si>
  <si>
    <t>27 Mar 2025</t>
  </si>
  <si>
    <t>CUST-4058</t>
  </si>
  <si>
    <t>Eco Machines 657</t>
  </si>
  <si>
    <t>ORD-2024-10158</t>
  </si>
  <si>
    <t>10/22/2024</t>
  </si>
  <si>
    <t>24-10-2024</t>
  </si>
  <si>
    <t>CUST-1142</t>
  </si>
  <si>
    <t>Pro Bookcases 430</t>
  </si>
  <si>
    <t>ORD-2024-10159</t>
  </si>
  <si>
    <t>2024-09-09</t>
  </si>
  <si>
    <t>09/11/2024</t>
  </si>
  <si>
    <t>CUST-2324</t>
  </si>
  <si>
    <t>Max Bookcases 881</t>
  </si>
  <si>
    <t>ORD-2025-10160</t>
  </si>
  <si>
    <t>2025-01-30</t>
  </si>
  <si>
    <t>04-02-2025</t>
  </si>
  <si>
    <t>CUST-7717</t>
  </si>
  <si>
    <t>Elite Chairs 998</t>
  </si>
  <si>
    <t>ORD-2025-10161</t>
  </si>
  <si>
    <t>08-10-2025</t>
  </si>
  <si>
    <t>10/06/2025</t>
  </si>
  <si>
    <t>CUST-4932</t>
  </si>
  <si>
    <t>Max Paper 113</t>
  </si>
  <si>
    <t>ORD-2025-10162</t>
  </si>
  <si>
    <t>2025-07-24</t>
  </si>
  <si>
    <t>30-07-2025</t>
  </si>
  <si>
    <t>CUST-2367</t>
  </si>
  <si>
    <t>consumer</t>
  </si>
  <si>
    <t>Smart Binders 267</t>
  </si>
  <si>
    <t>ORD-2024-10163</t>
  </si>
  <si>
    <t>2024-03-09</t>
  </si>
  <si>
    <t>14 Mar 2024</t>
  </si>
  <si>
    <t>CUST-4830</t>
  </si>
  <si>
    <t>Pro Furnishings 108</t>
  </si>
  <si>
    <t>ORD-2025-10164</t>
  </si>
  <si>
    <t>09/21/2025</t>
  </si>
  <si>
    <t>CUST-2548</t>
  </si>
  <si>
    <t>Elite Tables 389</t>
  </si>
  <si>
    <t>ORD-2025-10165</t>
  </si>
  <si>
    <t>09 Sep 2025</t>
  </si>
  <si>
    <t>09/14/2025</t>
  </si>
  <si>
    <t>CUST-3833</t>
  </si>
  <si>
    <t>Pro Bookcases 595</t>
  </si>
  <si>
    <t>ORD-2024-10166</t>
  </si>
  <si>
    <t>11/22/2024</t>
  </si>
  <si>
    <t>29-11-2024</t>
  </si>
  <si>
    <t>CUST-4598</t>
  </si>
  <si>
    <t>Max Chairs 148</t>
  </si>
  <si>
    <t>ORD-2025-10167</t>
  </si>
  <si>
    <t>20-02-2025</t>
  </si>
  <si>
    <t>CUST-7215</t>
  </si>
  <si>
    <t>OFFICE SUPPLIES</t>
  </si>
  <si>
    <t>Basic Labels 671</t>
  </si>
  <si>
    <t>ORD-2025-10168</t>
  </si>
  <si>
    <t>2025-08-18</t>
  </si>
  <si>
    <t>08/18/2025</t>
  </si>
  <si>
    <t>CUST-7770</t>
  </si>
  <si>
    <t>Elite Storage 628</t>
  </si>
  <si>
    <t>ORD-2025-10169</t>
  </si>
  <si>
    <t>01/20/2025</t>
  </si>
  <si>
    <t>CUST-9756</t>
  </si>
  <si>
    <t>Eco Accessories 590</t>
  </si>
  <si>
    <t>ORD-2025-10170</t>
  </si>
  <si>
    <t>2025-09-13</t>
  </si>
  <si>
    <t>09/13/2025</t>
  </si>
  <si>
    <t>CUST-2261</t>
  </si>
  <si>
    <t>Pro Art 734</t>
  </si>
  <si>
    <t>ORD-2025-10171</t>
  </si>
  <si>
    <t>09/15/2025</t>
  </si>
  <si>
    <t>CUST-3734</t>
  </si>
  <si>
    <t>Eco Copiers 102</t>
  </si>
  <si>
    <t>ORD-2025-10172</t>
  </si>
  <si>
    <t>02/25/2025</t>
  </si>
  <si>
    <t>CUST-3436</t>
  </si>
  <si>
    <t>Basic Labels 876</t>
  </si>
  <si>
    <t>ORD-2025-10173</t>
  </si>
  <si>
    <t>02-08-2025</t>
  </si>
  <si>
    <t>10-08-2025</t>
  </si>
  <si>
    <t>CUST-4845</t>
  </si>
  <si>
    <t>Prime Furnishings 381</t>
  </si>
  <si>
    <t>ORD-2024-10174</t>
  </si>
  <si>
    <t>02-05-2024</t>
  </si>
  <si>
    <t>08 May 2024</t>
  </si>
  <si>
    <t>CUST-6153</t>
  </si>
  <si>
    <t>PRIYA MENON</t>
  </si>
  <si>
    <t>Prime Copiers 440</t>
  </si>
  <si>
    <t>ORD-2025-10175</t>
  </si>
  <si>
    <t>28 Sep 2025</t>
  </si>
  <si>
    <t>04-10-2025</t>
  </si>
  <si>
    <t>CUST-5475</t>
  </si>
  <si>
    <t>Pro Bookcases 319</t>
  </si>
  <si>
    <t>ORD-2024-10176</t>
  </si>
  <si>
    <t>2024-02-03</t>
  </si>
  <si>
    <t>CUST-5580</t>
  </si>
  <si>
    <t>Basic Machines 584</t>
  </si>
  <si>
    <t>ORD-2025-10177</t>
  </si>
  <si>
    <t>18-03-2025</t>
  </si>
  <si>
    <t>03/26/2025</t>
  </si>
  <si>
    <t>CUST-3027</t>
  </si>
  <si>
    <t>Pro Bookcases 612</t>
  </si>
  <si>
    <t>ORD-2024-10178</t>
  </si>
  <si>
    <t>01-06-2024</t>
  </si>
  <si>
    <t>06/03/2024</t>
  </si>
  <si>
    <t>CUST-4399</t>
  </si>
  <si>
    <t>Classic Art 573</t>
  </si>
  <si>
    <t>ORD-2024-10179</t>
  </si>
  <si>
    <t>30-09-2024</t>
  </si>
  <si>
    <t>2024-09-30</t>
  </si>
  <si>
    <t>CUST-3092</t>
  </si>
  <si>
    <t>Eco Art 854</t>
  </si>
  <si>
    <t>ORD-2024-10180</t>
  </si>
  <si>
    <t>2024-03-15</t>
  </si>
  <si>
    <t>03/19/2024</t>
  </si>
  <si>
    <t>CUST-1778</t>
  </si>
  <si>
    <t>Classic Furnishings 996</t>
  </si>
  <si>
    <t>ORD-2024-10181</t>
  </si>
  <si>
    <t>2024-08-26</t>
  </si>
  <si>
    <t>26-08-2024</t>
  </si>
  <si>
    <t>CUST-3787</t>
  </si>
  <si>
    <t>Prime Binders 735</t>
  </si>
  <si>
    <t>ORD-2025-10182</t>
  </si>
  <si>
    <t>09/09/2025</t>
  </si>
  <si>
    <t>10-09-2025</t>
  </si>
  <si>
    <t>CUST-5119</t>
  </si>
  <si>
    <t>Pro Art 587</t>
  </si>
  <si>
    <t>ORD-2024-10183</t>
  </si>
  <si>
    <t>CUST-4121</t>
  </si>
  <si>
    <t>Basic Machines 575</t>
  </si>
  <si>
    <t>ORD-2025-10184</t>
  </si>
  <si>
    <t>2025-06-24</t>
  </si>
  <si>
    <t>27-06-2025</t>
  </si>
  <si>
    <t>CUST-3366</t>
  </si>
  <si>
    <t>Elite Copiers 788</t>
  </si>
  <si>
    <t>ORD-2024-10185</t>
  </si>
  <si>
    <t>2024-04-02</t>
  </si>
  <si>
    <t>CUST-1358</t>
  </si>
  <si>
    <t>Max Bookcases 472</t>
  </si>
  <si>
    <t>ORD-2024-10186</t>
  </si>
  <si>
    <t>2024-11-13</t>
  </si>
  <si>
    <t>CUST-4968</t>
  </si>
  <si>
    <t>Smart Labels 475</t>
  </si>
  <si>
    <t>ORD-2024-10187</t>
  </si>
  <si>
    <t>20 Jul 2024</t>
  </si>
  <si>
    <t>Basic Tables 417</t>
  </si>
  <si>
    <t>ORD-2025-10188</t>
  </si>
  <si>
    <t>2025-05-01</t>
  </si>
  <si>
    <t>02 May 2025</t>
  </si>
  <si>
    <t>CUST-3109</t>
  </si>
  <si>
    <t>Pro Chairs 844</t>
  </si>
  <si>
    <t>ORD-2025-10189</t>
  </si>
  <si>
    <t>2025-05-21</t>
  </si>
  <si>
    <t>28 May 2025</t>
  </si>
  <si>
    <t>CUST-3422</t>
  </si>
  <si>
    <t>Elite Bookcases 883</t>
  </si>
  <si>
    <t>ORD-2025-10190</t>
  </si>
  <si>
    <t>2025-05-06</t>
  </si>
  <si>
    <t>07 May 2025</t>
  </si>
  <si>
    <t>CUST-3375</t>
  </si>
  <si>
    <t>Basic Bookcases 754</t>
  </si>
  <si>
    <t>completed</t>
  </si>
  <si>
    <t>ORD-2025-10191</t>
  </si>
  <si>
    <t>20-04-2025</t>
  </si>
  <si>
    <t>04/21/2025</t>
  </si>
  <si>
    <t>CUST-5138</t>
  </si>
  <si>
    <t>Eco Storage 158</t>
  </si>
  <si>
    <t>ORD-2024-10192</t>
  </si>
  <si>
    <t>19-10-2024</t>
  </si>
  <si>
    <t>CUST-7410</t>
  </si>
  <si>
    <t>Prime Bookcases 602</t>
  </si>
  <si>
    <t>ORD-2024-10193</t>
  </si>
  <si>
    <t>2024-12-09</t>
  </si>
  <si>
    <t>12/16/2024</t>
  </si>
  <si>
    <t>CUST-7115</t>
  </si>
  <si>
    <t>Eco Chairs 438</t>
  </si>
  <si>
    <t>ORD-2024-10194</t>
  </si>
  <si>
    <t>2024-06-23</t>
  </si>
  <si>
    <t>28-06-2024</t>
  </si>
  <si>
    <t>CUST-9853</t>
  </si>
  <si>
    <t>Prime Copiers 142</t>
  </si>
  <si>
    <t>ORD-2025-10195</t>
  </si>
  <si>
    <t>2025-01-28</t>
  </si>
  <si>
    <t>01/31/2025</t>
  </si>
  <si>
    <t>CUST-3637</t>
  </si>
  <si>
    <t>WEST</t>
  </si>
  <si>
    <t>Prime Furnishings 433</t>
  </si>
  <si>
    <t>ORD-2025-10196</t>
  </si>
  <si>
    <t>22 Jul 2025</t>
  </si>
  <si>
    <t>07/24/2025</t>
  </si>
  <si>
    <t>CUST-4328</t>
  </si>
  <si>
    <t>Smart Furnishings 685</t>
  </si>
  <si>
    <t>ORD-2024-10197</t>
  </si>
  <si>
    <t>22-01-2024</t>
  </si>
  <si>
    <t>25 Jan 2024</t>
  </si>
  <si>
    <t>CUST-8028</t>
  </si>
  <si>
    <t>Elite Storage 915</t>
  </si>
  <si>
    <t>ORD-2025-10198</t>
  </si>
  <si>
    <t>07-04-2025</t>
  </si>
  <si>
    <t>Basic Storage 961</t>
  </si>
  <si>
    <t>ORD-2024-10199</t>
  </si>
  <si>
    <t>05-06-2024</t>
  </si>
  <si>
    <t>06/06/2024</t>
  </si>
  <si>
    <t>CUST-7820</t>
  </si>
  <si>
    <t>Classic Art 968</t>
  </si>
  <si>
    <t>ORD-2024-10200</t>
  </si>
  <si>
    <t>12-03-2024</t>
  </si>
  <si>
    <t>CUST-4536</t>
  </si>
  <si>
    <t>Prime Machines 806</t>
  </si>
  <si>
    <t>ORD-2025-10201</t>
  </si>
  <si>
    <t>05 Jul 2025</t>
  </si>
  <si>
    <t>CUST-7047</t>
  </si>
  <si>
    <t>Classic Copiers 479</t>
  </si>
  <si>
    <t>ORD-2025-10202</t>
  </si>
  <si>
    <t>26-07-2025</t>
  </si>
  <si>
    <t>08/03/2025</t>
  </si>
  <si>
    <t>CUST-8005</t>
  </si>
  <si>
    <t>Basic Labels 511</t>
  </si>
  <si>
    <t>ORD-2025-10203</t>
  </si>
  <si>
    <t>2025-03-28</t>
  </si>
  <si>
    <t>28 Mar 2025</t>
  </si>
  <si>
    <t>CUST-9378</t>
  </si>
  <si>
    <t>Prime Accessories 733</t>
  </si>
  <si>
    <t>ORD-2024-10204</t>
  </si>
  <si>
    <t>28 Mar 2024</t>
  </si>
  <si>
    <t>2024-03-30</t>
  </si>
  <si>
    <t>CUST-3384</t>
  </si>
  <si>
    <t>Max Accessories 186</t>
  </si>
  <si>
    <t>ORD-2025-10205</t>
  </si>
  <si>
    <t>20-07-2025</t>
  </si>
  <si>
    <t>2025-07-23</t>
  </si>
  <si>
    <t>CUST-1986</t>
  </si>
  <si>
    <t>Elite Tables 318</t>
  </si>
  <si>
    <t>ORD-2025-10206</t>
  </si>
  <si>
    <t>21-04-2025</t>
  </si>
  <si>
    <t>04/26/2025</t>
  </si>
  <si>
    <t>CUST-3338</t>
  </si>
  <si>
    <t>Smart Labels 354</t>
  </si>
  <si>
    <t>ORD-2025-10207</t>
  </si>
  <si>
    <t>05/18/2025</t>
  </si>
  <si>
    <t>CUST-2343</t>
  </si>
  <si>
    <t>Pro Furnishings 981</t>
  </si>
  <si>
    <t>ORD-2024-10208</t>
  </si>
  <si>
    <t>10 Jul 2024</t>
  </si>
  <si>
    <t>2024-07-16</t>
  </si>
  <si>
    <t>CUST-3362</t>
  </si>
  <si>
    <t>Eco Bookcases 671</t>
  </si>
  <si>
    <t>ORD-2025-10209</t>
  </si>
  <si>
    <t>06/29/2025</t>
  </si>
  <si>
    <t>05-07-2025</t>
  </si>
  <si>
    <t>CUST-3662</t>
  </si>
  <si>
    <t>Max Chairs 151</t>
  </si>
  <si>
    <t>ORD-2025-10210</t>
  </si>
  <si>
    <t>08/13/2025</t>
  </si>
  <si>
    <t>08/14/2025</t>
  </si>
  <si>
    <t>CUST-4947</t>
  </si>
  <si>
    <t>Prime Paper 903</t>
  </si>
  <si>
    <t>ORD-2024-10211</t>
  </si>
  <si>
    <t>03/15/2024</t>
  </si>
  <si>
    <t>18-03-2024</t>
  </si>
  <si>
    <t>CUST-3076</t>
  </si>
  <si>
    <t>Classic Machines 944</t>
  </si>
  <si>
    <t>ORD-2024-10212</t>
  </si>
  <si>
    <t>05/16/2024</t>
  </si>
  <si>
    <t>05/17/2024</t>
  </si>
  <si>
    <t>CUST-2222</t>
  </si>
  <si>
    <t>EAST</t>
  </si>
  <si>
    <t>Basic Copiers 222</t>
  </si>
  <si>
    <t>ORD-2024-10213</t>
  </si>
  <si>
    <t>09/21/2024</t>
  </si>
  <si>
    <t>2024-09-21</t>
  </si>
  <si>
    <t>CUST-3610</t>
  </si>
  <si>
    <t>Max Phones 329</t>
  </si>
  <si>
    <t>ORD-2024-10214</t>
  </si>
  <si>
    <t>15 May 2024</t>
  </si>
  <si>
    <t>21-05-2024</t>
  </si>
  <si>
    <t>CUST-9136</t>
  </si>
  <si>
    <t>Classic Accessories 840</t>
  </si>
  <si>
    <t>ORD-2024-10215</t>
  </si>
  <si>
    <t>17 Mar 2024</t>
  </si>
  <si>
    <t>23-03-2024</t>
  </si>
  <si>
    <t>CUST-1301</t>
  </si>
  <si>
    <t>Classic Accessories 757</t>
  </si>
  <si>
    <t>ORD-2024-10216</t>
  </si>
  <si>
    <t>01-03-2024</t>
  </si>
  <si>
    <t>CUST-8603</t>
  </si>
  <si>
    <t>Prime Paper 286</t>
  </si>
  <si>
    <t>ORD-2025-10217</t>
  </si>
  <si>
    <t>15 Apr 2025</t>
  </si>
  <si>
    <t>CUST-4330</t>
  </si>
  <si>
    <t>Basic Tables 400</t>
  </si>
  <si>
    <t>ORD-2025-10218</t>
  </si>
  <si>
    <t>01-04-2025</t>
  </si>
  <si>
    <t>04/08/2025</t>
  </si>
  <si>
    <t>CUST-4533</t>
  </si>
  <si>
    <t>Basic Bookcases 405</t>
  </si>
  <si>
    <t>ORD-2025-10219</t>
  </si>
  <si>
    <t>26 Feb 2025</t>
  </si>
  <si>
    <t>27-02-2025</t>
  </si>
  <si>
    <t>CUST-8270</t>
  </si>
  <si>
    <t>Classic Bookcases 139</t>
  </si>
  <si>
    <t>ORD-2024-10220</t>
  </si>
  <si>
    <t>06/19/2024</t>
  </si>
  <si>
    <t>CUST-1472</t>
  </si>
  <si>
    <t>Elite Machines 290</t>
  </si>
  <si>
    <t>85%</t>
  </si>
  <si>
    <t>ORD-2024-10221</t>
  </si>
  <si>
    <t>09/03/2024</t>
  </si>
  <si>
    <t>CUST-1031</t>
  </si>
  <si>
    <t>Elite Storage 925</t>
  </si>
  <si>
    <t>ORD-2025-10222</t>
  </si>
  <si>
    <t>12-01-2025</t>
  </si>
  <si>
    <t>2025-01-15</t>
  </si>
  <si>
    <t>CUST-2495</t>
  </si>
  <si>
    <t>Classic Chairs 231</t>
  </si>
  <si>
    <t>ORD-2025-10223</t>
  </si>
  <si>
    <t>04/29/2025</t>
  </si>
  <si>
    <t>CUST-4583</t>
  </si>
  <si>
    <t>Prime Storage 818</t>
  </si>
  <si>
    <t>ORD-2025-10224</t>
  </si>
  <si>
    <t>19-02-2025</t>
  </si>
  <si>
    <t>02/26/2025</t>
  </si>
  <si>
    <t>CUST-5319</t>
  </si>
  <si>
    <t>Elite Furnishings 449</t>
  </si>
  <si>
    <t>ORD-2025-10225</t>
  </si>
  <si>
    <t>10/02/2025</t>
  </si>
  <si>
    <t>08 Oct 2025</t>
  </si>
  <si>
    <t>CUST-9871</t>
  </si>
  <si>
    <t>Classic Furnishings 109</t>
  </si>
  <si>
    <t>ORD-2024-10226</t>
  </si>
  <si>
    <t>02 Sep 2024</t>
  </si>
  <si>
    <t>2024-09-10</t>
  </si>
  <si>
    <t>CUST-1266</t>
  </si>
  <si>
    <t>Classic Phones 548</t>
  </si>
  <si>
    <t>ORD-2025-10227</t>
  </si>
  <si>
    <t>10-04-2025</t>
  </si>
  <si>
    <t>CUST-2545</t>
  </si>
  <si>
    <t>Max Copiers 363</t>
  </si>
  <si>
    <t>ORD-2024-10228</t>
  </si>
  <si>
    <t>2024-07-05</t>
  </si>
  <si>
    <t>12 Jul 2024</t>
  </si>
  <si>
    <t>CUST-2819</t>
  </si>
  <si>
    <t>SMALL BUSINESS</t>
  </si>
  <si>
    <t>Prime Binders 507</t>
  </si>
  <si>
    <t>ORD-2024-10229</t>
  </si>
  <si>
    <t>24-04-2024</t>
  </si>
  <si>
    <t>28 Apr 2024</t>
  </si>
  <si>
    <t>CUST-1076</t>
  </si>
  <si>
    <t>Smart Labels 914</t>
  </si>
  <si>
    <t>ORD-2025-10230</t>
  </si>
  <si>
    <t>2025-06-28</t>
  </si>
  <si>
    <t>07/04/2025</t>
  </si>
  <si>
    <t>CUST-1943</t>
  </si>
  <si>
    <t>Smart Bookcases 662</t>
  </si>
  <si>
    <t>ORD-2024-10231</t>
  </si>
  <si>
    <t>03-06-2024</t>
  </si>
  <si>
    <t>CUST-3434</t>
  </si>
  <si>
    <t>Eco Paper 937</t>
  </si>
  <si>
    <t>ORD-2024-10232</t>
  </si>
  <si>
    <t>2024-05-02</t>
  </si>
  <si>
    <t>05/02/2024</t>
  </si>
  <si>
    <t>CUST-9139</t>
  </si>
  <si>
    <t>Office  Supplies</t>
  </si>
  <si>
    <t>Max Labels 370</t>
  </si>
  <si>
    <t>ORD-2025-10233</t>
  </si>
  <si>
    <t>2025-06-04</t>
  </si>
  <si>
    <t>2025-06-10</t>
  </si>
  <si>
    <t>CUST-5341</t>
  </si>
  <si>
    <t>Classic Phones 530</t>
  </si>
  <si>
    <t>ORD-2024-10234</t>
  </si>
  <si>
    <t>14-10-2024</t>
  </si>
  <si>
    <t>10/14/2024</t>
  </si>
  <si>
    <t>CUST-3710</t>
  </si>
  <si>
    <t>Smart Bookcases 328</t>
  </si>
  <si>
    <t>ORD-2024-10235</t>
  </si>
  <si>
    <t>09/02/2024</t>
  </si>
  <si>
    <t>03 Sep 2024</t>
  </si>
  <si>
    <t>CUST-9754</t>
  </si>
  <si>
    <t>Eco Furnishings 981</t>
  </si>
  <si>
    <t>ORD-2024-10236</t>
  </si>
  <si>
    <t>11/02/2024</t>
  </si>
  <si>
    <t>11/03/2024</t>
  </si>
  <si>
    <t>CUST-6256</t>
  </si>
  <si>
    <t>Basic Storage 195</t>
  </si>
  <si>
    <t>ORD-2024-10237</t>
  </si>
  <si>
    <t>21 Oct 2024</t>
  </si>
  <si>
    <t>CUST-7113</t>
  </si>
  <si>
    <t>Elite Bookcases 907</t>
  </si>
  <si>
    <t>ORD-2024-10238</t>
  </si>
  <si>
    <t>2024-08-27</t>
  </si>
  <si>
    <t>CUST-3827</t>
  </si>
  <si>
    <t>Smart Copiers 471</t>
  </si>
  <si>
    <t>ORD-2024-10239</t>
  </si>
  <si>
    <t>01/12/2024</t>
  </si>
  <si>
    <t>01/17/2024</t>
  </si>
  <si>
    <t>CUST-2375</t>
  </si>
  <si>
    <t>Prime Storage 625</t>
  </si>
  <si>
    <t>ORD-2024-10240</t>
  </si>
  <si>
    <t>21-09-2024</t>
  </si>
  <si>
    <t>CUST-2233</t>
  </si>
  <si>
    <t>Smart Machines 801</t>
  </si>
  <si>
    <t>ORD-2024-10241</t>
  </si>
  <si>
    <t>17 Dec 2024</t>
  </si>
  <si>
    <t>CUST-9778</t>
  </si>
  <si>
    <t>Max Binders 170</t>
  </si>
  <si>
    <t>ORD-2025-10242</t>
  </si>
  <si>
    <t>07/06/2025</t>
  </si>
  <si>
    <t>06-07-2025</t>
  </si>
  <si>
    <t>CUST-6949</t>
  </si>
  <si>
    <t>Basic Storage 737</t>
  </si>
  <si>
    <t>ORD-2025-10243</t>
  </si>
  <si>
    <t>07 Feb 2025</t>
  </si>
  <si>
    <t>2025-02-07</t>
  </si>
  <si>
    <t>CUST-3430</t>
  </si>
  <si>
    <t>Classic Art 126</t>
  </si>
  <si>
    <t>ORD-2025-10244</t>
  </si>
  <si>
    <t>02 Aug 2025</t>
  </si>
  <si>
    <t>CUST-6310</t>
  </si>
  <si>
    <t>Prime Accessories 243</t>
  </si>
  <si>
    <t>ORD-2024-10245</t>
  </si>
  <si>
    <t>2024-08-24</t>
  </si>
  <si>
    <t>CUST-6008</t>
  </si>
  <si>
    <t>Eco Bookcases 768</t>
  </si>
  <si>
    <t>ORD-2024-10246</t>
  </si>
  <si>
    <t>CUST-1704</t>
  </si>
  <si>
    <t>FURNITURE</t>
  </si>
  <si>
    <t>Pro Chairs 316</t>
  </si>
  <si>
    <t>ORD-2024-10247</t>
  </si>
  <si>
    <t>04 May 2024</t>
  </si>
  <si>
    <t>09 May 2024</t>
  </si>
  <si>
    <t>CUST-1827</t>
  </si>
  <si>
    <t>Classic Machines 819</t>
  </si>
  <si>
    <t>ORD-2024-10248</t>
  </si>
  <si>
    <t>07/25/2024</t>
  </si>
  <si>
    <t>01 Aug 2024</t>
  </si>
  <si>
    <t>CUST-6663</t>
  </si>
  <si>
    <t>Smart Accessories 572</t>
  </si>
  <si>
    <t>ORD-2024-10249</t>
  </si>
  <si>
    <t>06/02/2024</t>
  </si>
  <si>
    <t>CUST-6278</t>
  </si>
  <si>
    <t>Basic Labels 432</t>
  </si>
  <si>
    <t>ORD-2025-10250</t>
  </si>
  <si>
    <t>08/02/2025</t>
  </si>
  <si>
    <t>CUST-2305</t>
  </si>
  <si>
    <t>Classic Furnishings 378</t>
  </si>
  <si>
    <t>ORD-2024-10251</t>
  </si>
  <si>
    <t>02/21/2024</t>
  </si>
  <si>
    <t>02/27/2024</t>
  </si>
  <si>
    <t>CUST-5351</t>
  </si>
  <si>
    <t>Prime Furnishings 781</t>
  </si>
  <si>
    <t>ORD-2025-10252</t>
  </si>
  <si>
    <t>2025-04-06</t>
  </si>
  <si>
    <t>CUST-6268</t>
  </si>
  <si>
    <t>Prime Tables 263</t>
  </si>
  <si>
    <t>ORD-2025-10253</t>
  </si>
  <si>
    <t>25-06-2025</t>
  </si>
  <si>
    <t>CUST-2103</t>
  </si>
  <si>
    <t>Basic Storage 269</t>
  </si>
  <si>
    <t>ORD-2024-10254</t>
  </si>
  <si>
    <t>2024-09-12</t>
  </si>
  <si>
    <t>09/13/2024</t>
  </si>
  <si>
    <t>CUST-5394</t>
  </si>
  <si>
    <t>Classic Phones 442</t>
  </si>
  <si>
    <t>ORD-2025-10255</t>
  </si>
  <si>
    <t>01/01/2025</t>
  </si>
  <si>
    <t>03-01-2025</t>
  </si>
  <si>
    <t>CUST-6853</t>
  </si>
  <si>
    <t>Elite Accessories 978</t>
  </si>
  <si>
    <t>ORD-2025-10256</t>
  </si>
  <si>
    <t>2025-02-04</t>
  </si>
  <si>
    <t>02/10/2025</t>
  </si>
  <si>
    <t>CUST-1549</t>
  </si>
  <si>
    <t>Eco Phones 132</t>
  </si>
  <si>
    <t>ORD-2024-10257</t>
  </si>
  <si>
    <t>2024-11-05</t>
  </si>
  <si>
    <t>CUST-8411</t>
  </si>
  <si>
    <t>Prime Tables 481</t>
  </si>
  <si>
    <t>ORD-2025-10258</t>
  </si>
  <si>
    <t>2025-08-09</t>
  </si>
  <si>
    <t>2025-08-12</t>
  </si>
  <si>
    <t>CUST-5615</t>
  </si>
  <si>
    <t>Smart Accessories 180</t>
  </si>
  <si>
    <t>ORD-2024-10259</t>
  </si>
  <si>
    <t>2025-01-04</t>
  </si>
  <si>
    <t>CUST-8467</t>
  </si>
  <si>
    <t>Smart Tables 774</t>
  </si>
  <si>
    <t>ORD-2024-10260</t>
  </si>
  <si>
    <t>06/21/2024</t>
  </si>
  <si>
    <t>29 Jun 2024</t>
  </si>
  <si>
    <t>CUST-5174</t>
  </si>
  <si>
    <t>Prime Machines 793</t>
  </si>
  <si>
    <t>ORD-2025-10261</t>
  </si>
  <si>
    <t>2025-09-23</t>
  </si>
  <si>
    <t>09/27/2025</t>
  </si>
  <si>
    <t>CUST-3543</t>
  </si>
  <si>
    <t>Elite Binders 827</t>
  </si>
  <si>
    <t>ORD-2025-10262</t>
  </si>
  <si>
    <t>06/18/2025</t>
  </si>
  <si>
    <t>06/24/2025</t>
  </si>
  <si>
    <t>CUST-7623</t>
  </si>
  <si>
    <t>Prime Labels 326</t>
  </si>
  <si>
    <t>ORD-2025-10263</t>
  </si>
  <si>
    <t>2025-05-26</t>
  </si>
  <si>
    <t>01 Jun 2025</t>
  </si>
  <si>
    <t>Eco Phones 245</t>
  </si>
  <si>
    <t>ORD-2025-10264</t>
  </si>
  <si>
    <t>06 Aug 2025</t>
  </si>
  <si>
    <t>CUST-8265</t>
  </si>
  <si>
    <t>Smart Binders 905</t>
  </si>
  <si>
    <t>ORD-2024-10265</t>
  </si>
  <si>
    <t>16-05-2024</t>
  </si>
  <si>
    <t>05/21/2024</t>
  </si>
  <si>
    <t>CUST-4750</t>
  </si>
  <si>
    <t>Pro Copiers 599</t>
  </si>
  <si>
    <t>ORD-2024-10266</t>
  </si>
  <si>
    <t>14 Nov 2024</t>
  </si>
  <si>
    <t>CUST-3974</t>
  </si>
  <si>
    <t>Basic Bookcases 570</t>
  </si>
  <si>
    <t>ORD-2025-10267</t>
  </si>
  <si>
    <t>2025-05-03</t>
  </si>
  <si>
    <t>2025-05-10</t>
  </si>
  <si>
    <t>CUST-7114</t>
  </si>
  <si>
    <t>Classic Storage 926</t>
  </si>
  <si>
    <t>ORD-2025-10268</t>
  </si>
  <si>
    <t>04-06-2025</t>
  </si>
  <si>
    <t>CUST-4431</t>
  </si>
  <si>
    <t>Basic Furnishings 372</t>
  </si>
  <si>
    <t>ORD-2025-10269</t>
  </si>
  <si>
    <t>08/17/2025</t>
  </si>
  <si>
    <t>CUST-1488</t>
  </si>
  <si>
    <t>Prime Accessories 367</t>
  </si>
  <si>
    <t>ORD-2025-10270</t>
  </si>
  <si>
    <t>02/12/2025</t>
  </si>
  <si>
    <t>CUST-1586</t>
  </si>
  <si>
    <t>Max Tables 526</t>
  </si>
  <si>
    <t>ORD-2024-10271</t>
  </si>
  <si>
    <t>CUST-2487</t>
  </si>
  <si>
    <t>Prime Machines 794</t>
  </si>
  <si>
    <t>ORD-2024-10272</t>
  </si>
  <si>
    <t>21 Dec 2024</t>
  </si>
  <si>
    <t>25 Dec 2024</t>
  </si>
  <si>
    <t>CUST-8009</t>
  </si>
  <si>
    <t>Max Binders 927</t>
  </si>
  <si>
    <t>ORD-2024-10273</t>
  </si>
  <si>
    <t>08/18/2024</t>
  </si>
  <si>
    <t>24 Aug 2024</t>
  </si>
  <si>
    <t>CUST-7389</t>
  </si>
  <si>
    <t>Eco Chairs 314</t>
  </si>
  <si>
    <t>ORD-2025-10274</t>
  </si>
  <si>
    <t>02/13/2025</t>
  </si>
  <si>
    <t>13 Feb 2025</t>
  </si>
  <si>
    <t>CUST-8249</t>
  </si>
  <si>
    <t>Basic Paper 657</t>
  </si>
  <si>
    <t>ORD-2024-10275</t>
  </si>
  <si>
    <t>07-04-2024</t>
  </si>
  <si>
    <t>14-04-2024</t>
  </si>
  <si>
    <t>CUST-4202</t>
  </si>
  <si>
    <t>Pro Copiers 406</t>
  </si>
  <si>
    <t>ORD-2024-10276</t>
  </si>
  <si>
    <t>02/22/2024</t>
  </si>
  <si>
    <t>CUST-2875</t>
  </si>
  <si>
    <t>Eco Furnishings 678</t>
  </si>
  <si>
    <t>ORD-2024-10277</t>
  </si>
  <si>
    <t>23-01-2024</t>
  </si>
  <si>
    <t>CUST-7039</t>
  </si>
  <si>
    <t>Basic Chairs 141</t>
  </si>
  <si>
    <t>ORD-2025-10278</t>
  </si>
  <si>
    <t>04 Jun 2025</t>
  </si>
  <si>
    <t>Elite Accessories 291</t>
  </si>
  <si>
    <t>ORD-2025-10279</t>
  </si>
  <si>
    <t>2025-03-14</t>
  </si>
  <si>
    <t>CUST-8242</t>
  </si>
  <si>
    <t>Pro Accessories 207</t>
  </si>
  <si>
    <t>ORD-2024-10280</t>
  </si>
  <si>
    <t>04/09/2024</t>
  </si>
  <si>
    <t>10 Apr 2024</t>
  </si>
  <si>
    <t>CUST-4571</t>
  </si>
  <si>
    <t>Max Storage 564</t>
  </si>
  <si>
    <t>ORD-2024-10281</t>
  </si>
  <si>
    <t>12/23/2024</t>
  </si>
  <si>
    <t>26-12-2024</t>
  </si>
  <si>
    <t>CUST-4098</t>
  </si>
  <si>
    <t>Prime Copiers 961</t>
  </si>
  <si>
    <t>ORD-2025-10282</t>
  </si>
  <si>
    <t>25-07-2025</t>
  </si>
  <si>
    <t>07/27/2025</t>
  </si>
  <si>
    <t>CUST-2052</t>
  </si>
  <si>
    <t>Basic Binders 637</t>
  </si>
  <si>
    <t>ORD-2024-10283</t>
  </si>
  <si>
    <t>2024-10-01</t>
  </si>
  <si>
    <t>10/02/2024</t>
  </si>
  <si>
    <t>CUST-9445</t>
  </si>
  <si>
    <t>Classic Tables 811</t>
  </si>
  <si>
    <t>ORD-2025-10284</t>
  </si>
  <si>
    <t>03/13/2025</t>
  </si>
  <si>
    <t>20-03-2025</t>
  </si>
  <si>
    <t>CUST-6568</t>
  </si>
  <si>
    <t>Classic Furnishings 819</t>
  </si>
  <si>
    <t>ORD-2024-10285</t>
  </si>
  <si>
    <t>12/08/2024</t>
  </si>
  <si>
    <t>12/14/2024</t>
  </si>
  <si>
    <t>CUST-2076</t>
  </si>
  <si>
    <t>Prime Tables 542</t>
  </si>
  <si>
    <t>ORD-2025-10286</t>
  </si>
  <si>
    <t>2025-08-15</t>
  </si>
  <si>
    <t>2025-08-20</t>
  </si>
  <si>
    <t>CUST-5610</t>
  </si>
  <si>
    <t>Basic Storage 771</t>
  </si>
  <si>
    <t>ORD-2024-10287</t>
  </si>
  <si>
    <t>28-02-2024</t>
  </si>
  <si>
    <t>03/02/2024</t>
  </si>
  <si>
    <t>CUST-5823</t>
  </si>
  <si>
    <t>Pro Furnishings 848</t>
  </si>
  <si>
    <t>ORD-2024-10288</t>
  </si>
  <si>
    <t>09/05/2024</t>
  </si>
  <si>
    <t>07-09-2024</t>
  </si>
  <si>
    <t>CUST-7095</t>
  </si>
  <si>
    <t>Prime Copiers 924</t>
  </si>
  <si>
    <t>ORD-2024-10289</t>
  </si>
  <si>
    <t>2024-06-24</t>
  </si>
  <si>
    <t>CUST-4805</t>
  </si>
  <si>
    <t>Classic Binders 721</t>
  </si>
  <si>
    <t>ORD-2025-10290</t>
  </si>
  <si>
    <t>CUST-9114</t>
  </si>
  <si>
    <t>Basic Bookcases 823</t>
  </si>
  <si>
    <t>ORD-2025-10291</t>
  </si>
  <si>
    <t>22 Aug 2025</t>
  </si>
  <si>
    <t>2025-08-26</t>
  </si>
  <si>
    <t>CUST-8557</t>
  </si>
  <si>
    <t>Classic Tables 178</t>
  </si>
  <si>
    <t>ORD-2024-10292</t>
  </si>
  <si>
    <t>04/05/2024</t>
  </si>
  <si>
    <t>2024-04-10</t>
  </si>
  <si>
    <t>CUST-2860</t>
  </si>
  <si>
    <t>Eco Binders 153</t>
  </si>
  <si>
    <t>ORD-2025-10293</t>
  </si>
  <si>
    <t>28 Feb 2025</t>
  </si>
  <si>
    <t>03-03-2025</t>
  </si>
  <si>
    <t>CUST-7837</t>
  </si>
  <si>
    <t>Classic Art 183</t>
  </si>
  <si>
    <t>ORD-2024-10294</t>
  </si>
  <si>
    <t>03/07/2024</t>
  </si>
  <si>
    <t>11-03-2024</t>
  </si>
  <si>
    <t>CUST-7010</t>
  </si>
  <si>
    <t>Pro Phones 455</t>
  </si>
  <si>
    <t>ORD-2025-10295</t>
  </si>
  <si>
    <t>16 Jul 2025</t>
  </si>
  <si>
    <t>07/22/2025</t>
  </si>
  <si>
    <t>CUST-4755</t>
  </si>
  <si>
    <t>Basic Phones 326</t>
  </si>
  <si>
    <t>ORD-2025-10296</t>
  </si>
  <si>
    <t>25 Jun 2025</t>
  </si>
  <si>
    <t>28 Jun 2025</t>
  </si>
  <si>
    <t>CUST-6778</t>
  </si>
  <si>
    <t>Max Binders 587</t>
  </si>
  <si>
    <t>ORD-2025-10297</t>
  </si>
  <si>
    <t>24 May 2025</t>
  </si>
  <si>
    <t>05/26/2025</t>
  </si>
  <si>
    <t>CUST-7629</t>
  </si>
  <si>
    <t>Basic Furnishings 617</t>
  </si>
  <si>
    <t>ORD-2024-10298</t>
  </si>
  <si>
    <t>2024-10-29</t>
  </si>
  <si>
    <t>06-11-2024</t>
  </si>
  <si>
    <t>CUST-6724</t>
  </si>
  <si>
    <t>Prime Copiers 669</t>
  </si>
  <si>
    <t>ORD-2025-10299</t>
  </si>
  <si>
    <t>23-01-2025</t>
  </si>
  <si>
    <t>2025-01-26</t>
  </si>
  <si>
    <t>CUST-2141</t>
  </si>
  <si>
    <t>Eco Copiers 894</t>
  </si>
  <si>
    <t>ORD-2024-10300</t>
  </si>
  <si>
    <t>2024-11-12</t>
  </si>
  <si>
    <t>CUST-7264</t>
  </si>
  <si>
    <t>Max Accessories 145</t>
  </si>
  <si>
    <t>ORD-2024-10301</t>
  </si>
  <si>
    <t>15-04-2024</t>
  </si>
  <si>
    <t>04/23/2024</t>
  </si>
  <si>
    <t>CUST-2668</t>
  </si>
  <si>
    <t>Classic Accessories 126</t>
  </si>
  <si>
    <t>ORD-2025-10302</t>
  </si>
  <si>
    <t>01-06-2025</t>
  </si>
  <si>
    <t>CUST-5599</t>
  </si>
  <si>
    <t>Elite Phones 202</t>
  </si>
  <si>
    <t>ORD-2025-10303</t>
  </si>
  <si>
    <t>2025-06-12</t>
  </si>
  <si>
    <t>CUST-1623</t>
  </si>
  <si>
    <t>Elite Storage 535</t>
  </si>
  <si>
    <t>ORD-2024-10304</t>
  </si>
  <si>
    <t>23 Jun 2024</t>
  </si>
  <si>
    <t>CUST-9035</t>
  </si>
  <si>
    <t>Elite Chairs 107</t>
  </si>
  <si>
    <t>ORD-2024-10305</t>
  </si>
  <si>
    <t>03/06/2024</t>
  </si>
  <si>
    <t>2024-03-13</t>
  </si>
  <si>
    <t>CUST-6286</t>
  </si>
  <si>
    <t>Pro Furnishings 991</t>
  </si>
  <si>
    <t>ORD-2024-10306</t>
  </si>
  <si>
    <t>01 May 2024</t>
  </si>
  <si>
    <t>CUST-7246</t>
  </si>
  <si>
    <t>Eco Chairs 105</t>
  </si>
  <si>
    <t>ORD-2025-10307</t>
  </si>
  <si>
    <t>20 Feb 2025</t>
  </si>
  <si>
    <t>CUST-2589</t>
  </si>
  <si>
    <t>Pro Phones 530</t>
  </si>
  <si>
    <t>ORD-2025-10308</t>
  </si>
  <si>
    <t>2025-07-12</t>
  </si>
  <si>
    <t>19 Jul 2025</t>
  </si>
  <si>
    <t>CUST-4153</t>
  </si>
  <si>
    <t>Basic Tables 911</t>
  </si>
  <si>
    <t>PENDING</t>
  </si>
  <si>
    <t>ORD-2025-10309</t>
  </si>
  <si>
    <t>2025-06-13</t>
  </si>
  <si>
    <t>2025-06-19</t>
  </si>
  <si>
    <t>CUST-6727</t>
  </si>
  <si>
    <t>Classic Tables 224</t>
  </si>
  <si>
    <t>ORD-2024-10310</t>
  </si>
  <si>
    <t>07/20/2024</t>
  </si>
  <si>
    <t>CUST-8860</t>
  </si>
  <si>
    <t>Prime Tables 214</t>
  </si>
  <si>
    <t>ORD-2024-10311</t>
  </si>
  <si>
    <t>04-07-2024</t>
  </si>
  <si>
    <t>08-07-2024</t>
  </si>
  <si>
    <t>CUST-3784</t>
  </si>
  <si>
    <t>Max Machines 988</t>
  </si>
  <si>
    <t>ORD-2024-10312</t>
  </si>
  <si>
    <t>27-04-2024</t>
  </si>
  <si>
    <t>CUST-3545</t>
  </si>
  <si>
    <t>Max Binders 425</t>
  </si>
  <si>
    <t>ORD-2024-10313</t>
  </si>
  <si>
    <t>07/31/2024</t>
  </si>
  <si>
    <t>CUST-4851</t>
  </si>
  <si>
    <t>Elite Phones 679</t>
  </si>
  <si>
    <t>ORD-2025-10314</t>
  </si>
  <si>
    <t>2025-05-30</t>
  </si>
  <si>
    <t>31-05-2025</t>
  </si>
  <si>
    <t>CUST-4770</t>
  </si>
  <si>
    <t>Pro Phones 764</t>
  </si>
  <si>
    <t>ORD-2025-10315</t>
  </si>
  <si>
    <t>CUST-1945</t>
  </si>
  <si>
    <t>Elite Labels 544</t>
  </si>
  <si>
    <t>ORD-2024-10316</t>
  </si>
  <si>
    <t>2024-07-02</t>
  </si>
  <si>
    <t>2024-07-08</t>
  </si>
  <si>
    <t>CUST-7565</t>
  </si>
  <si>
    <t>Smart Paper 817</t>
  </si>
  <si>
    <t>ORD-2024-10317</t>
  </si>
  <si>
    <t>16-02-2024</t>
  </si>
  <si>
    <t>02/18/2024</t>
  </si>
  <si>
    <t>CUST-9913</t>
  </si>
  <si>
    <t>Classic Labels 466</t>
  </si>
  <si>
    <t>ORD-2025-10318</t>
  </si>
  <si>
    <t>29-08-2025</t>
  </si>
  <si>
    <t>04 Sep 2025</t>
  </si>
  <si>
    <t>CUST-7992</t>
  </si>
  <si>
    <t>Pro Tables 778</t>
  </si>
  <si>
    <t>ORD-2024-10319</t>
  </si>
  <si>
    <t>25 Apr 2024</t>
  </si>
  <si>
    <t>30-04-2024</t>
  </si>
  <si>
    <t>CUST-8877</t>
  </si>
  <si>
    <t>Basic Phones 789</t>
  </si>
  <si>
    <t>ORD-2024-10320</t>
  </si>
  <si>
    <t>21 Aug 2024</t>
  </si>
  <si>
    <t>08/25/2024</t>
  </si>
  <si>
    <t>CUST-4589</t>
  </si>
  <si>
    <t>Prime Binders 554</t>
  </si>
  <si>
    <t>ORD-2024-10321</t>
  </si>
  <si>
    <t>12/04/2024</t>
  </si>
  <si>
    <t>12/06/2024</t>
  </si>
  <si>
    <t>CUST-4667</t>
  </si>
  <si>
    <t>Classic Art 299</t>
  </si>
  <si>
    <t>ORD-2024-10322</t>
  </si>
  <si>
    <t>06/23/2024</t>
  </si>
  <si>
    <t>30 Jun 2024</t>
  </si>
  <si>
    <t>CUST-7821</t>
  </si>
  <si>
    <t>Eco Accessories 220</t>
  </si>
  <si>
    <t>ORD-2024-10323</t>
  </si>
  <si>
    <t>12-11-2024</t>
  </si>
  <si>
    <t>CUST-8579</t>
  </si>
  <si>
    <t>Max Phones 422</t>
  </si>
  <si>
    <t>ORD-2024-10324</t>
  </si>
  <si>
    <t>25-02-2024</t>
  </si>
  <si>
    <t>29 Feb 2024</t>
  </si>
  <si>
    <t>CUST-6909</t>
  </si>
  <si>
    <t>ORD-2025-10325</t>
  </si>
  <si>
    <t>31 Jul 2025</t>
  </si>
  <si>
    <t>CUST-7212</t>
  </si>
  <si>
    <t>Basic Labels 102</t>
  </si>
  <si>
    <t>ORD-2025-10326</t>
  </si>
  <si>
    <t>09/16/2025</t>
  </si>
  <si>
    <t>2025-09-22</t>
  </si>
  <si>
    <t>CUST-7980</t>
  </si>
  <si>
    <t>Prime Copiers 170</t>
  </si>
  <si>
    <t>ORD-2025-10327</t>
  </si>
  <si>
    <t>2025-07-22</t>
  </si>
  <si>
    <t>CUST-1966</t>
  </si>
  <si>
    <t>Smart Furnishings 533</t>
  </si>
  <si>
    <t>ORD-2024-10328</t>
  </si>
  <si>
    <t>2024-07-24</t>
  </si>
  <si>
    <t>CUST-6163</t>
  </si>
  <si>
    <t>Classic Accessories 489</t>
  </si>
  <si>
    <t>ORD-2025-10329</t>
  </si>
  <si>
    <t>2025-05-29</t>
  </si>
  <si>
    <t>CUST-7239</t>
  </si>
  <si>
    <t>Smart Storage 439</t>
  </si>
  <si>
    <t>ORD-2025-10330</t>
  </si>
  <si>
    <t>12 May 2025</t>
  </si>
  <si>
    <t>2025-05-18</t>
  </si>
  <si>
    <t>CUST-9718</t>
  </si>
  <si>
    <t>Prime Storage 232</t>
  </si>
  <si>
    <t>ORD-2024-10331</t>
  </si>
  <si>
    <t>CUST-1116</t>
  </si>
  <si>
    <t>Prime Accessories 335</t>
  </si>
  <si>
    <t>ORD-2024-10332</t>
  </si>
  <si>
    <t>2024-12-06</t>
  </si>
  <si>
    <t>CUST-9346</t>
  </si>
  <si>
    <t>Smart Binders 939</t>
  </si>
  <si>
    <t>ORD-2025-10333</t>
  </si>
  <si>
    <t>27 May 2025</t>
  </si>
  <si>
    <t>2025-05-28</t>
  </si>
  <si>
    <t>CUST-5332</t>
  </si>
  <si>
    <t>machines</t>
  </si>
  <si>
    <t>Basic Machines 601</t>
  </si>
  <si>
    <t>ORD-2025-10334</t>
  </si>
  <si>
    <t>22 Jun 2025</t>
  </si>
  <si>
    <t>2025-06-27</t>
  </si>
  <si>
    <t>CUST-8081</t>
  </si>
  <si>
    <t>Pro Phones 968</t>
  </si>
  <si>
    <t>ORD-2024-10335</t>
  </si>
  <si>
    <t>12 Sep 2024</t>
  </si>
  <si>
    <t>17-09-2024</t>
  </si>
  <si>
    <t>CUST-3062</t>
  </si>
  <si>
    <t>Pro Storage 563</t>
  </si>
  <si>
    <t>ORD-2025-10336</t>
  </si>
  <si>
    <t>06/16/2025</t>
  </si>
  <si>
    <t>18 Jun 2025</t>
  </si>
  <si>
    <t>CUST-3621</t>
  </si>
  <si>
    <t>Prime Paper 559</t>
  </si>
  <si>
    <t>ORD-2024-10337</t>
  </si>
  <si>
    <t>03/21/2024</t>
  </si>
  <si>
    <t>Pro Copiers 999</t>
  </si>
  <si>
    <t>ORD-2024-10338</t>
  </si>
  <si>
    <t>12 Aug 2024</t>
  </si>
  <si>
    <t>18 Aug 2024</t>
  </si>
  <si>
    <t>CUST-4599</t>
  </si>
  <si>
    <t>Classic Labels 206</t>
  </si>
  <si>
    <t>ORD-2024-10339</t>
  </si>
  <si>
    <t>08-12-2024</t>
  </si>
  <si>
    <t>CUST-3066</t>
  </si>
  <si>
    <t>Eco Accessories 315</t>
  </si>
  <si>
    <t>ORD-2025-10340</t>
  </si>
  <si>
    <t>22-02-2025</t>
  </si>
  <si>
    <t>CUST-2752</t>
  </si>
  <si>
    <t>Elite Bookcases 988</t>
  </si>
  <si>
    <t>ORD-2024-10341</t>
  </si>
  <si>
    <t>21 Jan 2024</t>
  </si>
  <si>
    <t>01/29/2024</t>
  </si>
  <si>
    <t>CUST-6291</t>
  </si>
  <si>
    <t>Smart Binders 414</t>
  </si>
  <si>
    <t>ORD-2025-10342</t>
  </si>
  <si>
    <t>08 Sep 2025</t>
  </si>
  <si>
    <t>2025-09-09</t>
  </si>
  <si>
    <t>CUST-9969</t>
  </si>
  <si>
    <t>Eco Chairs 552</t>
  </si>
  <si>
    <t>ORD-2025-10343</t>
  </si>
  <si>
    <t>24-07-2025</t>
  </si>
  <si>
    <t>01-08-2025</t>
  </si>
  <si>
    <t>CUST-3335</t>
  </si>
  <si>
    <t>Smart Binders 574</t>
  </si>
  <si>
    <t>ORD-2025-10344</t>
  </si>
  <si>
    <t>10/03/2025</t>
  </si>
  <si>
    <t>CUST-7358</t>
  </si>
  <si>
    <t>Pro Machines 444</t>
  </si>
  <si>
    <t>ORD-2024-10345</t>
  </si>
  <si>
    <t>CUST-8025</t>
  </si>
  <si>
    <t>Elite Bookcases 184</t>
  </si>
  <si>
    <t>ORD-2024-10346</t>
  </si>
  <si>
    <t>2024-09-14</t>
  </si>
  <si>
    <t>2024-09-22</t>
  </si>
  <si>
    <t>CUST-4634</t>
  </si>
  <si>
    <t>Elite Furnishings 138</t>
  </si>
  <si>
    <t>ORD-2025-10347</t>
  </si>
  <si>
    <t>28-07-2025</t>
  </si>
  <si>
    <t>CUST-3400</t>
  </si>
  <si>
    <t>Eco Chairs 369</t>
  </si>
  <si>
    <t>ORD-2024-10348</t>
  </si>
  <si>
    <t>01-12-2024</t>
  </si>
  <si>
    <t>CUST-1172</t>
  </si>
  <si>
    <t>Max Chairs 487</t>
  </si>
  <si>
    <t>ORD-2024-10349</t>
  </si>
  <si>
    <t>06/07/2024</t>
  </si>
  <si>
    <t>CUST-9517</t>
  </si>
  <si>
    <t>Classic Phones 989</t>
  </si>
  <si>
    <t>ORD-2025-10350</t>
  </si>
  <si>
    <t>27-09-2025</t>
  </si>
  <si>
    <t>CUST-6697</t>
  </si>
  <si>
    <t>Max Furnishings 628</t>
  </si>
  <si>
    <t>ORD-2024-10351</t>
  </si>
  <si>
    <t>07-01-2024</t>
  </si>
  <si>
    <t>14 Jan 2024</t>
  </si>
  <si>
    <t>CUST-7644</t>
  </si>
  <si>
    <t>Elite Furnishings 279</t>
  </si>
  <si>
    <t>ORD-2025-10352</t>
  </si>
  <si>
    <t>23-05-2025</t>
  </si>
  <si>
    <t>CUST-9963</t>
  </si>
  <si>
    <t>Pro Storage 847</t>
  </si>
  <si>
    <t>ORD-2025-10353</t>
  </si>
  <si>
    <t>15 Aug 2025</t>
  </si>
  <si>
    <t>CUST-6382</t>
  </si>
  <si>
    <t>Elite Copiers 706</t>
  </si>
  <si>
    <t>ORD-2025-10354</t>
  </si>
  <si>
    <t>21-02-2025</t>
  </si>
  <si>
    <t>CUST-3253</t>
  </si>
  <si>
    <t>Prime Art 978</t>
  </si>
  <si>
    <t>ORD-2024-10355</t>
  </si>
  <si>
    <t>2024-12-31</t>
  </si>
  <si>
    <t>CUST-1058</t>
  </si>
  <si>
    <t>corporate</t>
  </si>
  <si>
    <t>Classic Furnishings 498</t>
  </si>
  <si>
    <t>ORD-2024-10356</t>
  </si>
  <si>
    <t>12-05-2024</t>
  </si>
  <si>
    <t>2024-05-09</t>
  </si>
  <si>
    <t>CUST-6414</t>
  </si>
  <si>
    <t>Max Tables 829</t>
  </si>
  <si>
    <t>ORD-2025-10357</t>
  </si>
  <si>
    <t>27 Jun 2025</t>
  </si>
  <si>
    <t>29 Jun 2025</t>
  </si>
  <si>
    <t>CUST-9268</t>
  </si>
  <si>
    <t>Eco Chairs 346</t>
  </si>
  <si>
    <t>ORD-2025-10358</t>
  </si>
  <si>
    <t>01/29/2025</t>
  </si>
  <si>
    <t>CUST-1363</t>
  </si>
  <si>
    <t>Max Machines 770</t>
  </si>
  <si>
    <t>ORD-2025-10359</t>
  </si>
  <si>
    <t>08/09/2025</t>
  </si>
  <si>
    <t>2025-08-07</t>
  </si>
  <si>
    <t>CUST-2477</t>
  </si>
  <si>
    <t>Smart Bookcases 134</t>
  </si>
  <si>
    <t>ORD-2024-10360</t>
  </si>
  <si>
    <t>22-08-2024</t>
  </si>
  <si>
    <t>CUST-9571</t>
  </si>
  <si>
    <t>Classic Phones 586</t>
  </si>
  <si>
    <t>ORD-2024-10361</t>
  </si>
  <si>
    <t>17 Jun 2024</t>
  </si>
  <si>
    <t>2024-06-20</t>
  </si>
  <si>
    <t>CUST-3690</t>
  </si>
  <si>
    <t>Elite Furnishings 634</t>
  </si>
  <si>
    <t>ORD-2025-10362</t>
  </si>
  <si>
    <t>2025-04-02</t>
  </si>
  <si>
    <t>CUST-2909</t>
  </si>
  <si>
    <t>Basic Chairs 113</t>
  </si>
  <si>
    <t>ORD-2024-10363</t>
  </si>
  <si>
    <t>23 Aug 2024</t>
  </si>
  <si>
    <t>25-08-2024</t>
  </si>
  <si>
    <t>CUST-6755</t>
  </si>
  <si>
    <t>Elite Machines 216</t>
  </si>
  <si>
    <t>ORD-2025-10364</t>
  </si>
  <si>
    <t>07/07/2025</t>
  </si>
  <si>
    <t>07/12/2025</t>
  </si>
  <si>
    <t>CUST-1832</t>
  </si>
  <si>
    <t>Smart Tables 943</t>
  </si>
  <si>
    <t>ORD-2025-10365</t>
  </si>
  <si>
    <t>03/21/2025</t>
  </si>
  <si>
    <t>2025-03-24</t>
  </si>
  <si>
    <t>CUST-4452</t>
  </si>
  <si>
    <t>Prime Chairs 101</t>
  </si>
  <si>
    <t>ORD-2024-10366</t>
  </si>
  <si>
    <t>15-06-2024</t>
  </si>
  <si>
    <t>21-06-2024</t>
  </si>
  <si>
    <t>CUST-2203</t>
  </si>
  <si>
    <t>Basic Accessories 774</t>
  </si>
  <si>
    <t>ORD-2025-10367</t>
  </si>
  <si>
    <t>2025-01-16</t>
  </si>
  <si>
    <t>2025-01-22</t>
  </si>
  <si>
    <t>CUST-5397</t>
  </si>
  <si>
    <t>Max Tables 478</t>
  </si>
  <si>
    <t>ORD-2024-10368</t>
  </si>
  <si>
    <t>03/16/2024</t>
  </si>
  <si>
    <t>CUST-4696</t>
  </si>
  <si>
    <t>Eco Art 646</t>
  </si>
  <si>
    <t>ORD-2025-10369</t>
  </si>
  <si>
    <t>CUST-8246</t>
  </si>
  <si>
    <t>Prime Accessories 962</t>
  </si>
  <si>
    <t>ORD-2025-10370</t>
  </si>
  <si>
    <t>CUST-5672</t>
  </si>
  <si>
    <t>Eco Labels 646</t>
  </si>
  <si>
    <t>ORD-2024-10371</t>
  </si>
  <si>
    <t>08/15/2024</t>
  </si>
  <si>
    <t>CUST-8521</t>
  </si>
  <si>
    <t>Classic Copiers 505</t>
  </si>
  <si>
    <t>ORD-2024-10372</t>
  </si>
  <si>
    <t>2024-01-24</t>
  </si>
  <si>
    <t>CUST-2204</t>
  </si>
  <si>
    <t>Pro Art 906</t>
  </si>
  <si>
    <t>ORD-2025-10373</t>
  </si>
  <si>
    <t>2025-08-16</t>
  </si>
  <si>
    <t>Max Chairs 181</t>
  </si>
  <si>
    <t>ORD-2025-10374</t>
  </si>
  <si>
    <t>2025-04-13</t>
  </si>
  <si>
    <t>CUST-8566</t>
  </si>
  <si>
    <t>Prime Storage 951</t>
  </si>
  <si>
    <t>ORD-2025-10375</t>
  </si>
  <si>
    <t>2025-02-27</t>
  </si>
  <si>
    <t>28-02-2025</t>
  </si>
  <si>
    <t>CUST-2358</t>
  </si>
  <si>
    <t>Smart Labels 668</t>
  </si>
  <si>
    <t>ORD-2024-10376</t>
  </si>
  <si>
    <t>31-12-2024</t>
  </si>
  <si>
    <t>04 Jan 2025</t>
  </si>
  <si>
    <t>CUST-2810</t>
  </si>
  <si>
    <t>Pro Chairs 364</t>
  </si>
  <si>
    <t>ORD-2024-10377</t>
  </si>
  <si>
    <t>29-12-2024</t>
  </si>
  <si>
    <t>CUST-5166</t>
  </si>
  <si>
    <t>Basic Chairs 248</t>
  </si>
  <si>
    <t>ORD-2025-10378</t>
  </si>
  <si>
    <t>30-05-2025</t>
  </si>
  <si>
    <t>CUST-4875</t>
  </si>
  <si>
    <t>storage</t>
  </si>
  <si>
    <t>Basic Storage 360</t>
  </si>
  <si>
    <t>ORD-2025-10379</t>
  </si>
  <si>
    <t>22-05-2025</t>
  </si>
  <si>
    <t>CUST-3154</t>
  </si>
  <si>
    <t>Basic Accessories 988</t>
  </si>
  <si>
    <t>ORD-2024-10380</t>
  </si>
  <si>
    <t>09/19/2024</t>
  </si>
  <si>
    <t>23 Sep 2024</t>
  </si>
  <si>
    <t>CUST-6405</t>
  </si>
  <si>
    <t>Max Paper 334</t>
  </si>
  <si>
    <t>ORD-2024-10381</t>
  </si>
  <si>
    <t>07 Apr 2024</t>
  </si>
  <si>
    <t>CUST-5779</t>
  </si>
  <si>
    <t>Prime Bookcases 952</t>
  </si>
  <si>
    <t>ORD-2025-10382</t>
  </si>
  <si>
    <t>2025-09-19</t>
  </si>
  <si>
    <t>23-09-2025</t>
  </si>
  <si>
    <t>CUST-9943</t>
  </si>
  <si>
    <t>HOME OFFICE</t>
  </si>
  <si>
    <t>Prime Binders 523</t>
  </si>
  <si>
    <t>ORD-2025-10383</t>
  </si>
  <si>
    <t>04 Mar 2025</t>
  </si>
  <si>
    <t>TECHNOLOGY</t>
  </si>
  <si>
    <t>Pro Phones 538</t>
  </si>
  <si>
    <t>ORD-2025-10384</t>
  </si>
  <si>
    <t>CUST-7438</t>
  </si>
  <si>
    <t>Basic Art 608</t>
  </si>
  <si>
    <t>ORD-2024-10385</t>
  </si>
  <si>
    <t>15-03-2024</t>
  </si>
  <si>
    <t>2024-03-20</t>
  </si>
  <si>
    <t>CUST-8432</t>
  </si>
  <si>
    <t>Prime Copiers 820</t>
  </si>
  <si>
    <t>ORD-2025-10386</t>
  </si>
  <si>
    <t>30 Jun 2025</t>
  </si>
  <si>
    <t>CUST-2834</t>
  </si>
  <si>
    <t>Classic Labels 670</t>
  </si>
  <si>
    <t>ORD-2025-10387</t>
  </si>
  <si>
    <t>14-02-2025</t>
  </si>
  <si>
    <t>CUST-4222</t>
  </si>
  <si>
    <t>Prime Furnishings 597</t>
  </si>
  <si>
    <t>ORD-2025-10388</t>
  </si>
  <si>
    <t>CUST-1053</t>
  </si>
  <si>
    <t>Prime Chairs 196</t>
  </si>
  <si>
    <t>ORD-2024-10389</t>
  </si>
  <si>
    <t>2024-05-13</t>
  </si>
  <si>
    <t>18 May 2024</t>
  </si>
  <si>
    <t>CUST-1457</t>
  </si>
  <si>
    <t>Elite Chairs 639</t>
  </si>
  <si>
    <t>ORD-2024-10390</t>
  </si>
  <si>
    <t>05 Apr 2024</t>
  </si>
  <si>
    <t>CUST-3930</t>
  </si>
  <si>
    <t>Elite Machines 563</t>
  </si>
  <si>
    <t>ORD-2024-10391</t>
  </si>
  <si>
    <t>06 Nov 2024</t>
  </si>
  <si>
    <t>CUST-7853</t>
  </si>
  <si>
    <t>Pro Furnishings 281</t>
  </si>
  <si>
    <t>ORD-2025-10392</t>
  </si>
  <si>
    <t>14 Feb 2025</t>
  </si>
  <si>
    <t>CUST-2267</t>
  </si>
  <si>
    <t>Eco Storage 285</t>
  </si>
  <si>
    <t>ORD-2024-10393</t>
  </si>
  <si>
    <t>02/19/2024</t>
  </si>
  <si>
    <t>22 Feb 2024</t>
  </si>
  <si>
    <t>CUST-6866</t>
  </si>
  <si>
    <t>Classic Furnishings 746</t>
  </si>
  <si>
    <t>ORD-2024-10394</t>
  </si>
  <si>
    <t>2024-08-23</t>
  </si>
  <si>
    <t>08/29/2024</t>
  </si>
  <si>
    <t>CUST-3160</t>
  </si>
  <si>
    <t>Eco Labels 815</t>
  </si>
  <si>
    <t>ORD-2024-10395</t>
  </si>
  <si>
    <t>03-04-2024</t>
  </si>
  <si>
    <t>04 Apr 2024</t>
  </si>
  <si>
    <t>CUST-8444</t>
  </si>
  <si>
    <t>Prime Furnishings 879</t>
  </si>
  <si>
    <t>ORD-2024-10396</t>
  </si>
  <si>
    <t>CUST-4765</t>
  </si>
  <si>
    <t>Pro Tables 142</t>
  </si>
  <si>
    <t>ORD-2025-10397</t>
  </si>
  <si>
    <t>2025-04-14</t>
  </si>
  <si>
    <t>22 Apr 2025</t>
  </si>
  <si>
    <t>CUST-2280</t>
  </si>
  <si>
    <t>Prime Machines 267</t>
  </si>
  <si>
    <t>ORD-2025-10398</t>
  </si>
  <si>
    <t>09 Jun 2025</t>
  </si>
  <si>
    <t>10 Jun 2025</t>
  </si>
  <si>
    <t>CUST-3177</t>
  </si>
  <si>
    <t>Eco Tables 378</t>
  </si>
  <si>
    <t>ORD-2024-10399</t>
  </si>
  <si>
    <t>19 Jul 2024</t>
  </si>
  <si>
    <t>2024-07-26</t>
  </si>
  <si>
    <t>CUST-4718</t>
  </si>
  <si>
    <t>Elite Machines 523</t>
  </si>
  <si>
    <t>ORD-2025-10400</t>
  </si>
  <si>
    <t>04/24/2025</t>
  </si>
  <si>
    <t>2025-04-29</t>
  </si>
  <si>
    <t>CUST-5647</t>
  </si>
  <si>
    <t>Elite Paper 308</t>
  </si>
  <si>
    <t>ORD-2025-10401</t>
  </si>
  <si>
    <t>06-06-2025</t>
  </si>
  <si>
    <t>2025-06-11</t>
  </si>
  <si>
    <t>CUST-7150</t>
  </si>
  <si>
    <t>Prime Paper 851</t>
  </si>
  <si>
    <t>ORD-2025-10402</t>
  </si>
  <si>
    <t>09 Mar 2025</t>
  </si>
  <si>
    <t>16-03-2025</t>
  </si>
  <si>
    <t>CUST-6694</t>
  </si>
  <si>
    <t>Classic Tables 151</t>
  </si>
  <si>
    <t>ORD-2024-10403</t>
  </si>
  <si>
    <t>22 Mar 2024</t>
  </si>
  <si>
    <t>03/22/2024</t>
  </si>
  <si>
    <t>CUST-7680</t>
  </si>
  <si>
    <t>Smart Tables 829</t>
  </si>
  <si>
    <t>ORD-2024-10404</t>
  </si>
  <si>
    <t>09/30/2024</t>
  </si>
  <si>
    <t>04-10-2024</t>
  </si>
  <si>
    <t>CUST-2700</t>
  </si>
  <si>
    <t>PAPER</t>
  </si>
  <si>
    <t>Classic Paper 237</t>
  </si>
  <si>
    <t>ORD-2024-10405</t>
  </si>
  <si>
    <t>27 Jan 2024</t>
  </si>
  <si>
    <t>02/03/2024</t>
  </si>
  <si>
    <t>CUST-2904</t>
  </si>
  <si>
    <t>Prime Chairs 891</t>
  </si>
  <si>
    <t>ORD-2024-10406</t>
  </si>
  <si>
    <t>09/23/2024</t>
  </si>
  <si>
    <t>24 Sep 2024</t>
  </si>
  <si>
    <t>CUST-9961</t>
  </si>
  <si>
    <t>Max Bookcases 812</t>
  </si>
  <si>
    <t>ORD-2025-10407</t>
  </si>
  <si>
    <t>25 Feb 2025</t>
  </si>
  <si>
    <t>CUST-9909</t>
  </si>
  <si>
    <t>Basic Furnishings 164</t>
  </si>
  <si>
    <t>ORD-2024-10408</t>
  </si>
  <si>
    <t>12 May 2024</t>
  </si>
  <si>
    <t>13 May 2024</t>
  </si>
  <si>
    <t>CUST-8520</t>
  </si>
  <si>
    <t>Smart Labels 261</t>
  </si>
  <si>
    <t>ORD-2025-10409</t>
  </si>
  <si>
    <t>CUST-5036</t>
  </si>
  <si>
    <t>Max Chairs 765</t>
  </si>
  <si>
    <t>ORD-2025-10410</t>
  </si>
  <si>
    <t>CUST-7721</t>
  </si>
  <si>
    <t>Pro Accessories 686</t>
  </si>
  <si>
    <t>ORD-2024-10411</t>
  </si>
  <si>
    <t>2024-04-12</t>
  </si>
  <si>
    <t>20 Apr 2024</t>
  </si>
  <si>
    <t>CUST-9495</t>
  </si>
  <si>
    <t>Smart Tables 100</t>
  </si>
  <si>
    <t>ORD-2025-10412</t>
  </si>
  <si>
    <t>2025-08-23</t>
  </si>
  <si>
    <t>2025-08-28</t>
  </si>
  <si>
    <t>CUST-2855</t>
  </si>
  <si>
    <t>Basic Tables 615</t>
  </si>
  <si>
    <t>ORD-2024-10413</t>
  </si>
  <si>
    <t>2024-01-22</t>
  </si>
  <si>
    <t>CUST-4329</t>
  </si>
  <si>
    <t>Basic Chairs 790</t>
  </si>
  <si>
    <t>ORD-2025-10414</t>
  </si>
  <si>
    <t>17-08-2025</t>
  </si>
  <si>
    <t>CUST-5094</t>
  </si>
  <si>
    <t>Smart Accessories 226</t>
  </si>
  <si>
    <t>ORD-2024-10415</t>
  </si>
  <si>
    <t>2024-08-29</t>
  </si>
  <si>
    <t>08/30/2024</t>
  </si>
  <si>
    <t>CUST-4194</t>
  </si>
  <si>
    <t>Max Storage 692</t>
  </si>
  <si>
    <t>ORD-2024-10416</t>
  </si>
  <si>
    <t>01/25/2024</t>
  </si>
  <si>
    <t>CUST-7087</t>
  </si>
  <si>
    <t>Basic Storage 684</t>
  </si>
  <si>
    <t>ORD-2025-10417</t>
  </si>
  <si>
    <t>2025-01-08</t>
  </si>
  <si>
    <t>16-01-2025</t>
  </si>
  <si>
    <t>CUST-7608</t>
  </si>
  <si>
    <t>Smart Furnishings 152</t>
  </si>
  <si>
    <t>ORD-2025-10418</t>
  </si>
  <si>
    <t>02/05/2025</t>
  </si>
  <si>
    <t>CUST-5269</t>
  </si>
  <si>
    <t>Max Art 736</t>
  </si>
  <si>
    <t>ORD-2024-10419</t>
  </si>
  <si>
    <t>11/09/2024</t>
  </si>
  <si>
    <t>11/17/2024</t>
  </si>
  <si>
    <t>CUST-7925</t>
  </si>
  <si>
    <t>Elite Copiers 971</t>
  </si>
  <si>
    <t>ORD-2025-10420</t>
  </si>
  <si>
    <t>26-09-2025</t>
  </si>
  <si>
    <t>09/30/2025</t>
  </si>
  <si>
    <t>CUST-6552</t>
  </si>
  <si>
    <t>Classic Phones 940</t>
  </si>
  <si>
    <t>ORD-2025-10421</t>
  </si>
  <si>
    <t>2025-03-19</t>
  </si>
  <si>
    <t>CUST-7131</t>
  </si>
  <si>
    <t>Pro Machines 579</t>
  </si>
  <si>
    <t>ORD-2025-10422</t>
  </si>
  <si>
    <t>06/14/2025</t>
  </si>
  <si>
    <t>19 Jun 2025</t>
  </si>
  <si>
    <t>CUST-2779</t>
  </si>
  <si>
    <t>Elite Binders 943</t>
  </si>
  <si>
    <t>ORD-2025-10423</t>
  </si>
  <si>
    <t>09/03/2025</t>
  </si>
  <si>
    <t>06 Sep 2025</t>
  </si>
  <si>
    <t>CUST-6077</t>
  </si>
  <si>
    <t>Elite Copiers 474</t>
  </si>
  <si>
    <t>ORD-2024-10424</t>
  </si>
  <si>
    <t>2024-02-20</t>
  </si>
  <si>
    <t>27-02-2024</t>
  </si>
  <si>
    <t>CUST-6169</t>
  </si>
  <si>
    <t>Prime Accessories 236</t>
  </si>
  <si>
    <t>FIRST CLASS</t>
  </si>
  <si>
    <t>ORD-2024-10425</t>
  </si>
  <si>
    <t>06/26/2024</t>
  </si>
  <si>
    <t>2024-06-29</t>
  </si>
  <si>
    <t>CUST-8904</t>
  </si>
  <si>
    <t>Prime Phones 881</t>
  </si>
  <si>
    <t>ORD-2024-10426</t>
  </si>
  <si>
    <t>26-09-2024</t>
  </si>
  <si>
    <t>09/27/2024</t>
  </si>
  <si>
    <t>CUST-9586</t>
  </si>
  <si>
    <t>Pro Labels 903</t>
  </si>
  <si>
    <t>ORD-2024-10427</t>
  </si>
  <si>
    <t>30-06-2024</t>
  </si>
  <si>
    <t>01-07-2024</t>
  </si>
  <si>
    <t>CUST-5431</t>
  </si>
  <si>
    <t>Max Copiers 402</t>
  </si>
  <si>
    <t>ORD-2025-10428</t>
  </si>
  <si>
    <t>2025-04-22</t>
  </si>
  <si>
    <t>24-04-2025</t>
  </si>
  <si>
    <t>CUST-8843</t>
  </si>
  <si>
    <t>Prime Accessories 419</t>
  </si>
  <si>
    <t>ORD-2025-10429</t>
  </si>
  <si>
    <t>2025-03-15</t>
  </si>
  <si>
    <t>22 Mar 2025</t>
  </si>
  <si>
    <t>CUST-7626</t>
  </si>
  <si>
    <t>Elite Phones 488</t>
  </si>
  <si>
    <t>ORD-2025-10430</t>
  </si>
  <si>
    <t>01 Mar 2025</t>
  </si>
  <si>
    <t>08-03-2025</t>
  </si>
  <si>
    <t>CUST-8562</t>
  </si>
  <si>
    <t>Prime Copiers 109</t>
  </si>
  <si>
    <t>ORD-2024-10431</t>
  </si>
  <si>
    <t>30 Aug 2024</t>
  </si>
  <si>
    <t>02-09-2024</t>
  </si>
  <si>
    <t>CUST-2732</t>
  </si>
  <si>
    <t>Max Paper 576</t>
  </si>
  <si>
    <t>ORD-2024-10432</t>
  </si>
  <si>
    <t>10 Feb 2024</t>
  </si>
  <si>
    <t>02/13/2024</t>
  </si>
  <si>
    <t>CUST-3989</t>
  </si>
  <si>
    <t>Max Machines 412</t>
  </si>
  <si>
    <t>ORD-2024-10433</t>
  </si>
  <si>
    <t>CUST-3522</t>
  </si>
  <si>
    <t>Classic Bookcases 291</t>
  </si>
  <si>
    <t>ORD-2024-10434</t>
  </si>
  <si>
    <t>04/19/2024</t>
  </si>
  <si>
    <t>20-04-2024</t>
  </si>
  <si>
    <t>CUST-7066</t>
  </si>
  <si>
    <t>Elite Art 946</t>
  </si>
  <si>
    <t>ORD-2025-10435</t>
  </si>
  <si>
    <t>04/11/2025</t>
  </si>
  <si>
    <t>2025-04-15</t>
  </si>
  <si>
    <t>CUST-2351</t>
  </si>
  <si>
    <t>Eco Accessories 705</t>
  </si>
  <si>
    <t>ORD-2025-10436</t>
  </si>
  <si>
    <t>2025-04-12</t>
  </si>
  <si>
    <t>CUST-7291</t>
  </si>
  <si>
    <t>Max Machines 151</t>
  </si>
  <si>
    <t>ORD-2024-10437</t>
  </si>
  <si>
    <t>16 Jun 2024</t>
  </si>
  <si>
    <t>21 Jun 2024</t>
  </si>
  <si>
    <t>CUST-4492</t>
  </si>
  <si>
    <t>Max Furnishings 803</t>
  </si>
  <si>
    <t>ORD-2024-10438</t>
  </si>
  <si>
    <t>15-02-2024</t>
  </si>
  <si>
    <t>2024-02-18</t>
  </si>
  <si>
    <t>CUST-5029</t>
  </si>
  <si>
    <t>Max Accessories 423</t>
  </si>
  <si>
    <t>ORD-2025-10439</t>
  </si>
  <si>
    <t>05/05/2025</t>
  </si>
  <si>
    <t>CUST-7252</t>
  </si>
  <si>
    <t>Elite Phones 276</t>
  </si>
  <si>
    <t>ORD-2025-10440</t>
  </si>
  <si>
    <t>30-06-2025</t>
  </si>
  <si>
    <t>03 Jul 2025</t>
  </si>
  <si>
    <t>CUST-7346</t>
  </si>
  <si>
    <t>Smart Storage 287</t>
  </si>
  <si>
    <t>ORD-2024-10441</t>
  </si>
  <si>
    <t>04/02/2024</t>
  </si>
  <si>
    <t>04/08/2024</t>
  </si>
  <si>
    <t>Basic Machines 610</t>
  </si>
  <si>
    <t>ORD-2024-10442</t>
  </si>
  <si>
    <t>03-10-2024</t>
  </si>
  <si>
    <t>CUST-3975</t>
  </si>
  <si>
    <t>Elite Bookcases 393</t>
  </si>
  <si>
    <t>ORD-2025-10443</t>
  </si>
  <si>
    <t>12 Jan 2025</t>
  </si>
  <si>
    <t>2025-01-19</t>
  </si>
  <si>
    <t>CUST-6588</t>
  </si>
  <si>
    <t>Prime Tables 242</t>
  </si>
  <si>
    <t>ORD-2024-10444</t>
  </si>
  <si>
    <t>04-04-2024</t>
  </si>
  <si>
    <t>CUST-2207</t>
  </si>
  <si>
    <t>Basic Furnishings 563</t>
  </si>
  <si>
    <t>ORD-2025-10445</t>
  </si>
  <si>
    <t>12 Aug 2025</t>
  </si>
  <si>
    <t>CUST-4475</t>
  </si>
  <si>
    <t>Prime Accessories 482</t>
  </si>
  <si>
    <t>ORD-2024-10446</t>
  </si>
  <si>
    <t>05/09/2024</t>
  </si>
  <si>
    <t>05-05-2024</t>
  </si>
  <si>
    <t>CUST-1351</t>
  </si>
  <si>
    <t>Eco Bookcases 215</t>
  </si>
  <si>
    <t>ORD-2025-10447</t>
  </si>
  <si>
    <t>18-09-2025</t>
  </si>
  <si>
    <t>19-09-2025</t>
  </si>
  <si>
    <t>CUST-9295</t>
  </si>
  <si>
    <t>Eco Storage 793</t>
  </si>
  <si>
    <t>ORD-2025-10448</t>
  </si>
  <si>
    <t>10 Aug 2025</t>
  </si>
  <si>
    <t>CUST-3614</t>
  </si>
  <si>
    <t>Basic Bookcases 182</t>
  </si>
  <si>
    <t>ORD-2024-10449</t>
  </si>
  <si>
    <t>01/15/2024</t>
  </si>
  <si>
    <t>CUST-1932</t>
  </si>
  <si>
    <t>Prime Chairs 631</t>
  </si>
  <si>
    <t>ORD-2024-10450</t>
  </si>
  <si>
    <t>06-06-2024</t>
  </si>
  <si>
    <t>13 Jun 2024</t>
  </si>
  <si>
    <t>Basic Machines 808</t>
  </si>
  <si>
    <t>ORD-2025-10451</t>
  </si>
  <si>
    <t>06/12/2025</t>
  </si>
  <si>
    <t>CUST-8672</t>
  </si>
  <si>
    <t>Pro Chairs 302</t>
  </si>
  <si>
    <t>ORD-2024-10452</t>
  </si>
  <si>
    <t>24-03-2024</t>
  </si>
  <si>
    <t>26-03-2024</t>
  </si>
  <si>
    <t>CUST-3907</t>
  </si>
  <si>
    <t>Classic Paper 272</t>
  </si>
  <si>
    <t>ORD-2024-10453</t>
  </si>
  <si>
    <t>10-05-2024</t>
  </si>
  <si>
    <t>CUST-8796</t>
  </si>
  <si>
    <t>Smart Accessories 149</t>
  </si>
  <si>
    <t>ORD-2025-10454</t>
  </si>
  <si>
    <t>05/03/2025</t>
  </si>
  <si>
    <t>2025-05-11</t>
  </si>
  <si>
    <t>CUST-2317</t>
  </si>
  <si>
    <t>Elite Labels 322</t>
  </si>
  <si>
    <t>ORD-2025-10455</t>
  </si>
  <si>
    <t>2025-03-23</t>
  </si>
  <si>
    <t>28-03-2025</t>
  </si>
  <si>
    <t>CUST-8643</t>
  </si>
  <si>
    <t>Max Furnishings 821</t>
  </si>
  <si>
    <t>ORD-2024-10456</t>
  </si>
  <si>
    <t>18 Jul 2024</t>
  </si>
  <si>
    <t>22-07-2024</t>
  </si>
  <si>
    <t>CUST-1800</t>
  </si>
  <si>
    <t>Basic Art 556</t>
  </si>
  <si>
    <t>ORD-2024-10457</t>
  </si>
  <si>
    <t>CUST-7688</t>
  </si>
  <si>
    <t>Smart Accessories 265</t>
  </si>
  <si>
    <t>ORD-2024-10458</t>
  </si>
  <si>
    <t>05/04/2024</t>
  </si>
  <si>
    <t>2024-05-04</t>
  </si>
  <si>
    <t>CUST-4957</t>
  </si>
  <si>
    <t>Elite Tables 418</t>
  </si>
  <si>
    <t>ORD-2024-10459</t>
  </si>
  <si>
    <t>2024-02-10</t>
  </si>
  <si>
    <t>CUST-1263</t>
  </si>
  <si>
    <t>Pro Phones 907</t>
  </si>
  <si>
    <t>ORD-2024-10460</t>
  </si>
  <si>
    <t>03/28/2024</t>
  </si>
  <si>
    <t>CUST-4745</t>
  </si>
  <si>
    <t>Basic Paper 233</t>
  </si>
  <si>
    <t>ORD-2025-10461</t>
  </si>
  <si>
    <t>30 Sep 2025</t>
  </si>
  <si>
    <t>06 Oct 2025</t>
  </si>
  <si>
    <t>CUST-5551</t>
  </si>
  <si>
    <t>Eco Copiers 603</t>
  </si>
  <si>
    <t>ORD-2025-10462</t>
  </si>
  <si>
    <t>05/25/2025</t>
  </si>
  <si>
    <t>CUST-3659</t>
  </si>
  <si>
    <t>Max Paper 700</t>
  </si>
  <si>
    <t>ORD-2024-10463</t>
  </si>
  <si>
    <t>25-09-2024</t>
  </si>
  <si>
    <t>CUST-6594</t>
  </si>
  <si>
    <t>Pro Binders 404</t>
  </si>
  <si>
    <t>ORD-2025-10464</t>
  </si>
  <si>
    <t>2025-02-08</t>
  </si>
  <si>
    <t>CUST-2626</t>
  </si>
  <si>
    <t>Eco Phones 208</t>
  </si>
  <si>
    <t>ORD-2025-10465</t>
  </si>
  <si>
    <t>11-03-2025</t>
  </si>
  <si>
    <t>03/15/2025</t>
  </si>
  <si>
    <t>CUST-7362</t>
  </si>
  <si>
    <t>Elite Paper 106</t>
  </si>
  <si>
    <t>ORD-2024-10466</t>
  </si>
  <si>
    <t>29-01-2024</t>
  </si>
  <si>
    <t>2024-02-06</t>
  </si>
  <si>
    <t>CUST-1748</t>
  </si>
  <si>
    <t>Eco Labels 914</t>
  </si>
  <si>
    <t>ORD-2024-10467</t>
  </si>
  <si>
    <t>04-01-2024</t>
  </si>
  <si>
    <t>01/08/2024</t>
  </si>
  <si>
    <t>CUST-2725</t>
  </si>
  <si>
    <t>Max Accessories 486</t>
  </si>
  <si>
    <t>ORD-2024-10468</t>
  </si>
  <si>
    <t>20-08-2024</t>
  </si>
  <si>
    <t>CUST-9470</t>
  </si>
  <si>
    <t>Max Copiers 867</t>
  </si>
  <si>
    <t>ORD-2025-10469</t>
  </si>
  <si>
    <t>09 Jan 2025</t>
  </si>
  <si>
    <t>07 Jan 2025</t>
  </si>
  <si>
    <t>CUST-4176</t>
  </si>
  <si>
    <t>Pro Binders 555</t>
  </si>
  <si>
    <t>ORD-2024-10470</t>
  </si>
  <si>
    <t>2024-01-19</t>
  </si>
  <si>
    <t>CUST-3448</t>
  </si>
  <si>
    <t>Pro Copiers 971</t>
  </si>
  <si>
    <t>ORD-2024-10471</t>
  </si>
  <si>
    <t>28-07-2024</t>
  </si>
  <si>
    <t>CUST-4970</t>
  </si>
  <si>
    <t>Pro Tables 833</t>
  </si>
  <si>
    <t>ORD-2024-10472</t>
  </si>
  <si>
    <t>11-02-2024</t>
  </si>
  <si>
    <t>02/15/2024</t>
  </si>
  <si>
    <t>CUST-6147</t>
  </si>
  <si>
    <t>Prime Binders 497</t>
  </si>
  <si>
    <t>ORD-2024-10473</t>
  </si>
  <si>
    <t>02-03-2024</t>
  </si>
  <si>
    <t>CUST-7208</t>
  </si>
  <si>
    <t>Pro Storage 756</t>
  </si>
  <si>
    <t>ORD-2024-10474</t>
  </si>
  <si>
    <t>13-11-2024</t>
  </si>
  <si>
    <t>CUST-2794</t>
  </si>
  <si>
    <t>Max Copiers 829</t>
  </si>
  <si>
    <t>ORD-2024-10475</t>
  </si>
  <si>
    <t>2024-06-10</t>
  </si>
  <si>
    <t>CUST-6249</t>
  </si>
  <si>
    <t>Prime Furnishings 827</t>
  </si>
  <si>
    <t>ORD-2025-10476</t>
  </si>
  <si>
    <t>03/01/2025</t>
  </si>
  <si>
    <t>08 Mar 2025</t>
  </si>
  <si>
    <t>CUST-5712</t>
  </si>
  <si>
    <t>Eco Chairs 365</t>
  </si>
  <si>
    <t>ORD-2024-10477</t>
  </si>
  <si>
    <t>05/07/2024</t>
  </si>
  <si>
    <t>05/14/2024</t>
  </si>
  <si>
    <t>CUST-3004</t>
  </si>
  <si>
    <t>Classic Storage 545</t>
  </si>
  <si>
    <t>ORD-2025-10478</t>
  </si>
  <si>
    <t>08/23/2025</t>
  </si>
  <si>
    <t>28-08-2025</t>
  </si>
  <si>
    <t>CUST-6920</t>
  </si>
  <si>
    <t>Pro Chairs 186</t>
  </si>
  <si>
    <t>ORD-2024-10479</t>
  </si>
  <si>
    <t>06/09/2024</t>
  </si>
  <si>
    <t>2024-06-13</t>
  </si>
  <si>
    <t>CUST-4838</t>
  </si>
  <si>
    <t>Classic Machines 561</t>
  </si>
  <si>
    <t>ORD-2024-10480</t>
  </si>
  <si>
    <t>23 Feb 2024</t>
  </si>
  <si>
    <t>CUST-7520</t>
  </si>
  <si>
    <t>Max Chairs 594</t>
  </si>
  <si>
    <t>ORD-2025-10481</t>
  </si>
  <si>
    <t>CUST-9947</t>
  </si>
  <si>
    <t>Eco Storage 923</t>
  </si>
  <si>
    <t>ORD-2025-10482</t>
  </si>
  <si>
    <t>2025-06-05</t>
  </si>
  <si>
    <t>06/13/2025</t>
  </si>
  <si>
    <t>CUST-4403</t>
  </si>
  <si>
    <t>Classic Machines 287</t>
  </si>
  <si>
    <t>ORD-2024-10483</t>
  </si>
  <si>
    <t>CUST-3583</t>
  </si>
  <si>
    <t>Basic Accessories 518</t>
  </si>
  <si>
    <t>ORD-2024-10484</t>
  </si>
  <si>
    <t>25-12-2024</t>
  </si>
  <si>
    <t>CUST-9432</t>
  </si>
  <si>
    <t>Pro Copiers 984</t>
  </si>
  <si>
    <t>ORD-2024-10485</t>
  </si>
  <si>
    <t>2024-12-28</t>
  </si>
  <si>
    <t>12/31/2024</t>
  </si>
  <si>
    <t>CUST-1801</t>
  </si>
  <si>
    <t>Max Furnishings 297</t>
  </si>
  <si>
    <t>ORD-2025-10486</t>
  </si>
  <si>
    <t>CUST-1594</t>
  </si>
  <si>
    <t>Elite Bookcases 802</t>
  </si>
  <si>
    <t>ORD-2025-10487</t>
  </si>
  <si>
    <t>22-06-2025</t>
  </si>
  <si>
    <t>06/26/2025</t>
  </si>
  <si>
    <t>CUST-8132</t>
  </si>
  <si>
    <t>Pro Tables 257</t>
  </si>
  <si>
    <t>ORD-2025-10488</t>
  </si>
  <si>
    <t>06/17/2025</t>
  </si>
  <si>
    <t>CUST-7685</t>
  </si>
  <si>
    <t>Prime Furnishings 299</t>
  </si>
  <si>
    <t>ORD-2024-10489</t>
  </si>
  <si>
    <t>14 Oct 2024</t>
  </si>
  <si>
    <t>2024-10-20</t>
  </si>
  <si>
    <t>CUST-2183</t>
  </si>
  <si>
    <t>Eco Tables 487</t>
  </si>
  <si>
    <t>ORD-2024-10490</t>
  </si>
  <si>
    <t>2024-02-12</t>
  </si>
  <si>
    <t>CUST-1636</t>
  </si>
  <si>
    <t>Prime Accessories 960</t>
  </si>
  <si>
    <t>ORD-2024-10491</t>
  </si>
  <si>
    <t>2024-09-16</t>
  </si>
  <si>
    <t>CUST-1350</t>
  </si>
  <si>
    <t>Smart Binders 191</t>
  </si>
  <si>
    <t>ORD-2025-10492</t>
  </si>
  <si>
    <t>30-04-2025</t>
  </si>
  <si>
    <t>CUST-4101</t>
  </si>
  <si>
    <t>Prime Accessories 118</t>
  </si>
  <si>
    <t>ORD-2025-10493</t>
  </si>
  <si>
    <t>28-06-2025</t>
  </si>
  <si>
    <t>07/02/2025</t>
  </si>
  <si>
    <t>CUST-4679</t>
  </si>
  <si>
    <t>Elite Storage 331</t>
  </si>
  <si>
    <t>ORD-2025-10494</t>
  </si>
  <si>
    <t>2025-02-13</t>
  </si>
  <si>
    <t>CUST-3765</t>
  </si>
  <si>
    <t>Prime Paper 996</t>
  </si>
  <si>
    <t>COMPLETED</t>
  </si>
  <si>
    <t>ORD-2024-10495</t>
  </si>
  <si>
    <t>2024-11-14</t>
  </si>
  <si>
    <t>2024-11-22</t>
  </si>
  <si>
    <t>CUST-9056</t>
  </si>
  <si>
    <t>Smart Phones 125</t>
  </si>
  <si>
    <t>ORD-2024-10496</t>
  </si>
  <si>
    <t>05/15/2024</t>
  </si>
  <si>
    <t>CUST-9801</t>
  </si>
  <si>
    <t>Eco Phones 220</t>
  </si>
  <si>
    <t>ORD-2025-10497</t>
  </si>
  <si>
    <t>2025-07-04</t>
  </si>
  <si>
    <t>2025-07-06</t>
  </si>
  <si>
    <t>CUST-2038</t>
  </si>
  <si>
    <t>Eco Chairs 795</t>
  </si>
  <si>
    <t>ORD-2024-10498</t>
  </si>
  <si>
    <t>29 Aug 2024</t>
  </si>
  <si>
    <t>CUST-1567</t>
  </si>
  <si>
    <t>Smart Accessories 896</t>
  </si>
  <si>
    <t>ORD-2025-10499</t>
  </si>
  <si>
    <t>2025-09-07</t>
  </si>
  <si>
    <t>10 Sep 2025</t>
  </si>
  <si>
    <t>CUST-1190</t>
  </si>
  <si>
    <t>Basic Chairs 255</t>
  </si>
  <si>
    <t>cancelled</t>
  </si>
  <si>
    <t>ORD-2024-10500</t>
  </si>
  <si>
    <t>2024-12-22</t>
  </si>
  <si>
    <t>CUST-5604</t>
  </si>
  <si>
    <t>Eco Chairs 210</t>
  </si>
  <si>
    <t>ORD-2024-10501</t>
  </si>
  <si>
    <t>05/22/2024</t>
  </si>
  <si>
    <t>CUST-7661</t>
  </si>
  <si>
    <t>Prime Phones 533</t>
  </si>
  <si>
    <t>ORD-2024-10502</t>
  </si>
  <si>
    <t>11 Aug 2024</t>
  </si>
  <si>
    <t>08/17/2024</t>
  </si>
  <si>
    <t>Elite Art 325</t>
  </si>
  <si>
    <t>ORD-2024-10503</t>
  </si>
  <si>
    <t>04/01/2024</t>
  </si>
  <si>
    <t>2024-04-09</t>
  </si>
  <si>
    <t>CUST-1534</t>
  </si>
  <si>
    <t>Prime Copiers 557</t>
  </si>
  <si>
    <t>ORD-2024-10504</t>
  </si>
  <si>
    <t>2024-09-28</t>
  </si>
  <si>
    <t>2024-10-05</t>
  </si>
  <si>
    <t>CUST-7422</t>
  </si>
  <si>
    <t>Smart Phones 674</t>
  </si>
  <si>
    <t>ORD-2025-10505</t>
  </si>
  <si>
    <t>2025-02-12</t>
  </si>
  <si>
    <t>2025-02-17</t>
  </si>
  <si>
    <t>CUST-9693</t>
  </si>
  <si>
    <t>Elite Art 553</t>
  </si>
  <si>
    <t>ORD-2024-10506</t>
  </si>
  <si>
    <t>2024-11-09</t>
  </si>
  <si>
    <t>CUST-5458</t>
  </si>
  <si>
    <t>Classic Art 339</t>
  </si>
  <si>
    <t>ORD-2024-10507</t>
  </si>
  <si>
    <t>15-12-2024</t>
  </si>
  <si>
    <t>2024-12-15</t>
  </si>
  <si>
    <t>CUST-3011</t>
  </si>
  <si>
    <t>Smart Furnishings 352</t>
  </si>
  <si>
    <t>ORD-2025-10508</t>
  </si>
  <si>
    <t>CUST-1826</t>
  </si>
  <si>
    <t>Classic Binders 602</t>
  </si>
  <si>
    <t>ORD-2024-10509</t>
  </si>
  <si>
    <t>31 Mar 2024</t>
  </si>
  <si>
    <t>CUST-3333</t>
  </si>
  <si>
    <t>Smart Machines 853</t>
  </si>
  <si>
    <t>ORD-2025-10510</t>
  </si>
  <si>
    <t>2025-05-12</t>
  </si>
  <si>
    <t>05/14/2025</t>
  </si>
  <si>
    <t>CUST-7901</t>
  </si>
  <si>
    <t>Classic Machines 599</t>
  </si>
  <si>
    <t>ORD-2024-10511</t>
  </si>
  <si>
    <t>21-10-2024</t>
  </si>
  <si>
    <t>CUST-9759</t>
  </si>
  <si>
    <t>Aarav  Sharma</t>
  </si>
  <si>
    <t>Pro Storage 373</t>
  </si>
  <si>
    <t>ORD-2024-10512</t>
  </si>
  <si>
    <t>10/23/2024</t>
  </si>
  <si>
    <t>26 Oct 2024</t>
  </si>
  <si>
    <t>CUST-7232</t>
  </si>
  <si>
    <t>Smart Bookcases 920</t>
  </si>
  <si>
    <t>ORD-2025-10513</t>
  </si>
  <si>
    <t>2025-03-03</t>
  </si>
  <si>
    <t>Pro Labels 849</t>
  </si>
  <si>
    <t>ORD-2025-10514</t>
  </si>
  <si>
    <t>CUST-8993</t>
  </si>
  <si>
    <t>Prime Accessories 849</t>
  </si>
  <si>
    <t>ORD-2024-10515</t>
  </si>
  <si>
    <t>18 Nov 2024</t>
  </si>
  <si>
    <t>CUST-7729</t>
  </si>
  <si>
    <t>Smart Accessories 388</t>
  </si>
  <si>
    <t>ORD-2025-10516</t>
  </si>
  <si>
    <t>2025-04-11</t>
  </si>
  <si>
    <t>CUST-9986</t>
  </si>
  <si>
    <t>Classic Paper 752</t>
  </si>
  <si>
    <t>ORD-2024-10517</t>
  </si>
  <si>
    <t>09/28/2024</t>
  </si>
  <si>
    <t>04 Oct 2024</t>
  </si>
  <si>
    <t>CUST-2731</t>
  </si>
  <si>
    <t>Classic Copiers 143</t>
  </si>
  <si>
    <t>ORD-2025-10518</t>
  </si>
  <si>
    <t>2025-05-25</t>
  </si>
  <si>
    <t>CUST-4235</t>
  </si>
  <si>
    <t>Basic Furnishings 386</t>
  </si>
  <si>
    <t>ORD-2025-10519</t>
  </si>
  <si>
    <t>26 Apr 2025</t>
  </si>
  <si>
    <t>CUST-3377</t>
  </si>
  <si>
    <t>Classic Tables 592</t>
  </si>
  <si>
    <t>ORD-2025-10520</t>
  </si>
  <si>
    <t>2025-07-07</t>
  </si>
  <si>
    <t>CUST-3258</t>
  </si>
  <si>
    <t>Pro Tables 412</t>
  </si>
  <si>
    <t>ORD-2024-10521</t>
  </si>
  <si>
    <t>23 Jul 2024</t>
  </si>
  <si>
    <t>CUST-2155</t>
  </si>
  <si>
    <t>Prime Machines 393</t>
  </si>
  <si>
    <t>ORD-2025-10522</t>
  </si>
  <si>
    <t>2025-03-25</t>
  </si>
  <si>
    <t>2025-04-01</t>
  </si>
  <si>
    <t>CUST-8012</t>
  </si>
  <si>
    <t>Classic Labels 776</t>
  </si>
  <si>
    <t>ORD-2025-10523</t>
  </si>
  <si>
    <t>02/28/2025</t>
  </si>
  <si>
    <t>CUST-2917</t>
  </si>
  <si>
    <t>Max Phones 612</t>
  </si>
  <si>
    <t>ORD-2024-10524</t>
  </si>
  <si>
    <t>02-04-2024</t>
  </si>
  <si>
    <t>2024-04-03</t>
  </si>
  <si>
    <t>CUST-4653</t>
  </si>
  <si>
    <t>Basic Paper 315</t>
  </si>
  <si>
    <t>ORD-2024-10525</t>
  </si>
  <si>
    <t>30 Nov 2024</t>
  </si>
  <si>
    <t>01 Dec 2024</t>
  </si>
  <si>
    <t>CUST-3311</t>
  </si>
  <si>
    <t>Basic Chairs 333</t>
  </si>
  <si>
    <t>ORD-2024-10526</t>
  </si>
  <si>
    <t>10/17/2024</t>
  </si>
  <si>
    <t>2024-10-17</t>
  </si>
  <si>
    <t>CUST-2924</t>
  </si>
  <si>
    <t>Prime Chairs 215</t>
  </si>
  <si>
    <t>ORD-2025-10527</t>
  </si>
  <si>
    <t>2025-07-18</t>
  </si>
  <si>
    <t>21 Jul 2025</t>
  </si>
  <si>
    <t>CUST-7198</t>
  </si>
  <si>
    <t>Elite Tables 815</t>
  </si>
  <si>
    <t>ORD-2025-10528</t>
  </si>
  <si>
    <t>01-10-2025</t>
  </si>
  <si>
    <t>2025-10-05</t>
  </si>
  <si>
    <t>CUST-3419</t>
  </si>
  <si>
    <t>Basic Paper 388</t>
  </si>
  <si>
    <t>ORD-2024-10529</t>
  </si>
  <si>
    <t>2024-10-07</t>
  </si>
  <si>
    <t>09-10-2024</t>
  </si>
  <si>
    <t>CUST-2390</t>
  </si>
  <si>
    <t>Eco Binders 855</t>
  </si>
  <si>
    <t>ORD-2024-10530</t>
  </si>
  <si>
    <t>2024-02-08</t>
  </si>
  <si>
    <t>Classic Bookcases 947</t>
  </si>
  <si>
    <t>ORD-2025-10531</t>
  </si>
  <si>
    <t>05/30/2025</t>
  </si>
  <si>
    <t>2025-06-01</t>
  </si>
  <si>
    <t>CUST-8177</t>
  </si>
  <si>
    <t>Eco Binders 352</t>
  </si>
  <si>
    <t>ORD-2024-10532</t>
  </si>
  <si>
    <t>08-08-2024</t>
  </si>
  <si>
    <t>CUST-6357</t>
  </si>
  <si>
    <t>Pro Storage 364</t>
  </si>
  <si>
    <t>ORD-2025-10533</t>
  </si>
  <si>
    <t>CUST-7690</t>
  </si>
  <si>
    <t>Classic Tables 213</t>
  </si>
  <si>
    <t>ORD-2024-10534</t>
  </si>
  <si>
    <t>25 Aug 2024</t>
  </si>
  <si>
    <t>CUST-4487</t>
  </si>
  <si>
    <t>Smart Tables 659</t>
  </si>
  <si>
    <t>ORD-2025-10535</t>
  </si>
  <si>
    <t>04/27/2025</t>
  </si>
  <si>
    <t>2025-05-05</t>
  </si>
  <si>
    <t>CUST-8204</t>
  </si>
  <si>
    <t>Classic Accessories 325</t>
  </si>
  <si>
    <t>ORD-2024-10536</t>
  </si>
  <si>
    <t>19-05-2024</t>
  </si>
  <si>
    <t>21 May 2024</t>
  </si>
  <si>
    <t>CUST-1729</t>
  </si>
  <si>
    <t>Eco Copiers 243</t>
  </si>
  <si>
    <t>ORD-2025-10537</t>
  </si>
  <si>
    <t>2025-04-10</t>
  </si>
  <si>
    <t>2025-04-17</t>
  </si>
  <si>
    <t>CUST-4269</t>
  </si>
  <si>
    <t>Elite Chairs 777</t>
  </si>
  <si>
    <t>ORD-2024-10538</t>
  </si>
  <si>
    <t>2024-01-30</t>
  </si>
  <si>
    <t>CUST-1370</t>
  </si>
  <si>
    <t>Classic Art 772</t>
  </si>
  <si>
    <t>ORD-2024-10539</t>
  </si>
  <si>
    <t>01-10-2024</t>
  </si>
  <si>
    <t>CUST-5381</t>
  </si>
  <si>
    <t>Elite Tables 888</t>
  </si>
  <si>
    <t>ORD-2025-10540</t>
  </si>
  <si>
    <t>CUST-3694</t>
  </si>
  <si>
    <t>mira das</t>
  </si>
  <si>
    <t>Classic Chairs 666</t>
  </si>
  <si>
    <t>ORD-2024-10541</t>
  </si>
  <si>
    <t>26-02-2024</t>
  </si>
  <si>
    <t>CUST-7563</t>
  </si>
  <si>
    <t>Basic Furnishings 350</t>
  </si>
  <si>
    <t>ORD-2025-10542</t>
  </si>
  <si>
    <t>08-07-2025</t>
  </si>
  <si>
    <t>2025-07-09</t>
  </si>
  <si>
    <t>CUST-4188</t>
  </si>
  <si>
    <t>Elite Copiers 831</t>
  </si>
  <si>
    <t>ORD-2024-10543</t>
  </si>
  <si>
    <t>09/17/2024</t>
  </si>
  <si>
    <t>2024-09-23</t>
  </si>
  <si>
    <t>CUST-9376</t>
  </si>
  <si>
    <t>Eco Bookcases 759</t>
  </si>
  <si>
    <t>CANCELLED</t>
  </si>
  <si>
    <t>ORD-2024-10544</t>
  </si>
  <si>
    <t>2024-07-14</t>
  </si>
  <si>
    <t>CUST-9094</t>
  </si>
  <si>
    <t>Max Copiers 440</t>
  </si>
  <si>
    <t>ORD-2025-10545</t>
  </si>
  <si>
    <t>2025-01-29</t>
  </si>
  <si>
    <t>CUST-2366</t>
  </si>
  <si>
    <t>Smart Art 201</t>
  </si>
  <si>
    <t>ORD-2024-10546</t>
  </si>
  <si>
    <t>05/27/2024</t>
  </si>
  <si>
    <t>30 May 2024</t>
  </si>
  <si>
    <t>CUST-7168</t>
  </si>
  <si>
    <t>Classic Storage 755</t>
  </si>
  <si>
    <t>ORD-2025-10547</t>
  </si>
  <si>
    <t>2025-08-14</t>
  </si>
  <si>
    <t>CUST-8157</t>
  </si>
  <si>
    <t>office supplies</t>
  </si>
  <si>
    <t>Prime Paper 143</t>
  </si>
  <si>
    <t>ORD-2024-10548</t>
  </si>
  <si>
    <t>16 May 2024</t>
  </si>
  <si>
    <t>23 May 2024</t>
  </si>
  <si>
    <t>CUST-9146</t>
  </si>
  <si>
    <t>Max Copiers 607</t>
  </si>
  <si>
    <t>ORD-2024-10549</t>
  </si>
  <si>
    <t>CUST-5129</t>
  </si>
  <si>
    <t>Prime Bookcases 402</t>
  </si>
  <si>
    <t>ORD-2025-10550</t>
  </si>
  <si>
    <t>10/11/2025</t>
  </si>
  <si>
    <t>13 Oct 2025</t>
  </si>
  <si>
    <t>CUST-6028</t>
  </si>
  <si>
    <t>Pro Art 287</t>
  </si>
  <si>
    <t>ORD-2024-10551</t>
  </si>
  <si>
    <t>08/10/2024</t>
  </si>
  <si>
    <t>CUST-8687</t>
  </si>
  <si>
    <t>Max Accessories 591</t>
  </si>
  <si>
    <t>ORD-2024-10552</t>
  </si>
  <si>
    <t>2024-02-27</t>
  </si>
  <si>
    <t>CUST-8172</t>
  </si>
  <si>
    <t>Elite Chairs 314</t>
  </si>
  <si>
    <t>ORD-2025-10553</t>
  </si>
  <si>
    <t>CUST-8861</t>
  </si>
  <si>
    <t>Pro Copiers 246</t>
  </si>
  <si>
    <t>ORD-2025-10554</t>
  </si>
  <si>
    <t>04/25/2025</t>
  </si>
  <si>
    <t>2025-04-28</t>
  </si>
  <si>
    <t>CUST-9241</t>
  </si>
  <si>
    <t>Pro Storage 128</t>
  </si>
  <si>
    <t>ORD-2024-10555</t>
  </si>
  <si>
    <t>2024-10-12</t>
  </si>
  <si>
    <t>17 Oct 2024</t>
  </si>
  <si>
    <t>CUST-2126</t>
  </si>
  <si>
    <t>Prime Furnishings 892</t>
  </si>
  <si>
    <t>ORD-2025-10556</t>
  </si>
  <si>
    <t>10 Feb 2025</t>
  </si>
  <si>
    <t>CUST-7513</t>
  </si>
  <si>
    <t>Prime Storage 689</t>
  </si>
  <si>
    <t>ORD-2024-10557</t>
  </si>
  <si>
    <t>CUST-1992</t>
  </si>
  <si>
    <t>Classic Tables 769</t>
  </si>
  <si>
    <t>ORD-2024-10558</t>
  </si>
  <si>
    <t>2024-05-08</t>
  </si>
  <si>
    <t>14-05-2024</t>
  </si>
  <si>
    <t>CUST-8848</t>
  </si>
  <si>
    <t>Prime Phones 503</t>
  </si>
  <si>
    <t>ORD-2025-10559</t>
  </si>
  <si>
    <t>2025-09-04</t>
  </si>
  <si>
    <t>09/04/2025</t>
  </si>
  <si>
    <t>CUST-9368</t>
  </si>
  <si>
    <t>Basic Machines 136</t>
  </si>
  <si>
    <t>ORD-2025-10560</t>
  </si>
  <si>
    <t>2025-10-07</t>
  </si>
  <si>
    <t>CUST-6797</t>
  </si>
  <si>
    <t>Basic Copiers 512</t>
  </si>
  <si>
    <t>ORD-2024-10561</t>
  </si>
  <si>
    <t>2024-01-16</t>
  </si>
  <si>
    <t>CUST-9333</t>
  </si>
  <si>
    <t>Smart Storage 767</t>
  </si>
  <si>
    <t>ORD-2025-10562</t>
  </si>
  <si>
    <t>18 Jul 2025</t>
  </si>
  <si>
    <t>CUST-6654</t>
  </si>
  <si>
    <t>Eco Copiers 954</t>
  </si>
  <si>
    <t>ORD-2024-10563</t>
  </si>
  <si>
    <t>10 May 2024</t>
  </si>
  <si>
    <t>CUST-8622</t>
  </si>
  <si>
    <t>Elite Binders 143</t>
  </si>
  <si>
    <t>ORD-2024-10564</t>
  </si>
  <si>
    <t>05/06/2024</t>
  </si>
  <si>
    <t>CUST-8776</t>
  </si>
  <si>
    <t>Classic Tables 560</t>
  </si>
  <si>
    <t>ORD-2024-10565</t>
  </si>
  <si>
    <t>14-11-2024</t>
  </si>
  <si>
    <t>CUST-9100</t>
  </si>
  <si>
    <t>Basic Tables 759</t>
  </si>
  <si>
    <t>ORD-2025-10566</t>
  </si>
  <si>
    <t>07 Aug 2025</t>
  </si>
  <si>
    <t>CUST-5601</t>
  </si>
  <si>
    <t>Prime Phones 564</t>
  </si>
  <si>
    <t>ORD-2024-10567</t>
  </si>
  <si>
    <t>2024-08-19</t>
  </si>
  <si>
    <t>CUST-5246</t>
  </si>
  <si>
    <t>Smart Paper 807</t>
  </si>
  <si>
    <t>ORD-2024-10568</t>
  </si>
  <si>
    <t>06 Feb 2024</t>
  </si>
  <si>
    <t>10-02-2024</t>
  </si>
  <si>
    <t>CUST-3128</t>
  </si>
  <si>
    <t>ORD-2024-10569</t>
  </si>
  <si>
    <t>24 Jan 2024</t>
  </si>
  <si>
    <t>CUST-4604</t>
  </si>
  <si>
    <t>Classic Machines 522</t>
  </si>
  <si>
    <t>ORD-2025-10570</t>
  </si>
  <si>
    <t>09/08/2025</t>
  </si>
  <si>
    <t>2025-09-10</t>
  </si>
  <si>
    <t>CUST-2586</t>
  </si>
  <si>
    <t>Elite Furnishings 822</t>
  </si>
  <si>
    <t>ORD-2025-10571</t>
  </si>
  <si>
    <t>CUST-6585</t>
  </si>
  <si>
    <t>Max Furnishings 647</t>
  </si>
  <si>
    <t>ORD-2025-10572</t>
  </si>
  <si>
    <t>2025-02-14</t>
  </si>
  <si>
    <t>CUST-3425</t>
  </si>
  <si>
    <t>Prime Phones 895</t>
  </si>
  <si>
    <t>ORD-2024-10573</t>
  </si>
  <si>
    <t>01/02/2024</t>
  </si>
  <si>
    <t>09-01-2024</t>
  </si>
  <si>
    <t>CUST-8633</t>
  </si>
  <si>
    <t>Eco Phones 368</t>
  </si>
  <si>
    <t>ORD-2025-10574</t>
  </si>
  <si>
    <t>09/22/2025</t>
  </si>
  <si>
    <t>09/26/2025</t>
  </si>
  <si>
    <t>CUST-8243</t>
  </si>
  <si>
    <t>Pro Phones 644</t>
  </si>
  <si>
    <t>ORD-2024-10575</t>
  </si>
  <si>
    <t>20 Feb 2024</t>
  </si>
  <si>
    <t>Smart Machines 566</t>
  </si>
  <si>
    <t>ORD-2025-10576</t>
  </si>
  <si>
    <t>11 Mar 2025</t>
  </si>
  <si>
    <t>14 Mar 2025</t>
  </si>
  <si>
    <t>CUST-5496</t>
  </si>
  <si>
    <t>Elite Furnishings 173</t>
  </si>
  <si>
    <t>ORD-2024-10577</t>
  </si>
  <si>
    <t>17-02-2024</t>
  </si>
  <si>
    <t>02/23/2024</t>
  </si>
  <si>
    <t>CUST-2228</t>
  </si>
  <si>
    <t>Smart Binders 417</t>
  </si>
  <si>
    <t>ORD-2025-10578</t>
  </si>
  <si>
    <t>2025-09-03</t>
  </si>
  <si>
    <t>CUST-4151</t>
  </si>
  <si>
    <t>Smart Furnishings 714</t>
  </si>
  <si>
    <t>ORD-2024-10579</t>
  </si>
  <si>
    <t>2024-02-21</t>
  </si>
  <si>
    <t>23-02-2024</t>
  </si>
  <si>
    <t>Elite Copiers 682</t>
  </si>
  <si>
    <t>ORD-2024-10580</t>
  </si>
  <si>
    <t>19-06-2024</t>
  </si>
  <si>
    <t>24 Jun 2024</t>
  </si>
  <si>
    <t>CUST-9617</t>
  </si>
  <si>
    <t>Pro Storage 482</t>
  </si>
  <si>
    <t>ORD-2025-10581</t>
  </si>
  <si>
    <t>06-03-2025</t>
  </si>
  <si>
    <t>CUST-7958</t>
  </si>
  <si>
    <t>Pro Chairs 888</t>
  </si>
  <si>
    <t>ORD-2025-10582</t>
  </si>
  <si>
    <t>08/10/2025</t>
  </si>
  <si>
    <t>CUST-9931</t>
  </si>
  <si>
    <t>Classic Art 611</t>
  </si>
  <si>
    <t>ORD-2024-10583</t>
  </si>
  <si>
    <t>2024-10-15</t>
  </si>
  <si>
    <t>10/20/2024</t>
  </si>
  <si>
    <t>CUST-2088</t>
  </si>
  <si>
    <t>Basic Art 174</t>
  </si>
  <si>
    <t>ORD-2024-10584</t>
  </si>
  <si>
    <t>02/28/2024</t>
  </si>
  <si>
    <t>CUST-1686</t>
  </si>
  <si>
    <t>Classic Storage 451</t>
  </si>
  <si>
    <t>ORD-2024-10585</t>
  </si>
  <si>
    <t>08/04/2024</t>
  </si>
  <si>
    <t>10-08-2024</t>
  </si>
  <si>
    <t>CUST-4894</t>
  </si>
  <si>
    <t>Pro Art 172</t>
  </si>
  <si>
    <t>ORD-2025-10586</t>
  </si>
  <si>
    <t>2025-06-25</t>
  </si>
  <si>
    <t>CUST-5201</t>
  </si>
  <si>
    <t>Prime Phones 744</t>
  </si>
  <si>
    <t>ORD-2025-10587</t>
  </si>
  <si>
    <t>12-04-2025</t>
  </si>
  <si>
    <t>12 Apr 2025</t>
  </si>
  <si>
    <t>CUST-8626</t>
  </si>
  <si>
    <t>Prime Binders 249</t>
  </si>
  <si>
    <t>ORD-2025-10588</t>
  </si>
  <si>
    <t>23-07-2025</t>
  </si>
  <si>
    <t>2025-07-31</t>
  </si>
  <si>
    <t>CUST-1013</t>
  </si>
  <si>
    <t>Eco Accessories 948</t>
  </si>
  <si>
    <t>ORD-2025-10589</t>
  </si>
  <si>
    <t>2025-03-11</t>
  </si>
  <si>
    <t>15 Mar 2025</t>
  </si>
  <si>
    <t>CUST-3601</t>
  </si>
  <si>
    <t>Classic Accessories 458</t>
  </si>
  <si>
    <t>ORD-2024-10590</t>
  </si>
  <si>
    <t>06 Dec 2024</t>
  </si>
  <si>
    <t>12/12/2024</t>
  </si>
  <si>
    <t>CUST-7846</t>
  </si>
  <si>
    <t>Max Phones 318</t>
  </si>
  <si>
    <t>ORD-2024-10591</t>
  </si>
  <si>
    <t>2024-05-29</t>
  </si>
  <si>
    <t>CUST-3433</t>
  </si>
  <si>
    <t>Elite Chairs 372</t>
  </si>
  <si>
    <t>ORD-2024-10592</t>
  </si>
  <si>
    <t>2024-02-22</t>
  </si>
  <si>
    <t>24-02-2024</t>
  </si>
  <si>
    <t>CUST-2423</t>
  </si>
  <si>
    <t>Eco Copiers 324</t>
  </si>
  <si>
    <t>ORD-2024-10593</t>
  </si>
  <si>
    <t>CUST-3559</t>
  </si>
  <si>
    <t>Classic Accessories 131</t>
  </si>
  <si>
    <t>ORD-2025-10594</t>
  </si>
  <si>
    <t>2025-09-29</t>
  </si>
  <si>
    <t>Eco Tables 550</t>
  </si>
  <si>
    <t>ORD-2024-10595</t>
  </si>
  <si>
    <t>2024-09-19</t>
  </si>
  <si>
    <t>CUST-6850</t>
  </si>
  <si>
    <t>Basic Chairs 932</t>
  </si>
  <si>
    <t>ORD-2025-10596</t>
  </si>
  <si>
    <t>02/11/2025</t>
  </si>
  <si>
    <t>16-02-2025</t>
  </si>
  <si>
    <t>CUST-5566</t>
  </si>
  <si>
    <t>Classic Phones 294</t>
  </si>
  <si>
    <t>ORD-2024-10597</t>
  </si>
  <si>
    <t>CUST-2593</t>
  </si>
  <si>
    <t>Elite Chairs 700</t>
  </si>
  <si>
    <t>ORD-2025-10598</t>
  </si>
  <si>
    <t>08 Jul 2025</t>
  </si>
  <si>
    <t>CUST-6957</t>
  </si>
  <si>
    <t>Prime Copiers 969</t>
  </si>
  <si>
    <t>ORD-2024-10599</t>
  </si>
  <si>
    <t>08/24/2024</t>
  </si>
  <si>
    <t>CUST-8498</t>
  </si>
  <si>
    <t>Eco Copiers 268</t>
  </si>
  <si>
    <t>ORD-2024-10600</t>
  </si>
  <si>
    <t>19-08-2024</t>
  </si>
  <si>
    <t>CUST-2612</t>
  </si>
  <si>
    <t>Pro Phones 588</t>
  </si>
  <si>
    <t>ORD-2025-10601</t>
  </si>
  <si>
    <t>05-03-2025</t>
  </si>
  <si>
    <t>2025-03-12</t>
  </si>
  <si>
    <t>CUST-6013</t>
  </si>
  <si>
    <t>Prime Storage 432</t>
  </si>
  <si>
    <t>ORD-2024-10602</t>
  </si>
  <si>
    <t>26 Jan 2024</t>
  </si>
  <si>
    <t>01/31/2024</t>
  </si>
  <si>
    <t>CUST-8289</t>
  </si>
  <si>
    <t>Basic Paper 452</t>
  </si>
  <si>
    <t>ORD-2024-10603</t>
  </si>
  <si>
    <t>23-10-2024</t>
  </si>
  <si>
    <t>2024-10-30</t>
  </si>
  <si>
    <t>CUST-5668</t>
  </si>
  <si>
    <t>Max Copiers 477</t>
  </si>
  <si>
    <t>ORD-2025-10604</t>
  </si>
  <si>
    <t>01/03/2025</t>
  </si>
  <si>
    <t>Prime Accessories 300</t>
  </si>
  <si>
    <t>ORD-2025-10605</t>
  </si>
  <si>
    <t>05-02-2025</t>
  </si>
  <si>
    <t>02/06/2025</t>
  </si>
  <si>
    <t>CUST-4526</t>
  </si>
  <si>
    <t>Max Binders 547</t>
  </si>
  <si>
    <t>ORD-2025-10606</t>
  </si>
  <si>
    <t>13 Jul 2025</t>
  </si>
  <si>
    <t>CUST-4447</t>
  </si>
  <si>
    <t>Pro Furnishings 267</t>
  </si>
  <si>
    <t>ORD-2025-10607</t>
  </si>
  <si>
    <t>22 Feb 2025</t>
  </si>
  <si>
    <t>CUST-2698</t>
  </si>
  <si>
    <t>Max Copiers 520</t>
  </si>
  <si>
    <t>ORD-2025-10608</t>
  </si>
  <si>
    <t>CUST-6297</t>
  </si>
  <si>
    <t>Max Storage 424</t>
  </si>
  <si>
    <t>ORD-2024-10609</t>
  </si>
  <si>
    <t>Elite Furnishings 706</t>
  </si>
  <si>
    <t>ORD-2025-10610</t>
  </si>
  <si>
    <t>CUST-4380</t>
  </si>
  <si>
    <t>Pro Chairs 908</t>
  </si>
  <si>
    <t>ORD-2024-10611</t>
  </si>
  <si>
    <t>20 May 2024</t>
  </si>
  <si>
    <t>05/20/2024</t>
  </si>
  <si>
    <t>Pro Chairs 712</t>
  </si>
  <si>
    <t>ORD-2025-10612</t>
  </si>
  <si>
    <t>15 Jul 2025</t>
  </si>
  <si>
    <t>CUST-6108</t>
  </si>
  <si>
    <t>Max Binders 785</t>
  </si>
  <si>
    <t>ORD-2025-10613</t>
  </si>
  <si>
    <t>06 Apr 2025</t>
  </si>
  <si>
    <t>13-04-2025</t>
  </si>
  <si>
    <t>CUST-5663</t>
  </si>
  <si>
    <t>Elite Phones 239</t>
  </si>
  <si>
    <t>ORD-2024-10614</t>
  </si>
  <si>
    <t>10/10/2024</t>
  </si>
  <si>
    <t>CUST-9311</t>
  </si>
  <si>
    <t>Basic Machines 413</t>
  </si>
  <si>
    <t>ORD-2024-10615</t>
  </si>
  <si>
    <t>19-02-2024</t>
  </si>
  <si>
    <t>CUST-8154</t>
  </si>
  <si>
    <t>Elite Chairs 140</t>
  </si>
  <si>
    <t>ORD-2024-10616</t>
  </si>
  <si>
    <t>2024-10-04</t>
  </si>
  <si>
    <t>10/07/2024</t>
  </si>
  <si>
    <t>CUST-4462</t>
  </si>
  <si>
    <t>Basic Art 771</t>
  </si>
  <si>
    <t>ORD-2024-10617</t>
  </si>
  <si>
    <t>16 Aug 2024</t>
  </si>
  <si>
    <t>CUST-4660</t>
  </si>
  <si>
    <t>Prime Paper 664</t>
  </si>
  <si>
    <t>ORD-2024-10618</t>
  </si>
  <si>
    <t>09/29/2024</t>
  </si>
  <si>
    <t>CUST-9002</t>
  </si>
  <si>
    <t>Pro Phones 226</t>
  </si>
  <si>
    <t>ORD-2024-10619</t>
  </si>
  <si>
    <t>2024-07-23</t>
  </si>
  <si>
    <t>CUST-1057</t>
  </si>
  <si>
    <t>Basic Tables 684</t>
  </si>
  <si>
    <t>ORD-2024-10620</t>
  </si>
  <si>
    <t>27 Nov 2024</t>
  </si>
  <si>
    <t>CUST-9596</t>
  </si>
  <si>
    <t>Prime Binders 938</t>
  </si>
  <si>
    <t>ORD-2024-10621</t>
  </si>
  <si>
    <t>18-08-2024</t>
  </si>
  <si>
    <t>08/21/2024</t>
  </si>
  <si>
    <t>CUST-6947</t>
  </si>
  <si>
    <t>Classic Machines 337</t>
  </si>
  <si>
    <t>ORD-2024-10622</t>
  </si>
  <si>
    <t>06-12-2024</t>
  </si>
  <si>
    <t>CUST-7236</t>
  </si>
  <si>
    <t>Max Chairs 748</t>
  </si>
  <si>
    <t>ORD-2025-10623</t>
  </si>
  <si>
    <t>29-01-2025</t>
  </si>
  <si>
    <t>06 Feb 2025</t>
  </si>
  <si>
    <t>CUST-1127</t>
  </si>
  <si>
    <t>Basic Storage 934</t>
  </si>
  <si>
    <t>ORD-2024-10624</t>
  </si>
  <si>
    <t>08 Aug 2024</t>
  </si>
  <si>
    <t>14 Aug 2024</t>
  </si>
  <si>
    <t>CUST-6262</t>
  </si>
  <si>
    <t>Pro Storage 509</t>
  </si>
  <si>
    <t>ORD-2024-10625</t>
  </si>
  <si>
    <t>01/30/2024</t>
  </si>
  <si>
    <t>2024-02-01</t>
  </si>
  <si>
    <t>CUST-5070</t>
  </si>
  <si>
    <t>Prime Chairs 765</t>
  </si>
  <si>
    <t>ORD-2024-10626</t>
  </si>
  <si>
    <t>12/15/2024</t>
  </si>
  <si>
    <t>CUST-7946</t>
  </si>
  <si>
    <t>Elite Chairs 358</t>
  </si>
  <si>
    <t>ORD-2025-10627</t>
  </si>
  <si>
    <t>06/07/2025</t>
  </si>
  <si>
    <t>CUST-1793</t>
  </si>
  <si>
    <t>Elite Machines 971</t>
  </si>
  <si>
    <t>ORD-2025-10628</t>
  </si>
  <si>
    <t>CUST-8839</t>
  </si>
  <si>
    <t>Max Phones 825</t>
  </si>
  <si>
    <t>ORD-2025-10629</t>
  </si>
  <si>
    <t>12 Oct 2025</t>
  </si>
  <si>
    <t>CUST-6725</t>
  </si>
  <si>
    <t>Eco Accessories 933</t>
  </si>
  <si>
    <t>ORD-2025-10630</t>
  </si>
  <si>
    <t>14 Sep 2025</t>
  </si>
  <si>
    <t>CUST-3793</t>
  </si>
  <si>
    <t>Max Tables 908</t>
  </si>
  <si>
    <t>ORD-2024-10631</t>
  </si>
  <si>
    <t>CUST-6075</t>
  </si>
  <si>
    <t>Elite Paper 239</t>
  </si>
  <si>
    <t>ORD-2024-10632</t>
  </si>
  <si>
    <t>CUST-6381</t>
  </si>
  <si>
    <t>Eco Chairs 452</t>
  </si>
  <si>
    <t>ORD-2025-10633</t>
  </si>
  <si>
    <t>15-04-2025</t>
  </si>
  <si>
    <t>16-04-2025</t>
  </si>
  <si>
    <t>CUST-4593</t>
  </si>
  <si>
    <t>Smart Furnishings 721</t>
  </si>
  <si>
    <t>ORD-2025-10634</t>
  </si>
  <si>
    <t>04/18/2025</t>
  </si>
  <si>
    <t>20 Apr 2025</t>
  </si>
  <si>
    <t>CUST-5043</t>
  </si>
  <si>
    <t>Basic Accessories 729</t>
  </si>
  <si>
    <t>ORD-2025-10635</t>
  </si>
  <si>
    <t>01/11/2025</t>
  </si>
  <si>
    <t>CUST-4722</t>
  </si>
  <si>
    <t>Classic Chairs 220</t>
  </si>
  <si>
    <t>ORD-2024-10636</t>
  </si>
  <si>
    <t>2024-05-25</t>
  </si>
  <si>
    <t>CUST-7931</t>
  </si>
  <si>
    <t>Max Chairs 305</t>
  </si>
  <si>
    <t>ORD-2024-10637</t>
  </si>
  <si>
    <t>02 Oct 2024</t>
  </si>
  <si>
    <t>09 Oct 2024</t>
  </si>
  <si>
    <t>CUST-7221</t>
  </si>
  <si>
    <t>Smart Paper 872</t>
  </si>
  <si>
    <t>ORD-2024-10638</t>
  </si>
  <si>
    <t>26-05-2024</t>
  </si>
  <si>
    <t>2024-05-26</t>
  </si>
  <si>
    <t>CUST-2594</t>
  </si>
  <si>
    <t>Max Copiers 994</t>
  </si>
  <si>
    <t>ORD-2024-10639</t>
  </si>
  <si>
    <t>31-01-2024</t>
  </si>
  <si>
    <t>CUST-2111</t>
  </si>
  <si>
    <t>Pro Storage 744</t>
  </si>
  <si>
    <t>ORD-2024-10640</t>
  </si>
  <si>
    <t>12/27/2024</t>
  </si>
  <si>
    <t>CUST-6829</t>
  </si>
  <si>
    <t>Elite Chairs 744</t>
  </si>
  <si>
    <t>ORD-2025-10641</t>
  </si>
  <si>
    <t>14-01-2025</t>
  </si>
  <si>
    <t>17 Jan 2025</t>
  </si>
  <si>
    <t>CUST-5061</t>
  </si>
  <si>
    <t>Basic Storage 973</t>
  </si>
  <si>
    <t>ORD-2025-10642</t>
  </si>
  <si>
    <t>2025-04-09</t>
  </si>
  <si>
    <t>CUST-7915</t>
  </si>
  <si>
    <t>Smart Furnishings 783</t>
  </si>
  <si>
    <t>ORD-2024-10643</t>
  </si>
  <si>
    <t>CUST-1940</t>
  </si>
  <si>
    <t>binders</t>
  </si>
  <si>
    <t>Prime Binders 287</t>
  </si>
  <si>
    <t>ORD-2024-10644</t>
  </si>
  <si>
    <t>05-02-2024</t>
  </si>
  <si>
    <t>2024-02-13</t>
  </si>
  <si>
    <t>Elite Labels 654</t>
  </si>
  <si>
    <t>ORD-2025-10645</t>
  </si>
  <si>
    <t>04/17/2025</t>
  </si>
  <si>
    <t>CUST-5549</t>
  </si>
  <si>
    <t>Pro Chairs 812</t>
  </si>
  <si>
    <t>ORD-2024-10646</t>
  </si>
  <si>
    <t>2024-01-04</t>
  </si>
  <si>
    <t>CUST-2314</t>
  </si>
  <si>
    <t>Basic Chairs 480</t>
  </si>
  <si>
    <t>ORD-2024-10647</t>
  </si>
  <si>
    <t>09/18/2024</t>
  </si>
  <si>
    <t>24-09-2024</t>
  </si>
  <si>
    <t>CUST-6360</t>
  </si>
  <si>
    <t>Elite Machines 955</t>
  </si>
  <si>
    <t>ORD-2025-10648</t>
  </si>
  <si>
    <t>09-01-2025</t>
  </si>
  <si>
    <t>CUST-9942</t>
  </si>
  <si>
    <t>Rohan  Mehta</t>
  </si>
  <si>
    <t>Prime Art 461</t>
  </si>
  <si>
    <t>ORD-2024-10649</t>
  </si>
  <si>
    <t>21-04-2024</t>
  </si>
  <si>
    <t>CUST-1808</t>
  </si>
  <si>
    <t>Prime Art 301</t>
  </si>
  <si>
    <t>ORD-2025-10650</t>
  </si>
  <si>
    <t>11 Aug 2025</t>
  </si>
  <si>
    <t>19-08-2025</t>
  </si>
  <si>
    <t>CUST-7277</t>
  </si>
  <si>
    <t>Classic Accessories 354</t>
  </si>
  <si>
    <t>ORD-2024-10651</t>
  </si>
  <si>
    <t>04/13/2024</t>
  </si>
  <si>
    <t>21 Apr 2024</t>
  </si>
  <si>
    <t>Basic Accessories 210</t>
  </si>
  <si>
    <t>ORD-2025-10652</t>
  </si>
  <si>
    <t>09-08-2025</t>
  </si>
  <si>
    <t>CUST-2660</t>
  </si>
  <si>
    <t>Smart Paper 364</t>
  </si>
  <si>
    <t>ORD-2025-10653</t>
  </si>
  <si>
    <t>03/17/2025</t>
  </si>
  <si>
    <t>2025-03-21</t>
  </si>
  <si>
    <t>Smart Binders 999</t>
  </si>
  <si>
    <t>ORD-2025-10654</t>
  </si>
  <si>
    <t>04-04-2025</t>
  </si>
  <si>
    <t>04/07/2025</t>
  </si>
  <si>
    <t>CUST-3970</t>
  </si>
  <si>
    <t>Max Copiers 356</t>
  </si>
  <si>
    <t>ORD-2025-10655</t>
  </si>
  <si>
    <t>10/12/2025</t>
  </si>
  <si>
    <t>Classic Machines 639</t>
  </si>
  <si>
    <t>ORD-2025-10656</t>
  </si>
  <si>
    <t>CUST-8039</t>
  </si>
  <si>
    <t>Smart Furnishings 748</t>
  </si>
  <si>
    <t>ORD-2024-10657</t>
  </si>
  <si>
    <t>07-05-2024</t>
  </si>
  <si>
    <t>CUST-4446</t>
  </si>
  <si>
    <t>Pro Machines 589</t>
  </si>
  <si>
    <t>ORD-2025-10658</t>
  </si>
  <si>
    <t>08/07/2025</t>
  </si>
  <si>
    <t>2025-08-10</t>
  </si>
  <si>
    <t>CUST-7787</t>
  </si>
  <si>
    <t>Eco Storage 316</t>
  </si>
  <si>
    <t>ORD-2025-10659</t>
  </si>
  <si>
    <t>2025-06-09</t>
  </si>
  <si>
    <t>CUST-9074</t>
  </si>
  <si>
    <t>Eco Art 763</t>
  </si>
  <si>
    <t>ORD-2025-10660</t>
  </si>
  <si>
    <t>CUST-8330</t>
  </si>
  <si>
    <t>Pro Phones 356</t>
  </si>
  <si>
    <t>ORD-2025-10661</t>
  </si>
  <si>
    <t>15-07-2025</t>
  </si>
  <si>
    <t>CUST-5638</t>
  </si>
  <si>
    <t>Basic Phones 865</t>
  </si>
  <si>
    <t>ORD-2024-10662</t>
  </si>
  <si>
    <t>17-05-2024</t>
  </si>
  <si>
    <t>2024-05-22</t>
  </si>
  <si>
    <t>CUST-4537</t>
  </si>
  <si>
    <t>Max Machines 595</t>
  </si>
  <si>
    <t>ORD-2024-10663</t>
  </si>
  <si>
    <t>2024-01-14</t>
  </si>
  <si>
    <t>18-01-2024</t>
  </si>
  <si>
    <t>CUST-3181</t>
  </si>
  <si>
    <t>Elite Machines 367</t>
  </si>
  <si>
    <t>ORD-2024-10664</t>
  </si>
  <si>
    <t>CUST-1015</t>
  </si>
  <si>
    <t>Basic Copiers 787</t>
  </si>
  <si>
    <t>ORD-2024-10665</t>
  </si>
  <si>
    <t>07 Dec 2024</t>
  </si>
  <si>
    <t>10 Dec 2024</t>
  </si>
  <si>
    <t>CUST-2709</t>
  </si>
  <si>
    <t>Max Accessories 903</t>
  </si>
  <si>
    <t>ORD-2025-10666</t>
  </si>
  <si>
    <t>2025-01-13</t>
  </si>
  <si>
    <t>01/13/2025</t>
  </si>
  <si>
    <t>CUST-1197</t>
  </si>
  <si>
    <t>Max Art 660</t>
  </si>
  <si>
    <t>ORD-2024-10667</t>
  </si>
  <si>
    <t>CUST-7758</t>
  </si>
  <si>
    <t>Classic Copiers 908</t>
  </si>
  <si>
    <t>ORD-2025-10668</t>
  </si>
  <si>
    <t>20-05-2025</t>
  </si>
  <si>
    <t>27-05-2025</t>
  </si>
  <si>
    <t>CUST-3912</t>
  </si>
  <si>
    <t>Pro Machines 706</t>
  </si>
  <si>
    <t>ORD-2024-10669</t>
  </si>
  <si>
    <t>11/21/2024</t>
  </si>
  <si>
    <t>CUST-4190</t>
  </si>
  <si>
    <t>Pro Paper 187</t>
  </si>
  <si>
    <t>ORD-2024-10670</t>
  </si>
  <si>
    <t>2024-03-24</t>
  </si>
  <si>
    <t>01 Apr 2024</t>
  </si>
  <si>
    <t>CUST-7568</t>
  </si>
  <si>
    <t>Classic Tables 606</t>
  </si>
  <si>
    <t>ORD-2025-10671</t>
  </si>
  <si>
    <t>02/02/2025</t>
  </si>
  <si>
    <t>Smart Tables 835</t>
  </si>
  <si>
    <t>ORD-2024-10672</t>
  </si>
  <si>
    <t>2024-03-22</t>
  </si>
  <si>
    <t>27-03-2024</t>
  </si>
  <si>
    <t>CUST-3293</t>
  </si>
  <si>
    <t>COPIERS</t>
  </si>
  <si>
    <t>Classic Copiers 583</t>
  </si>
  <si>
    <t>ORD-2024-10673</t>
  </si>
  <si>
    <t>2024-09-04</t>
  </si>
  <si>
    <t>2024-09-05</t>
  </si>
  <si>
    <t>CUST-8180</t>
  </si>
  <si>
    <t>Classic Chairs 460</t>
  </si>
  <si>
    <t>ORD-2025-10674</t>
  </si>
  <si>
    <t>16 Feb 2025</t>
  </si>
  <si>
    <t>CUST-2807</t>
  </si>
  <si>
    <t>Classic Bookcases 488</t>
  </si>
  <si>
    <t>ORD-2024-10675</t>
  </si>
  <si>
    <t>2024-05-18</t>
  </si>
  <si>
    <t>2024-05-21</t>
  </si>
  <si>
    <t>CUST-4081</t>
  </si>
  <si>
    <t>Basic Accessories 944</t>
  </si>
  <si>
    <t>ORD-2025-10676</t>
  </si>
  <si>
    <t>07-06-2025</t>
  </si>
  <si>
    <t>06/10/2025</t>
  </si>
  <si>
    <t>Eco Furnishings 217</t>
  </si>
  <si>
    <t>ORD-2025-10677</t>
  </si>
  <si>
    <t>09/11/2025</t>
  </si>
  <si>
    <t>09/18/2025</t>
  </si>
  <si>
    <t>CUST-9212</t>
  </si>
  <si>
    <t>Smart Phones 967</t>
  </si>
  <si>
    <t>ORD-2024-10678</t>
  </si>
  <si>
    <t>2024-06-22</t>
  </si>
  <si>
    <t>27-06-2024</t>
  </si>
  <si>
    <t>Smart Chairs 610</t>
  </si>
  <si>
    <t>ORD-2024-10679</t>
  </si>
  <si>
    <t>24-11-2024</t>
  </si>
  <si>
    <t>12/01/2024</t>
  </si>
  <si>
    <t>CUST-1674</t>
  </si>
  <si>
    <t>Prime Tables 123</t>
  </si>
  <si>
    <t>ORD-2025-10680</t>
  </si>
  <si>
    <t>16-08-2025</t>
  </si>
  <si>
    <t>CUST-2897</t>
  </si>
  <si>
    <t>Smart Copiers 579</t>
  </si>
  <si>
    <t>ORD-2024-10681</t>
  </si>
  <si>
    <t>CUST-1136</t>
  </si>
  <si>
    <t>Eco Accessories 658</t>
  </si>
  <si>
    <t>ORD-2024-10682</t>
  </si>
  <si>
    <t>07/04/2024</t>
  </si>
  <si>
    <t>2024-07-10</t>
  </si>
  <si>
    <t>CUST-1376</t>
  </si>
  <si>
    <t>Smart Tables 777</t>
  </si>
  <si>
    <t>ORD-2025-10683</t>
  </si>
  <si>
    <t>CUST-1553</t>
  </si>
  <si>
    <t>ananya rao</t>
  </si>
  <si>
    <t>Eco Storage 861</t>
  </si>
  <si>
    <t>ORD-2025-10684</t>
  </si>
  <si>
    <t>2025-07-20</t>
  </si>
  <si>
    <t>CUST-5704</t>
  </si>
  <si>
    <t>Eco Furnishings 875</t>
  </si>
  <si>
    <t>ORD-2025-10685</t>
  </si>
  <si>
    <t>2025-07-21</t>
  </si>
  <si>
    <t>CUST-6738</t>
  </si>
  <si>
    <t>Prime Bookcases 784</t>
  </si>
  <si>
    <t>ORD-2025-10686</t>
  </si>
  <si>
    <t>01 Oct 2025</t>
  </si>
  <si>
    <t>Classic Art 380</t>
  </si>
  <si>
    <t>ORD-2024-10687</t>
  </si>
  <si>
    <t>25-03-2024</t>
  </si>
  <si>
    <t>CUST-3127</t>
  </si>
  <si>
    <t>Pro Copiers 502</t>
  </si>
  <si>
    <t>ORD-2025-10688</t>
  </si>
  <si>
    <t>13-10-2025</t>
  </si>
  <si>
    <t>CUST-9347</t>
  </si>
  <si>
    <t>Prime Tables 604</t>
  </si>
  <si>
    <t>ORD-2025-10689</t>
  </si>
  <si>
    <t>27 Feb 2025</t>
  </si>
  <si>
    <t>CUST-8575</t>
  </si>
  <si>
    <t>Basic Art 798</t>
  </si>
  <si>
    <t>ORD-2024-10690</t>
  </si>
  <si>
    <t>05-10-2024</t>
  </si>
  <si>
    <t>06 Oct 2024</t>
  </si>
  <si>
    <t>CUST-4382</t>
  </si>
  <si>
    <t>Elite Tables 717</t>
  </si>
  <si>
    <t>ORD-2024-10691</t>
  </si>
  <si>
    <t>2024-09-15</t>
  </si>
  <si>
    <t>CUST-6815</t>
  </si>
  <si>
    <t>Max Art 725</t>
  </si>
  <si>
    <t>ORD-2024-10692</t>
  </si>
  <si>
    <t>16-12-2024</t>
  </si>
  <si>
    <t>CUST-7309</t>
  </si>
  <si>
    <t>Smart Copiers 456</t>
  </si>
  <si>
    <t>ORD-2025-10693</t>
  </si>
  <si>
    <t>10-10-2025</t>
  </si>
  <si>
    <t>CUST-9531</t>
  </si>
  <si>
    <t>Prime Furnishings 883</t>
  </si>
  <si>
    <t>ORD-2025-10694</t>
  </si>
  <si>
    <t>03-04-2025</t>
  </si>
  <si>
    <t>CUST-6032</t>
  </si>
  <si>
    <t>Smart Bookcases 828</t>
  </si>
  <si>
    <t>ORD-2025-10695</t>
  </si>
  <si>
    <t>Classic Storage 291</t>
  </si>
  <si>
    <t>ORD-2024-10696</t>
  </si>
  <si>
    <t>2024-07-01</t>
  </si>
  <si>
    <t>CUST-6257</t>
  </si>
  <si>
    <t>Prime Machines 102</t>
  </si>
  <si>
    <t>ORD-2025-10697</t>
  </si>
  <si>
    <t>22 Sep 2025</t>
  </si>
  <si>
    <t>25 Sep 2025</t>
  </si>
  <si>
    <t>CUST-7812</t>
  </si>
  <si>
    <t>Classic Phones 842</t>
  </si>
  <si>
    <t>ORD-2025-10698</t>
  </si>
  <si>
    <t>CUST-6205</t>
  </si>
  <si>
    <t>Max Labels 970</t>
  </si>
  <si>
    <t>ORD-2024-10699</t>
  </si>
  <si>
    <t>14-09-2024</t>
  </si>
  <si>
    <t>CUST-5357</t>
  </si>
  <si>
    <t>Classic Machines 648</t>
  </si>
  <si>
    <t>ORD-2024-10700</t>
  </si>
  <si>
    <t>2024-06-11</t>
  </si>
  <si>
    <t>11 Jun 2024</t>
  </si>
  <si>
    <t>CUST-9802</t>
  </si>
  <si>
    <t>Max Bookcases 565</t>
  </si>
  <si>
    <t>ORD-2024-10701</t>
  </si>
  <si>
    <t>18-09-2024</t>
  </si>
  <si>
    <t>CUST-5646</t>
  </si>
  <si>
    <t>Basic Machines 220</t>
  </si>
  <si>
    <t>ORD-2024-10702</t>
  </si>
  <si>
    <t>CUST-7171</t>
  </si>
  <si>
    <t>Pro Art 151</t>
  </si>
  <si>
    <t>ORD-2025-10703</t>
  </si>
  <si>
    <t>2025-02-02</t>
  </si>
  <si>
    <t>CUST-5231</t>
  </si>
  <si>
    <t>Pro Tables 980</t>
  </si>
  <si>
    <t>ORD-2024-10704</t>
  </si>
  <si>
    <t>19 Oct 2024</t>
  </si>
  <si>
    <t>CUST-8734</t>
  </si>
  <si>
    <t>Classic Tables 997</t>
  </si>
  <si>
    <t>ORD-2024-10705</t>
  </si>
  <si>
    <t>03/20/2024</t>
  </si>
  <si>
    <t>CUST-4916</t>
  </si>
  <si>
    <t>Max Bookcases 738</t>
  </si>
  <si>
    <t>ORD-2024-10706</t>
  </si>
  <si>
    <t>08 Sep 2024</t>
  </si>
  <si>
    <t>09/14/2024</t>
  </si>
  <si>
    <t>CUST-3289</t>
  </si>
  <si>
    <t>Max Binders 411</t>
  </si>
  <si>
    <t>ORD-2024-10707</t>
  </si>
  <si>
    <t>24-06-2024</t>
  </si>
  <si>
    <t>CUST-4928</t>
  </si>
  <si>
    <t>Max Paper 343</t>
  </si>
  <si>
    <t>ORD-2025-10708</t>
  </si>
  <si>
    <t>24-06-2025</t>
  </si>
  <si>
    <t>CUST-4902</t>
  </si>
  <si>
    <t>Pro Accessories 485</t>
  </si>
  <si>
    <t>ORD-2025-10709</t>
  </si>
  <si>
    <t>03/20/2025</t>
  </si>
  <si>
    <t>2025-03-26</t>
  </si>
  <si>
    <t>CUST-6504</t>
  </si>
  <si>
    <t>Elite Bookcases 113</t>
  </si>
  <si>
    <t>ORD-2025-10710</t>
  </si>
  <si>
    <t>CUST-8036</t>
  </si>
  <si>
    <t>Eco Phones 787</t>
  </si>
  <si>
    <t>ORD-2024-10711</t>
  </si>
  <si>
    <t>07/12/2024</t>
  </si>
  <si>
    <t>07/19/2024</t>
  </si>
  <si>
    <t>CUST-7199</t>
  </si>
  <si>
    <t>Smart Art 279</t>
  </si>
  <si>
    <t>ORD-2025-10712</t>
  </si>
  <si>
    <t>02-02-2025</t>
  </si>
  <si>
    <t>CUST-6176</t>
  </si>
  <si>
    <t>Basic Machines 172</t>
  </si>
  <si>
    <t>ORD-2024-10713</t>
  </si>
  <si>
    <t>18 Feb 2024</t>
  </si>
  <si>
    <t>CUST-5127</t>
  </si>
  <si>
    <t>Smart Chairs 259</t>
  </si>
  <si>
    <t>ORD-2025-10714</t>
  </si>
  <si>
    <t>06/06/2025</t>
  </si>
  <si>
    <t>Pro Machines 987</t>
  </si>
  <si>
    <t>ORD-2025-10715</t>
  </si>
  <si>
    <t>CUST-9902</t>
  </si>
  <si>
    <t>Pro Copiers 206</t>
  </si>
  <si>
    <t>ORD-2025-10716</t>
  </si>
  <si>
    <t>CUST-7446</t>
  </si>
  <si>
    <t>Max Chairs 372</t>
  </si>
  <si>
    <t>ORD-2025-10717</t>
  </si>
  <si>
    <t>26 Aug 2025</t>
  </si>
  <si>
    <t>CUST-7540</t>
  </si>
  <si>
    <t>Basic Phones 496</t>
  </si>
  <si>
    <t>ORD-2025-10718</t>
  </si>
  <si>
    <t>12-10-2025</t>
  </si>
  <si>
    <t>CUST-8351</t>
  </si>
  <si>
    <t>Prime Machines 612</t>
  </si>
  <si>
    <t>ORD-2024-10719</t>
  </si>
  <si>
    <t>06 Sep 2024</t>
  </si>
  <si>
    <t>CUST-3918</t>
  </si>
  <si>
    <t>Smart Art 866</t>
  </si>
  <si>
    <t>ORD-2025-10720</t>
  </si>
  <si>
    <t>Pro Art 447</t>
  </si>
  <si>
    <t>ORD-2024-10721</t>
  </si>
  <si>
    <t>07/16/2024</t>
  </si>
  <si>
    <t>CUST-1991</t>
  </si>
  <si>
    <t>Smart Copiers 196</t>
  </si>
  <si>
    <t>ORD-2025-10722</t>
  </si>
  <si>
    <t>23-06-2025</t>
  </si>
  <si>
    <t>CUST-7606</t>
  </si>
  <si>
    <t>Pro Copiers 532</t>
  </si>
  <si>
    <t>ORD-2024-10723</t>
  </si>
  <si>
    <t>10 Oct 2024</t>
  </si>
  <si>
    <t>CUST-8844</t>
  </si>
  <si>
    <t>Eco Chairs 442</t>
  </si>
  <si>
    <t>ORD-2025-10724</t>
  </si>
  <si>
    <t>2025-10-13</t>
  </si>
  <si>
    <t>CUST-4335</t>
  </si>
  <si>
    <t>Eco Accessories 364</t>
  </si>
  <si>
    <t>ORD-2024-10725</t>
  </si>
  <si>
    <t>02/10/2024</t>
  </si>
  <si>
    <t>CUST-5891</t>
  </si>
  <si>
    <t>Elite Furnishings 921</t>
  </si>
  <si>
    <t>ORD-2025-10726</t>
  </si>
  <si>
    <t>10/05/2025</t>
  </si>
  <si>
    <t>CUST-6371</t>
  </si>
  <si>
    <t>Max Tables 309</t>
  </si>
  <si>
    <t>ORD-2024-10727</t>
  </si>
  <si>
    <t>2024-01-17</t>
  </si>
  <si>
    <t>01/23/2024</t>
  </si>
  <si>
    <t>CUST-6655</t>
  </si>
  <si>
    <t>Pro Phones 857</t>
  </si>
  <si>
    <t>ORD-2024-10728</t>
  </si>
  <si>
    <t>13 Oct 2024</t>
  </si>
  <si>
    <t>CUST-6492</t>
  </si>
  <si>
    <t>Max Accessories 567</t>
  </si>
  <si>
    <t>ORD-2024-10729</t>
  </si>
  <si>
    <t>CUST-1154</t>
  </si>
  <si>
    <t>Max Machines 200</t>
  </si>
  <si>
    <t>ORD-2025-10730</t>
  </si>
  <si>
    <t>17-05-2025</t>
  </si>
  <si>
    <t>25 May 2025</t>
  </si>
  <si>
    <t>CUST-8713</t>
  </si>
  <si>
    <t>Pro Machines 563</t>
  </si>
  <si>
    <t>ORD-2025-10731</t>
  </si>
  <si>
    <t>06/19/2025</t>
  </si>
  <si>
    <t>CUST-6765</t>
  </si>
  <si>
    <t>Elite Art 696</t>
  </si>
  <si>
    <t>ORD-2024-10732</t>
  </si>
  <si>
    <t>2024-03-17</t>
  </si>
  <si>
    <t>19 Mar 2024</t>
  </si>
  <si>
    <t>CUST-6849</t>
  </si>
  <si>
    <t>Eco Binders 178</t>
  </si>
  <si>
    <t>ORD-2024-10733</t>
  </si>
  <si>
    <t>2024-11-28</t>
  </si>
  <si>
    <t>CUST-4973</t>
  </si>
  <si>
    <t>Max Phones 678</t>
  </si>
  <si>
    <t>ORD-2024-10734</t>
  </si>
  <si>
    <t>28 Jun 2024</t>
  </si>
  <si>
    <t>CUST-2394</t>
  </si>
  <si>
    <t>Classic Furnishings 582</t>
  </si>
  <si>
    <t>ORD-2024-10735</t>
  </si>
  <si>
    <t>24-08-2024</t>
  </si>
  <si>
    <t>CUST-5406</t>
  </si>
  <si>
    <t>Classic Accessories 981</t>
  </si>
  <si>
    <t>ORD-2024-10736</t>
  </si>
  <si>
    <t>2024-08-11</t>
  </si>
  <si>
    <t>CUST-1963</t>
  </si>
  <si>
    <t>Classic Tables 534</t>
  </si>
  <si>
    <t>ORD-2024-10737</t>
  </si>
  <si>
    <t>09-12-2024</t>
  </si>
  <si>
    <t>CUST-9017</t>
  </si>
  <si>
    <t>Pro Chairs 383</t>
  </si>
  <si>
    <t>ORD-2024-10738</t>
  </si>
  <si>
    <t>CUST-7967</t>
  </si>
  <si>
    <t>Max Chairs 845</t>
  </si>
  <si>
    <t>ORD-2025-10739</t>
  </si>
  <si>
    <t>02/22/2025</t>
  </si>
  <si>
    <t>CUST-5334</t>
  </si>
  <si>
    <t>Prime Paper 307</t>
  </si>
  <si>
    <t>ORD-2024-10740</t>
  </si>
  <si>
    <t>03 Dec 2024</t>
  </si>
  <si>
    <t>12/10/2024</t>
  </si>
  <si>
    <t>CUST-5846</t>
  </si>
  <si>
    <t>Basic Phones 859</t>
  </si>
  <si>
    <t>ORD-2024-10741</t>
  </si>
  <si>
    <t>02 Apr 2024</t>
  </si>
  <si>
    <t>Eco Chairs 883</t>
  </si>
  <si>
    <t>ORD-2025-10742</t>
  </si>
  <si>
    <t>04/23/2025</t>
  </si>
  <si>
    <t>2025-04-25</t>
  </si>
  <si>
    <t>CUST-3285</t>
  </si>
  <si>
    <t>Max Chairs 706</t>
  </si>
  <si>
    <t>ORD-2024-10743</t>
  </si>
  <si>
    <t>10/15/2024</t>
  </si>
  <si>
    <t>22 Oct 2024</t>
  </si>
  <si>
    <t>CUST-6368</t>
  </si>
  <si>
    <t>east</t>
  </si>
  <si>
    <t>Prime Paper 768</t>
  </si>
  <si>
    <t>ORD-2025-10744</t>
  </si>
  <si>
    <t>CUST-6231</t>
  </si>
  <si>
    <t>Basic Art 764</t>
  </si>
  <si>
    <t>ORD-2025-10745</t>
  </si>
  <si>
    <t>2025-08-17</t>
  </si>
  <si>
    <t>CUST-2021</t>
  </si>
  <si>
    <t>Prime Binders 181</t>
  </si>
  <si>
    <t>ORD-2024-10746</t>
  </si>
  <si>
    <t>24 Oct 2024</t>
  </si>
  <si>
    <t>28-10-2024</t>
  </si>
  <si>
    <t>CUST-1493</t>
  </si>
  <si>
    <t>Max Copiers 866</t>
  </si>
  <si>
    <t>ORD-2025-10747</t>
  </si>
  <si>
    <t>10-01-2025</t>
  </si>
  <si>
    <t>Pro Paper 662</t>
  </si>
  <si>
    <t>ORD-2024-10748</t>
  </si>
  <si>
    <t>2024-05-01</t>
  </si>
  <si>
    <t>07 May 2024</t>
  </si>
  <si>
    <t>CUST-8416</t>
  </si>
  <si>
    <t>Classic Paper 388</t>
  </si>
  <si>
    <t>ORD-2024-10749</t>
  </si>
  <si>
    <t>30-05-2024</t>
  </si>
  <si>
    <t>05/30/2024</t>
  </si>
  <si>
    <t>CUST-3103</t>
  </si>
  <si>
    <t>Pro Phones 765</t>
  </si>
  <si>
    <t>ORD-2024-10750</t>
  </si>
  <si>
    <t>21 Mar 2024</t>
  </si>
  <si>
    <t>2024-03-25</t>
  </si>
  <si>
    <t>CUST-4457</t>
  </si>
  <si>
    <t>Classic Machines 543</t>
  </si>
  <si>
    <t>ORD-2025-10751</t>
  </si>
  <si>
    <t>06/02/2025</t>
  </si>
  <si>
    <t>CUST-7036</t>
  </si>
  <si>
    <t>Max Accessories 291</t>
  </si>
  <si>
    <t>ORD-2025-10752</t>
  </si>
  <si>
    <t>19-07-2025</t>
  </si>
  <si>
    <t>CUST-8512</t>
  </si>
  <si>
    <t>Eco Machines 414</t>
  </si>
  <si>
    <t>ORD-2024-10753</t>
  </si>
  <si>
    <t>CUST-6345</t>
  </si>
  <si>
    <t>Basic Storage 273</t>
  </si>
  <si>
    <t>ORD-2024-10754</t>
  </si>
  <si>
    <t>CUST-4505</t>
  </si>
  <si>
    <t>Elite Furnishings 588</t>
  </si>
  <si>
    <t>ORD-2025-10755</t>
  </si>
  <si>
    <t>06/04/2025</t>
  </si>
  <si>
    <t>CUST-7960</t>
  </si>
  <si>
    <t>Elite Storage 857</t>
  </si>
  <si>
    <t>ORD-2025-10756</t>
  </si>
  <si>
    <t>CUST-3365</t>
  </si>
  <si>
    <t>Prime Storage 183</t>
  </si>
  <si>
    <t>ORD-2024-10757</t>
  </si>
  <si>
    <t>10/27/2024</t>
  </si>
  <si>
    <t>11/01/2024</t>
  </si>
  <si>
    <t>CUST-1557</t>
  </si>
  <si>
    <t>Smart Accessories 362</t>
  </si>
  <si>
    <t>ORD-2025-10758</t>
  </si>
  <si>
    <t>01 Aug 2025</t>
  </si>
  <si>
    <t>2025-08-03</t>
  </si>
  <si>
    <t>CUST-3058</t>
  </si>
  <si>
    <t>Classic Bookcases 310</t>
  </si>
  <si>
    <t>ORD-2024-10759</t>
  </si>
  <si>
    <t>02 May 2024</t>
  </si>
  <si>
    <t>CUST-6076</t>
  </si>
  <si>
    <t>Prime Chairs 721</t>
  </si>
  <si>
    <t>ORD-2024-10760</t>
  </si>
  <si>
    <t>26-07-2024</t>
  </si>
  <si>
    <t>CUST-2098</t>
  </si>
  <si>
    <t>Prime Tables 797</t>
  </si>
  <si>
    <t>ORD-2024-10761</t>
  </si>
  <si>
    <t>28-08-2024</t>
  </si>
  <si>
    <t>CUST-7193</t>
  </si>
  <si>
    <t>Max Art 926</t>
  </si>
  <si>
    <t>ORD-2025-10762</t>
  </si>
  <si>
    <t>08/31/2025</t>
  </si>
  <si>
    <t>CUST-8948</t>
  </si>
  <si>
    <t>Max Machines 364</t>
  </si>
  <si>
    <t>ORD-2024-10763</t>
  </si>
  <si>
    <t>01/01/2024</t>
  </si>
  <si>
    <t>05 Jan 2024</t>
  </si>
  <si>
    <t>CUST-6921</t>
  </si>
  <si>
    <t>Classic Machines 122</t>
  </si>
  <si>
    <t>ORD-2025-10764</t>
  </si>
  <si>
    <t>23 Aug 2025</t>
  </si>
  <si>
    <t>2025-08-25</t>
  </si>
  <si>
    <t>CUST-4086</t>
  </si>
  <si>
    <t>Elite Furnishings 169</t>
  </si>
  <si>
    <t>ORD-2025-10765</t>
  </si>
  <si>
    <t>Pro Bookcases 615</t>
  </si>
  <si>
    <t>ORD-2025-10766</t>
  </si>
  <si>
    <t>29-06-2025</t>
  </si>
  <si>
    <t>2025-07-03</t>
  </si>
  <si>
    <t>CUST-8747</t>
  </si>
  <si>
    <t>Max Labels 136</t>
  </si>
  <si>
    <t>ORD-2024-10767</t>
  </si>
  <si>
    <t>17 Sep 2024</t>
  </si>
  <si>
    <t>CUST-3156</t>
  </si>
  <si>
    <t>Prime Art 380</t>
  </si>
  <si>
    <t>ORD-2024-10768</t>
  </si>
  <si>
    <t>03 May 2024</t>
  </si>
  <si>
    <t>CUST-2043</t>
  </si>
  <si>
    <t>Classic Binders 234</t>
  </si>
  <si>
    <t>ORD-2025-10769</t>
  </si>
  <si>
    <t>2025-04-04</t>
  </si>
  <si>
    <t>CUST-8808</t>
  </si>
  <si>
    <t>Classic Paper 280</t>
  </si>
  <si>
    <t>ORD-2024-10770</t>
  </si>
  <si>
    <t>05/11/2024</t>
  </si>
  <si>
    <t>CUST-1293</t>
  </si>
  <si>
    <t>Classic Bookcases 922</t>
  </si>
  <si>
    <t>ORD-2024-10771</t>
  </si>
  <si>
    <t>CUST-8384</t>
  </si>
  <si>
    <t>Eco Copiers 396</t>
  </si>
  <si>
    <t>ORD-2024-10772</t>
  </si>
  <si>
    <t>2024-07-12</t>
  </si>
  <si>
    <t>Basic Machines 401</t>
  </si>
  <si>
    <t>ORD-2025-10773</t>
  </si>
  <si>
    <t>CUST-8422</t>
  </si>
  <si>
    <t>Basic Chairs 279</t>
  </si>
  <si>
    <t>ORD-2025-10774</t>
  </si>
  <si>
    <t>2025-02-21</t>
  </si>
  <si>
    <t>21 Feb 2025</t>
  </si>
  <si>
    <t>CUST-4766</t>
  </si>
  <si>
    <t>Basic Phones 753</t>
  </si>
  <si>
    <t>ORD-2025-10775</t>
  </si>
  <si>
    <t>07-08-2025</t>
  </si>
  <si>
    <t>CUST-1182</t>
  </si>
  <si>
    <t>Smart Machines 789</t>
  </si>
  <si>
    <t>ORD-2024-10776</t>
  </si>
  <si>
    <t>14 Apr 2024</t>
  </si>
  <si>
    <t>22-04-2024</t>
  </si>
  <si>
    <t>CUST-4461</t>
  </si>
  <si>
    <t>Elite Accessories 312</t>
  </si>
  <si>
    <t>ORD-2025-10777</t>
  </si>
  <si>
    <t>08-06-2025</t>
  </si>
  <si>
    <t>CUST-9690</t>
  </si>
  <si>
    <t>Eco Copiers 528</t>
  </si>
  <si>
    <t>ORD-2024-10778</t>
  </si>
  <si>
    <t>04-02-2024</t>
  </si>
  <si>
    <t>CUST-6879</t>
  </si>
  <si>
    <t>Elite Accessories 226</t>
  </si>
  <si>
    <t>ORD-2024-10779</t>
  </si>
  <si>
    <t>24-07-2024</t>
  </si>
  <si>
    <t>CUST-4714</t>
  </si>
  <si>
    <t>Pro Copiers 298</t>
  </si>
  <si>
    <t>ORD-2024-10780</t>
  </si>
  <si>
    <t>20-01-2024</t>
  </si>
  <si>
    <t>CUST-7547</t>
  </si>
  <si>
    <t>Prime Chairs 331</t>
  </si>
  <si>
    <t>ORD-2024-10781</t>
  </si>
  <si>
    <t>04 Aug 2024</t>
  </si>
  <si>
    <t>CUST-3288</t>
  </si>
  <si>
    <t>Classic Chairs 798</t>
  </si>
  <si>
    <t>ORD-2024-10782</t>
  </si>
  <si>
    <t>2024-02-02</t>
  </si>
  <si>
    <t>CUST-8597</t>
  </si>
  <si>
    <t>Classic Labels 204</t>
  </si>
  <si>
    <t>ORD-2025-10783</t>
  </si>
  <si>
    <t>03/22/2025</t>
  </si>
  <si>
    <t>CUST-9085</t>
  </si>
  <si>
    <t>Basic Copiers 254</t>
  </si>
  <si>
    <t>ORD-2024-10784</t>
  </si>
  <si>
    <t>07 Jun 2024</t>
  </si>
  <si>
    <t>2024-06-07</t>
  </si>
  <si>
    <t>CUST-7746</t>
  </si>
  <si>
    <t>Basic Art 709</t>
  </si>
  <si>
    <t>ORD-2025-10785</t>
  </si>
  <si>
    <t>10/04/2025</t>
  </si>
  <si>
    <t>CUST-3119</t>
  </si>
  <si>
    <t>north</t>
  </si>
  <si>
    <t>Max Copiers 551</t>
  </si>
  <si>
    <t>ORD-2024-10786</t>
  </si>
  <si>
    <t>23-05-2024</t>
  </si>
  <si>
    <t>CUST-7518</t>
  </si>
  <si>
    <t>Eco Storage 183</t>
  </si>
  <si>
    <t>ORD-2025-10787</t>
  </si>
  <si>
    <t>CUST-1343</t>
  </si>
  <si>
    <t>Pro Furnishings 233</t>
  </si>
  <si>
    <t>ORD-2024-10788</t>
  </si>
  <si>
    <t>2024-09-18</t>
  </si>
  <si>
    <t>CUST-7548</t>
  </si>
  <si>
    <t>Prime Paper 878</t>
  </si>
  <si>
    <t>ORD-2024-10789</t>
  </si>
  <si>
    <t>CUST-3631</t>
  </si>
  <si>
    <t>Smart Chairs 353</t>
  </si>
  <si>
    <t>ORD-2025-10790</t>
  </si>
  <si>
    <t>07 Mar 2025</t>
  </si>
  <si>
    <t>CUST-1453</t>
  </si>
  <si>
    <t>Smart Copiers 408</t>
  </si>
  <si>
    <t>ORD-2024-10791</t>
  </si>
  <si>
    <t>31 May 2024</t>
  </si>
  <si>
    <t>2024-06-02</t>
  </si>
  <si>
    <t>CUST-1951</t>
  </si>
  <si>
    <t>Classic Art 781</t>
  </si>
  <si>
    <t>ORD-2024-10792</t>
  </si>
  <si>
    <t>2024-10-06</t>
  </si>
  <si>
    <t>CUST-6300</t>
  </si>
  <si>
    <t>Eco Bookcases 144</t>
  </si>
  <si>
    <t>ORD-2025-10793</t>
  </si>
  <si>
    <t>08 Jun 2025</t>
  </si>
  <si>
    <t>CUST-1417</t>
  </si>
  <si>
    <t>Elite Furnishings 852</t>
  </si>
  <si>
    <t>ORD-2024-10794</t>
  </si>
  <si>
    <t>03 Jun 2024</t>
  </si>
  <si>
    <t>CUST-5421</t>
  </si>
  <si>
    <t>Basic Copiers 238</t>
  </si>
  <si>
    <t>ORD-2025-10795</t>
  </si>
  <si>
    <t>2025-06-22</t>
  </si>
  <si>
    <t>CUST-2829</t>
  </si>
  <si>
    <t>Elite Paper 847</t>
  </si>
  <si>
    <t>ORD-2024-10796</t>
  </si>
  <si>
    <t>30-07-2024</t>
  </si>
  <si>
    <t>CUST-6529</t>
  </si>
  <si>
    <t>Pro Copiers 653</t>
  </si>
  <si>
    <t>ORD-2024-10797</t>
  </si>
  <si>
    <t>30-03-2024</t>
  </si>
  <si>
    <t>CUST-3126</t>
  </si>
  <si>
    <t>Elite Machines 459</t>
  </si>
  <si>
    <t>ORD-2024-10798</t>
  </si>
  <si>
    <t>18 Apr 2024</t>
  </si>
  <si>
    <t>CUST-3991</t>
  </si>
  <si>
    <t>Elite Binders 764</t>
  </si>
  <si>
    <t>ORD-2025-10799</t>
  </si>
  <si>
    <t>2025-07-11</t>
  </si>
  <si>
    <t>09-07-2025</t>
  </si>
  <si>
    <t>CUST-7553</t>
  </si>
  <si>
    <t>Classic Furnishings 348</t>
  </si>
  <si>
    <t>ORD-2024-10800</t>
  </si>
  <si>
    <t>CUST-8527</t>
  </si>
  <si>
    <t>Smart Accessories 487</t>
  </si>
  <si>
    <t>ORD-2024-10801</t>
  </si>
  <si>
    <t>01 Mar 2024</t>
  </si>
  <si>
    <t>2024-03-07</t>
  </si>
  <si>
    <t>CUST-5015</t>
  </si>
  <si>
    <t>Elite Storage 825</t>
  </si>
  <si>
    <t>ORD-2025-10802</t>
  </si>
  <si>
    <t>2025-10-08</t>
  </si>
  <si>
    <t>CUST-3344</t>
  </si>
  <si>
    <t>Pro Accessories 500</t>
  </si>
  <si>
    <t>ORD-2025-10803</t>
  </si>
  <si>
    <t>2025-02-16</t>
  </si>
  <si>
    <t>CUST-5866</t>
  </si>
  <si>
    <t>Pro Furnishings 909</t>
  </si>
  <si>
    <t>failed</t>
  </si>
  <si>
    <t>ORD-2024-10804</t>
  </si>
  <si>
    <t>09 Dec 2024</t>
  </si>
  <si>
    <t>CUST-7180</t>
  </si>
  <si>
    <t>Basic Labels 359</t>
  </si>
  <si>
    <t>ORD-2025-10805</t>
  </si>
  <si>
    <t>CUST-8745</t>
  </si>
  <si>
    <t>Eco Furnishings 541</t>
  </si>
  <si>
    <t>ORD-2025-10806</t>
  </si>
  <si>
    <t>Classic Binders 103</t>
  </si>
  <si>
    <t>ORD-2024-10807</t>
  </si>
  <si>
    <t>09-11-2024</t>
  </si>
  <si>
    <t>15 Nov 2024</t>
  </si>
  <si>
    <t>CUST-3704</t>
  </si>
  <si>
    <t>Max Copiers 560</t>
  </si>
  <si>
    <t>ORD-2025-10808</t>
  </si>
  <si>
    <t>CUST-5884</t>
  </si>
  <si>
    <t>Smart Labels 436</t>
  </si>
  <si>
    <t>standard class</t>
  </si>
  <si>
    <t>ORD-2025-10809</t>
  </si>
  <si>
    <t>2025-08-31</t>
  </si>
  <si>
    <t>CUST-7503</t>
  </si>
  <si>
    <t>Pro Furnishings 386</t>
  </si>
  <si>
    <t>ORD-2025-10810</t>
  </si>
  <si>
    <t>CUST-6973</t>
  </si>
  <si>
    <t>Eco Binders 601</t>
  </si>
  <si>
    <t>ORD-2024-10811</t>
  </si>
  <si>
    <t>04/03/2024</t>
  </si>
  <si>
    <t>08-04-2024</t>
  </si>
  <si>
    <t>Pro Copiers 867</t>
  </si>
  <si>
    <t>ORD-2024-10812</t>
  </si>
  <si>
    <t>12 Dec 2024</t>
  </si>
  <si>
    <t>19 Dec 2024</t>
  </si>
  <si>
    <t>CUST-3303</t>
  </si>
  <si>
    <t>Eco Accessories 122</t>
  </si>
  <si>
    <t>ORD-2024-10813</t>
  </si>
  <si>
    <t>20-06-2024</t>
  </si>
  <si>
    <t>CUST-5754</t>
  </si>
  <si>
    <t>Basic Tables 127</t>
  </si>
  <si>
    <t>ORD-2025-10814</t>
  </si>
  <si>
    <t>04/06/2025</t>
  </si>
  <si>
    <t>10 Apr 2025</t>
  </si>
  <si>
    <t>CUST-7848</t>
  </si>
  <si>
    <t>ORD-2025-10815</t>
  </si>
  <si>
    <t>CUST-9048</t>
  </si>
  <si>
    <t>Smart Labels 126</t>
  </si>
  <si>
    <t>ORD-2024-10816</t>
  </si>
  <si>
    <t>2024-04-08</t>
  </si>
  <si>
    <t>CUST-2951</t>
  </si>
  <si>
    <t>Max Machines 569</t>
  </si>
  <si>
    <t>ORD-2024-10817</t>
  </si>
  <si>
    <t>11/27/2024</t>
  </si>
  <si>
    <t>2024-11-30</t>
  </si>
  <si>
    <t>CUST-3072</t>
  </si>
  <si>
    <t>Basic Furnishings 306</t>
  </si>
  <si>
    <t>ORD-2025-10818</t>
  </si>
  <si>
    <t>05 Apr 2025</t>
  </si>
  <si>
    <t>04/05/2025</t>
  </si>
  <si>
    <t>CUST-2221</t>
  </si>
  <si>
    <t>Classic Binders 873</t>
  </si>
  <si>
    <t>ORD-2024-10819</t>
  </si>
  <si>
    <t>29 Sep 2024</t>
  </si>
  <si>
    <t>CUST-3943</t>
  </si>
  <si>
    <t>Pro Labels 611</t>
  </si>
  <si>
    <t>ORD-2024-10820</t>
  </si>
  <si>
    <t>31-07-2024</t>
  </si>
  <si>
    <t>CUST-7510</t>
  </si>
  <si>
    <t>MACHINES</t>
  </si>
  <si>
    <t>Prime Machines 524</t>
  </si>
  <si>
    <t>ORD-2025-10821</t>
  </si>
  <si>
    <t>06-02-2025</t>
  </si>
  <si>
    <t>10-02-2025</t>
  </si>
  <si>
    <t>CUST-2041</t>
  </si>
  <si>
    <t>Classic Bookcases 882</t>
  </si>
  <si>
    <t>ORD-2024-10822</t>
  </si>
  <si>
    <t>2024-07-03</t>
  </si>
  <si>
    <t>06-07-2024</t>
  </si>
  <si>
    <t>CUST-4466</t>
  </si>
  <si>
    <t>Classic Accessories 471</t>
  </si>
  <si>
    <t>ORD-2024-10823</t>
  </si>
  <si>
    <t>10/12/2024</t>
  </si>
  <si>
    <t>08 Oct 2024</t>
  </si>
  <si>
    <t>CUST-3188</t>
  </si>
  <si>
    <t>Smart Furnishings 175</t>
  </si>
  <si>
    <t>ORD-2025-10824</t>
  </si>
  <si>
    <t>2025-01-06</t>
  </si>
  <si>
    <t>CUST-6638</t>
  </si>
  <si>
    <t>Basic Paper 899</t>
  </si>
  <si>
    <t>ORD-2025-10825</t>
  </si>
  <si>
    <t>21-03-2025</t>
  </si>
  <si>
    <t>CUST-3540</t>
  </si>
  <si>
    <t>Pro Paper 267</t>
  </si>
  <si>
    <t>ORD-2025-10826</t>
  </si>
  <si>
    <t>16 Apr 2025</t>
  </si>
  <si>
    <t>17-04-2025</t>
  </si>
  <si>
    <t>CUST-3351</t>
  </si>
  <si>
    <t>Basic Machines 832</t>
  </si>
  <si>
    <t>ORD-2025-10827</t>
  </si>
  <si>
    <t>14 Aug 2025</t>
  </si>
  <si>
    <t>CUST-4375</t>
  </si>
  <si>
    <t>Elite Accessories 790</t>
  </si>
  <si>
    <t>ORD-2024-10828</t>
  </si>
  <si>
    <t>24 Nov 2024</t>
  </si>
  <si>
    <t>CUST-5125</t>
  </si>
  <si>
    <t>Basic Paper 707</t>
  </si>
  <si>
    <t>ORD-2025-10829</t>
  </si>
  <si>
    <t>10/10/2025</t>
  </si>
  <si>
    <t>11-10-2025</t>
  </si>
  <si>
    <t>CUST-6010</t>
  </si>
  <si>
    <t>Elite Chairs 979</t>
  </si>
  <si>
    <t>ORD-2024-10830</t>
  </si>
  <si>
    <t>02/26/2024</t>
  </si>
  <si>
    <t>CUST-9036</t>
  </si>
  <si>
    <t>Pro Furnishings 192</t>
  </si>
  <si>
    <t>ORD-2025-10831</t>
  </si>
  <si>
    <t>CUST-7929</t>
  </si>
  <si>
    <t>Smart Machines 951</t>
  </si>
  <si>
    <t>ORD-2025-10832</t>
  </si>
  <si>
    <t>CUST-1106</t>
  </si>
  <si>
    <t>Smart Chairs 794</t>
  </si>
  <si>
    <t>ORD-2025-10833</t>
  </si>
  <si>
    <t>26 May 2025</t>
  </si>
  <si>
    <t>28-05-2025</t>
  </si>
  <si>
    <t>CUST-9557</t>
  </si>
  <si>
    <t>Max Phones 919</t>
  </si>
  <si>
    <t>ORD-2024-10834</t>
  </si>
  <si>
    <t>2024-06-04</t>
  </si>
  <si>
    <t>06/04/2024</t>
  </si>
  <si>
    <t>CUST-2689</t>
  </si>
  <si>
    <t>Basic Bookcases 499</t>
  </si>
  <si>
    <t>ORD-2024-10835</t>
  </si>
  <si>
    <t>2024-10-22</t>
  </si>
  <si>
    <t>CUST-2879</t>
  </si>
  <si>
    <t>Basic Art 143</t>
  </si>
  <si>
    <t>ORD-2025-10836</t>
  </si>
  <si>
    <t>CUST-5150</t>
  </si>
  <si>
    <t>Prime Phones 338</t>
  </si>
  <si>
    <t>ORD-2024-10837</t>
  </si>
  <si>
    <t>2024-12-18</t>
  </si>
  <si>
    <t>CUST-9776</t>
  </si>
  <si>
    <t>Smart Labels 814</t>
  </si>
  <si>
    <t>ORD-2025-10838</t>
  </si>
  <si>
    <t>09/28/2025</t>
  </si>
  <si>
    <t>CUST-2551</t>
  </si>
  <si>
    <t>Prime Paper 812</t>
  </si>
  <si>
    <t>ORD-2025-10839</t>
  </si>
  <si>
    <t>07 Apr 2025</t>
  </si>
  <si>
    <t>CUST-4708</t>
  </si>
  <si>
    <t>Pro Paper 355</t>
  </si>
  <si>
    <t>ORD-2024-10840</t>
  </si>
  <si>
    <t>09/20/2024</t>
  </si>
  <si>
    <t>22-09-2024</t>
  </si>
  <si>
    <t>CUST-8206</t>
  </si>
  <si>
    <t>Basic Phones 398</t>
  </si>
  <si>
    <t>ORD-2025-10841</t>
  </si>
  <si>
    <t>CUST-1297</t>
  </si>
  <si>
    <t>Classic Chairs 204</t>
  </si>
  <si>
    <t>ORD-2025-10842</t>
  </si>
  <si>
    <t>2025-02-06</t>
  </si>
  <si>
    <t>12 Feb 2025</t>
  </si>
  <si>
    <t>CUST-7558</t>
  </si>
  <si>
    <t>Max Art 339</t>
  </si>
  <si>
    <t>ORD-2024-10843</t>
  </si>
  <si>
    <t>31-03-2024</t>
  </si>
  <si>
    <t>03/30/2024</t>
  </si>
  <si>
    <t>CUST-1798</t>
  </si>
  <si>
    <t>kabir singh</t>
  </si>
  <si>
    <t>Smart Machines 581</t>
  </si>
  <si>
    <t>ORD-2025-10844</t>
  </si>
  <si>
    <t>25 Jul 2025</t>
  </si>
  <si>
    <t>CUST-7333</t>
  </si>
  <si>
    <t>Prime Phones 482</t>
  </si>
  <si>
    <t>ORD-2025-10845</t>
  </si>
  <si>
    <t>20-01-2025</t>
  </si>
  <si>
    <t>25-01-2025</t>
  </si>
  <si>
    <t>CUST-2086</t>
  </si>
  <si>
    <t>Pro Art 588</t>
  </si>
  <si>
    <t>ORD-2024-10846</t>
  </si>
  <si>
    <t>27 Feb 2024</t>
  </si>
  <si>
    <t>Eco Tables 792</t>
  </si>
  <si>
    <t>ORD-2024-10847</t>
  </si>
  <si>
    <t>2024-04-14</t>
  </si>
  <si>
    <t>2024-04-22</t>
  </si>
  <si>
    <t>CUST-6522</t>
  </si>
  <si>
    <t>Prime Bookcases 177</t>
  </si>
  <si>
    <t>ORD-2025-10848</t>
  </si>
  <si>
    <t>2025-05-20</t>
  </si>
  <si>
    <t>05/22/2025</t>
  </si>
  <si>
    <t>CUST-8329</t>
  </si>
  <si>
    <t>Pro Tables 828</t>
  </si>
  <si>
    <t>ORD-2025-10849</t>
  </si>
  <si>
    <t>29 May 2025</t>
  </si>
  <si>
    <t>CUST-4426</t>
  </si>
  <si>
    <t>Elite Furnishings 480</t>
  </si>
  <si>
    <t>ORD-2024-10850</t>
  </si>
  <si>
    <t>2024-03-06</t>
  </si>
  <si>
    <t>CUST-3360</t>
  </si>
  <si>
    <t>Prime Bookcases 755</t>
  </si>
  <si>
    <t>ORD-2024-10851</t>
  </si>
  <si>
    <t>CUST-2623</t>
  </si>
  <si>
    <t>Prime Paper 317</t>
  </si>
  <si>
    <t>ORD-2024-10852</t>
  </si>
  <si>
    <t>CUST-3175</t>
  </si>
  <si>
    <t>Classic Accessories 933</t>
  </si>
  <si>
    <t>ORD-2024-10853</t>
  </si>
  <si>
    <t>01-04-2024</t>
  </si>
  <si>
    <t>CUST-9630</t>
  </si>
  <si>
    <t>Smart Tables 513</t>
  </si>
  <si>
    <t>ORD-2025-10854</t>
  </si>
  <si>
    <t>2025-05-16</t>
  </si>
  <si>
    <t>CUST-8274</t>
  </si>
  <si>
    <t>Elite Accessories 708</t>
  </si>
  <si>
    <t>ORD-2025-10855</t>
  </si>
  <si>
    <t>03/25/2025</t>
  </si>
  <si>
    <t>04/02/2025</t>
  </si>
  <si>
    <t>CUST-2514</t>
  </si>
  <si>
    <t>Max Bookcases 381</t>
  </si>
  <si>
    <t>ORD-2024-10856</t>
  </si>
  <si>
    <t>02 Aug 2024</t>
  </si>
  <si>
    <t>LABELS</t>
  </si>
  <si>
    <t>Classic Labels 215</t>
  </si>
  <si>
    <t>ORD-2024-10857</t>
  </si>
  <si>
    <t>2024-06-12</t>
  </si>
  <si>
    <t>Classic Storage 918</t>
  </si>
  <si>
    <t>ORD-2024-10858</t>
  </si>
  <si>
    <t>04 Jun 2024</t>
  </si>
  <si>
    <t>04-06-2024</t>
  </si>
  <si>
    <t>Max Storage 223</t>
  </si>
  <si>
    <t>ORD-2024-10859</t>
  </si>
  <si>
    <t>CUST-9576</t>
  </si>
  <si>
    <t>Basic Accessories 602</t>
  </si>
  <si>
    <t>ORD-2024-10860</t>
  </si>
  <si>
    <t>2024-11-01</t>
  </si>
  <si>
    <t>CUST-2395</t>
  </si>
  <si>
    <t>Elite Phones 394</t>
  </si>
  <si>
    <t>ORD-2024-10861</t>
  </si>
  <si>
    <t>04 Feb 2024</t>
  </si>
  <si>
    <t>CUST-8941</t>
  </si>
  <si>
    <t>Classic Storage 194</t>
  </si>
  <si>
    <t>ORD-2025-10862</t>
  </si>
  <si>
    <t>2025-03-08</t>
  </si>
  <si>
    <t>2025-03-09</t>
  </si>
  <si>
    <t>CUST-9448</t>
  </si>
  <si>
    <t>Smart Furnishings 892</t>
  </si>
  <si>
    <t>ORD-2025-10863</t>
  </si>
  <si>
    <t>31-03-2025</t>
  </si>
  <si>
    <t>CUST-8354</t>
  </si>
  <si>
    <t>Pro Binders 488</t>
  </si>
  <si>
    <t>ORD-2025-10864</t>
  </si>
  <si>
    <t>09/06/2025</t>
  </si>
  <si>
    <t>CUST-2200</t>
  </si>
  <si>
    <t>Prime Furnishings 679</t>
  </si>
  <si>
    <t>ORD-2025-10865</t>
  </si>
  <si>
    <t>02 Sep 2025</t>
  </si>
  <si>
    <t>CUST-1178</t>
  </si>
  <si>
    <t>Smart Phones 158</t>
  </si>
  <si>
    <t>ORD-2025-10866</t>
  </si>
  <si>
    <t>CUST-8099</t>
  </si>
  <si>
    <t>Classic Labels 218</t>
  </si>
  <si>
    <t>ORD-2025-10867</t>
  </si>
  <si>
    <t>2025-03-06</t>
  </si>
  <si>
    <t>CUST-7596</t>
  </si>
  <si>
    <t>Smart Bookcases 552</t>
  </si>
  <si>
    <t>ORD-2024-10868</t>
  </si>
  <si>
    <t>21 Nov 2024</t>
  </si>
  <si>
    <t>22 Nov 2024</t>
  </si>
  <si>
    <t>CUST-2328</t>
  </si>
  <si>
    <t>Eco Accessories 389</t>
  </si>
  <si>
    <t>ORD-2025-10869</t>
  </si>
  <si>
    <t>CUST-8483</t>
  </si>
  <si>
    <t>Elite Storage 187</t>
  </si>
  <si>
    <t>ORD-2025-10870</t>
  </si>
  <si>
    <t>03/06/2025</t>
  </si>
  <si>
    <t>CUST-2388</t>
  </si>
  <si>
    <t>ORD-2025-10871</t>
  </si>
  <si>
    <t>06 Jun 2025</t>
  </si>
  <si>
    <t>07 Jun 2025</t>
  </si>
  <si>
    <t>CUST-7054</t>
  </si>
  <si>
    <t>Max Tables 281</t>
  </si>
  <si>
    <t>ORD-2024-10872</t>
  </si>
  <si>
    <t>02/20/2024</t>
  </si>
  <si>
    <t>Pro Accessories 325</t>
  </si>
  <si>
    <t>ORD-2024-10873</t>
  </si>
  <si>
    <t>02 Nov 2024</t>
  </si>
  <si>
    <t>Prime Furnishings 178</t>
  </si>
  <si>
    <t>ORD-2025-10874</t>
  </si>
  <si>
    <t>01 Feb 2025</t>
  </si>
  <si>
    <t>08-02-2025</t>
  </si>
  <si>
    <t>CUST-8160</t>
  </si>
  <si>
    <t>Elite Storage 144</t>
  </si>
  <si>
    <t>ORD-2025-10875</t>
  </si>
  <si>
    <t>CUST-8770</t>
  </si>
  <si>
    <t>Elite Paper 309</t>
  </si>
  <si>
    <t>ORD-2024-10876</t>
  </si>
  <si>
    <t>10 Aug 2024</t>
  </si>
  <si>
    <t>08/11/2024</t>
  </si>
  <si>
    <t>CUST-6928</t>
  </si>
  <si>
    <t>Elite Copiers 752</t>
  </si>
  <si>
    <t>ORD-2024-10877</t>
  </si>
  <si>
    <t>11/18/2024</t>
  </si>
  <si>
    <t>20-11-2024</t>
  </si>
  <si>
    <t>CUST-9044</t>
  </si>
  <si>
    <t>ORD-2025-10878</t>
  </si>
  <si>
    <t>26-08-2025</t>
  </si>
  <si>
    <t>CUST-7146</t>
  </si>
  <si>
    <t>Max Storage 438</t>
  </si>
  <si>
    <t>ORD-2024-10879</t>
  </si>
  <si>
    <t>CUST-8534</t>
  </si>
  <si>
    <t>Basic Paper 904</t>
  </si>
  <si>
    <t>ORD-2025-10880</t>
  </si>
  <si>
    <t>2025-08-27</t>
  </si>
  <si>
    <t>CUST-4486</t>
  </si>
  <si>
    <t>Smart Art 990</t>
  </si>
  <si>
    <t>ORD-2024-10881</t>
  </si>
  <si>
    <t>08-03-2024</t>
  </si>
  <si>
    <t>CUST-5287</t>
  </si>
  <si>
    <t>Basic Chairs 327</t>
  </si>
  <si>
    <t>ORD-2024-10882</t>
  </si>
  <si>
    <t>05-12-2024</t>
  </si>
  <si>
    <t>CUST-3445</t>
  </si>
  <si>
    <t>Eco Copiers 987</t>
  </si>
  <si>
    <t>ORD-2025-10883</t>
  </si>
  <si>
    <t>02 Feb 2025</t>
  </si>
  <si>
    <t>CUST-4983</t>
  </si>
  <si>
    <t>Basic Accessories 607</t>
  </si>
  <si>
    <t>ORD-2025-10884</t>
  </si>
  <si>
    <t>28 Apr 2025</t>
  </si>
  <si>
    <t>05/01/2025</t>
  </si>
  <si>
    <t>CUST-2597</t>
  </si>
  <si>
    <t>Classic Storage 211</t>
  </si>
  <si>
    <t>ORD-2025-10885</t>
  </si>
  <si>
    <t>18-01-2025</t>
  </si>
  <si>
    <t>2025-01-25</t>
  </si>
  <si>
    <t>CUST-7505</t>
  </si>
  <si>
    <t>Eco Storage 783</t>
  </si>
  <si>
    <t>ORD-2024-10886</t>
  </si>
  <si>
    <t>2024-01-05</t>
  </si>
  <si>
    <t>CUST-3446</t>
  </si>
  <si>
    <t>Pro Tables 866</t>
  </si>
  <si>
    <t>ORD-2025-10887</t>
  </si>
  <si>
    <t>26-04-2025</t>
  </si>
  <si>
    <t>03-05-2025</t>
  </si>
  <si>
    <t>CUST-3549</t>
  </si>
  <si>
    <t>Max Accessories 541</t>
  </si>
  <si>
    <t>ORD-2024-10888</t>
  </si>
  <si>
    <t>CUST-2795</t>
  </si>
  <si>
    <t>Prime Art 596</t>
  </si>
  <si>
    <t>ORD-2025-10889</t>
  </si>
  <si>
    <t>06-08-2025</t>
  </si>
  <si>
    <t>CUST-1081</t>
  </si>
  <si>
    <t>Pro Art 620</t>
  </si>
  <si>
    <t>ORD-2025-10890</t>
  </si>
  <si>
    <t>10 Mar 2025</t>
  </si>
  <si>
    <t>03/11/2025</t>
  </si>
  <si>
    <t>Prime Storage 806</t>
  </si>
  <si>
    <t>ORD-2024-10891</t>
  </si>
  <si>
    <t>CUST-3992</t>
  </si>
  <si>
    <t>Smart Storage 288</t>
  </si>
  <si>
    <t>ORD-2024-10892</t>
  </si>
  <si>
    <t>CUST-6647</t>
  </si>
  <si>
    <t>Elite Machines 281</t>
  </si>
  <si>
    <t>ORD-2025-10893</t>
  </si>
  <si>
    <t>04/12/2025</t>
  </si>
  <si>
    <t>CUST-5087</t>
  </si>
  <si>
    <t>Elite Copiers 221</t>
  </si>
  <si>
    <t>ORD-2024-10894</t>
  </si>
  <si>
    <t>06 Jun 2024</t>
  </si>
  <si>
    <t>08 Jun 2024</t>
  </si>
  <si>
    <t>CUST-9297</t>
  </si>
  <si>
    <t>Max Tables 291</t>
  </si>
  <si>
    <t>ORD-2024-10895</t>
  </si>
  <si>
    <t>02/29/2024</t>
  </si>
  <si>
    <t>CUST-7996</t>
  </si>
  <si>
    <t>Classic Tables 638</t>
  </si>
  <si>
    <t>ORD-2024-10896</t>
  </si>
  <si>
    <t>05 Nov 2024</t>
  </si>
  <si>
    <t>CUST-4117</t>
  </si>
  <si>
    <t>Basic Chairs 212</t>
  </si>
  <si>
    <t>ORD-2024-10897</t>
  </si>
  <si>
    <t>12/24/2024</t>
  </si>
  <si>
    <t>CUST-4848</t>
  </si>
  <si>
    <t>Max Copiers 121</t>
  </si>
  <si>
    <t>ORD-2025-10898</t>
  </si>
  <si>
    <t>03 May 2025</t>
  </si>
  <si>
    <t>Eco Paper 747</t>
  </si>
  <si>
    <t>ORD-2024-10899</t>
  </si>
  <si>
    <t>CUST-6046</t>
  </si>
  <si>
    <t>Classic Tables 535</t>
  </si>
  <si>
    <t>ORD-2025-10900</t>
  </si>
  <si>
    <t>06/03/2025</t>
  </si>
  <si>
    <t>CUST-3789</t>
  </si>
  <si>
    <t>Elite Chairs 971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</si>
</sst>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>
    <font>
      <sz val="11"/>
      <color theme="1"/>
      <name val="Calibri"/>
      <family val="2"/>
      <scheme val="minor"/>
    </font>
    <font>
      <b/>
      <sz val="11"/>
      <color rgb="FFFFFFFF"/>
      <name val="Carlito"/>
    </font>
  </fonts>
  <fills count="3">
    <fill>
      <patternFill patternType="none"/>
    </fill>
    <fill>
      <patternFill patternType="gray125"/>
    </fill>
    <fill>
      <patternFill patternType="solid">
        <fgColor rgb="FF24406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right" vertical="center" wrapText="1"/>
    </xf>
    <xf numFmtId="0" fontId="1" fillId="2" borderId="0" xfId="0" applyFont="1" applyFill="1" applyBorder="1" applyAlignment="1">
      <alignment horizontal="right" vertical="center" wrapText="1"/>
    </xf>
    <xf numFmtId="14" fontId="1" fillId="2" borderId="0" xfId="0" applyNumberFormat="1" applyFont="1" applyFill="1" applyBorder="1" applyAlignment="1">
      <alignment horizontal="center" vertical="center" wrapText="1"/>
    </xf>
    <xf numFmtId="14" fontId="1" fillId="2" borderId="0" xfId="0" applyNumberFormat="1" applyFont="1" applyFill="1" applyAlignment="1">
      <alignment horizontal="right" vertical="center" wrapText="1"/>
    </xf>
    <xf numFmtId="1" fontId="1" fillId="2" borderId="0" xfId="0" applyNumberFormat="1" applyFont="1" applyFill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Border="1" applyAlignment="1">
      <alignment horizontal="right"/>
    </xf>
    <xf numFmtId="14" fontId="0" fillId="0" borderId="0" xfId="0" applyNumberFormat="1"/>
    <xf numFmtId="14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913"/>
  <sheetViews>
    <sheetView tabSelected="1" topLeftCell="F1" workbookViewId="0">
      <selection activeCell="F12" sqref="F12"/>
    </sheetView>
  </sheetViews>
  <sheetFormatPr defaultRowHeight="15"/>
  <cols>
    <col min="7" max="7" width="5.28515625" customWidth="1"/>
  </cols>
  <sheetData>
    <row r="1" spans="1:41" ht="45">
      <c r="A1" s="1" t="s">
        <v>0</v>
      </c>
      <c r="B1" s="2" t="s">
        <v>1</v>
      </c>
      <c r="C1" s="3" t="s">
        <v>2</v>
      </c>
      <c r="D1" s="1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</row>
    <row r="2" spans="1:41">
      <c r="A2" s="6" t="s">
        <v>41</v>
      </c>
      <c r="B2" s="7" t="s">
        <v>42</v>
      </c>
      <c r="C2" s="8">
        <v>45494</v>
      </c>
      <c r="D2" s="7" t="s">
        <v>43</v>
      </c>
      <c r="E2" s="9">
        <v>45500</v>
      </c>
      <c r="F2" s="9" t="str">
        <f t="shared" ref="F2:F65" si="0">IF(E2&lt;C2,"Invalid Shipping Record","Valid")</f>
        <v>Valid</v>
      </c>
      <c r="G2" s="10">
        <f t="shared" ref="G2:G65" si="1">E2-C2</f>
        <v>6</v>
      </c>
      <c r="H2" s="10" t="str">
        <f t="shared" ref="H2:H65" si="2">IF(OR(C2="",E2=""),"Missing Date",IF(OR(NOT(ISNUMBER(C2)),NOT(ISNUMBER(E2))),"Invalid Date",IF(E2&lt;C2,"Invalid Shipping Record","Valid")))</f>
        <v>Valid</v>
      </c>
      <c r="I2" s="6" t="s">
        <v>44</v>
      </c>
      <c r="J2" s="6" t="s">
        <v>45</v>
      </c>
      <c r="K2" s="6" t="s">
        <v>45</v>
      </c>
      <c r="L2" s="6" t="s">
        <v>46</v>
      </c>
      <c r="M2" s="7" t="str">
        <f t="shared" ref="M2:M65" si="3">PROPER(TRIM(L2))</f>
        <v>Consumer</v>
      </c>
      <c r="N2" s="6" t="s">
        <v>47</v>
      </c>
      <c r="O2" s="7" t="str">
        <f t="shared" ref="O2:O65" si="4">IF(TRIM(N2)="","Unknown",PROPER(TRIM(N2)))</f>
        <v>North</v>
      </c>
      <c r="P2" s="6" t="s">
        <v>48</v>
      </c>
      <c r="Q2" s="6" t="s">
        <v>49</v>
      </c>
      <c r="R2" s="6" t="s">
        <v>50</v>
      </c>
      <c r="S2" s="7" t="str">
        <f t="shared" ref="S2:S65" si="5">PROPER(TRIM(R2))</f>
        <v>Office Supplies</v>
      </c>
      <c r="T2" s="6" t="s">
        <v>51</v>
      </c>
      <c r="U2" s="6" t="s">
        <v>52</v>
      </c>
      <c r="V2" s="6" t="s">
        <v>53</v>
      </c>
      <c r="W2" s="7" t="str">
        <f t="shared" ref="W2:W65" si="6">IF(TRIM(V2)="","Unknown",PROPER(TRIM(V2)))</f>
        <v>Second Class</v>
      </c>
      <c r="X2" s="6">
        <v>8</v>
      </c>
      <c r="Y2" s="6">
        <v>2976.45</v>
      </c>
      <c r="Z2" s="6">
        <v>0.2</v>
      </c>
      <c r="AA2" s="6">
        <f>IF(Z2="",0,Z2)</f>
        <v>0.2</v>
      </c>
      <c r="AB2" s="6" t="str">
        <f>IF(AA2&lt;0,"Invalid - Negative Discount",IF(AA2&gt;1,"Invalid - Discount Above Limit","Valid"))</f>
        <v>Valid</v>
      </c>
      <c r="AC2" s="6">
        <v>19049.28</v>
      </c>
      <c r="AD2" s="6" t="str">
        <f>IF(OR(AO2="Cancelled",AM2="Failed"),"Exclude from Completed Sales","Include in Completed Sales")</f>
        <v>Include in Completed Sales</v>
      </c>
      <c r="AE2" s="6">
        <f>X2*Y2*(1-AA2)</f>
        <v>19049.28</v>
      </c>
      <c r="AF2" s="6" t="str">
        <f>IF(TRIM(AM2)="Refunded","Refunded","")</f>
        <v/>
      </c>
      <c r="AG2" s="6">
        <v>15841.89</v>
      </c>
      <c r="AH2" s="6">
        <v>3207.39</v>
      </c>
      <c r="AI2" s="6">
        <f>AE2-AG2</f>
        <v>3207.3899999999994</v>
      </c>
      <c r="AJ2" s="11">
        <f>IF(AE2=0,0,AI2/AE2)</f>
        <v>0.16837329284886357</v>
      </c>
      <c r="AK2" s="11" t="str">
        <f>TEXT(C2,"mmmm")</f>
        <v>July</v>
      </c>
      <c r="AL2" s="12">
        <f>YEAR(C2)</f>
        <v>2024</v>
      </c>
      <c r="AM2" s="6" t="s">
        <v>54</v>
      </c>
      <c r="AN2" s="6" t="s">
        <v>55</v>
      </c>
      <c r="AO2" s="6" t="str">
        <f t="shared" ref="AO2:AO65" si="7">PROPER(TRIM(AN2))</f>
        <v>Completed</v>
      </c>
    </row>
    <row r="3" spans="1:41">
      <c r="A3" s="6" t="s">
        <v>56</v>
      </c>
      <c r="B3" s="7" t="s">
        <v>57</v>
      </c>
      <c r="C3" s="8">
        <v>45535</v>
      </c>
      <c r="D3" s="7" t="s">
        <v>58</v>
      </c>
      <c r="E3" s="9">
        <v>45540</v>
      </c>
      <c r="F3" s="9" t="str">
        <f t="shared" si="0"/>
        <v>Valid</v>
      </c>
      <c r="G3" s="10">
        <f t="shared" si="1"/>
        <v>5</v>
      </c>
      <c r="H3" s="10" t="str">
        <f t="shared" si="2"/>
        <v>Valid</v>
      </c>
      <c r="I3" s="6" t="s">
        <v>59</v>
      </c>
      <c r="J3" s="6" t="s">
        <v>60</v>
      </c>
      <c r="K3" s="6" t="s">
        <v>60</v>
      </c>
      <c r="L3" s="6" t="s">
        <v>61</v>
      </c>
      <c r="M3" s="7" t="str">
        <f t="shared" si="3"/>
        <v>Small Business</v>
      </c>
      <c r="N3" s="6" t="s">
        <v>62</v>
      </c>
      <c r="O3" s="7" t="str">
        <f t="shared" si="4"/>
        <v>East</v>
      </c>
      <c r="P3" s="6" t="s">
        <v>63</v>
      </c>
      <c r="Q3" s="6" t="s">
        <v>64</v>
      </c>
      <c r="R3" s="6" t="s">
        <v>65</v>
      </c>
      <c r="S3" s="7" t="str">
        <f t="shared" si="5"/>
        <v>Furniture</v>
      </c>
      <c r="T3" s="6" t="s">
        <v>66</v>
      </c>
      <c r="U3" s="6" t="s">
        <v>67</v>
      </c>
      <c r="V3" s="6" t="s">
        <v>68</v>
      </c>
      <c r="W3" s="7" t="str">
        <f t="shared" si="6"/>
        <v>Same Day</v>
      </c>
      <c r="X3" s="6">
        <v>3</v>
      </c>
      <c r="Y3" s="6">
        <v>2437.5</v>
      </c>
      <c r="Z3" s="6">
        <v>0</v>
      </c>
      <c r="AA3" s="6">
        <f t="shared" ref="AA3:AA66" si="8">IF(Z3="",0,Z3)</f>
        <v>0</v>
      </c>
      <c r="AB3" s="6" t="str">
        <f t="shared" ref="AB3:AB66" si="9">IF(AA3&lt;0,"Invalid - Negative Discount",IF(AA3&gt;1,"Invalid - Discount Above Limit","Valid"))</f>
        <v>Valid</v>
      </c>
      <c r="AC3" s="6">
        <v>7312.5</v>
      </c>
      <c r="AD3" s="6" t="str">
        <f>IF(OR(AO3="Cancelled",AM3="Failed"),"Exclude from Completed Sales","Include in Completed Sales")</f>
        <v>Include in Completed Sales</v>
      </c>
      <c r="AE3" s="6">
        <f t="shared" ref="AE3:AE66" si="10">X3*Y3*(1-AA3)</f>
        <v>7312.5</v>
      </c>
      <c r="AF3" s="6" t="str">
        <f>IF(TRIM(AM3)="Refunded","Refunded","")</f>
        <v/>
      </c>
      <c r="AG3" s="6">
        <v>4904.7299999999996</v>
      </c>
      <c r="AH3" s="6">
        <v>2407.77</v>
      </c>
      <c r="AI3" s="6">
        <f t="shared" ref="AI3:AI66" si="11">AE3-AG3</f>
        <v>2407.7700000000004</v>
      </c>
      <c r="AJ3" s="11">
        <f t="shared" ref="AJ3:AJ66" si="12">IF(AE3=0,0,AI3/AE3)</f>
        <v>0.32926769230769237</v>
      </c>
      <c r="AK3" s="11" t="str">
        <f t="shared" ref="AK3:AK66" si="13">TEXT(C3,"mmmm")</f>
        <v>August</v>
      </c>
      <c r="AL3" s="12">
        <f t="shared" ref="AL3:AL66" si="14">YEAR(C3)</f>
        <v>2024</v>
      </c>
      <c r="AM3" s="6" t="s">
        <v>54</v>
      </c>
      <c r="AN3" s="6" t="s">
        <v>55</v>
      </c>
      <c r="AO3" s="6" t="str">
        <f t="shared" si="7"/>
        <v>Completed</v>
      </c>
    </row>
    <row r="4" spans="1:41">
      <c r="A4" s="6" t="s">
        <v>69</v>
      </c>
      <c r="B4" s="7" t="s">
        <v>70</v>
      </c>
      <c r="C4" s="8">
        <v>45451</v>
      </c>
      <c r="D4" s="7" t="s">
        <v>71</v>
      </c>
      <c r="E4" s="9">
        <v>45458</v>
      </c>
      <c r="F4" s="9" t="str">
        <f t="shared" si="0"/>
        <v>Valid</v>
      </c>
      <c r="G4" s="10">
        <f t="shared" si="1"/>
        <v>7</v>
      </c>
      <c r="H4" s="10" t="str">
        <f t="shared" si="2"/>
        <v>Valid</v>
      </c>
      <c r="I4" s="6" t="s">
        <v>72</v>
      </c>
      <c r="J4" s="6" t="s">
        <v>73</v>
      </c>
      <c r="K4" s="6" t="s">
        <v>73</v>
      </c>
      <c r="L4" s="6" t="s">
        <v>46</v>
      </c>
      <c r="M4" s="7" t="str">
        <f t="shared" si="3"/>
        <v>Consumer</v>
      </c>
      <c r="N4" s="6" t="s">
        <v>62</v>
      </c>
      <c r="O4" s="7" t="str">
        <f t="shared" si="4"/>
        <v>East</v>
      </c>
      <c r="P4" s="6" t="s">
        <v>63</v>
      </c>
      <c r="Q4" s="6" t="s">
        <v>64</v>
      </c>
      <c r="R4" s="6" t="s">
        <v>50</v>
      </c>
      <c r="S4" s="7" t="str">
        <f t="shared" si="5"/>
        <v>Office Supplies</v>
      </c>
      <c r="T4" s="6" t="s">
        <v>74</v>
      </c>
      <c r="U4" s="6" t="s">
        <v>75</v>
      </c>
      <c r="V4" s="6" t="s">
        <v>76</v>
      </c>
      <c r="W4" s="7" t="str">
        <f t="shared" si="6"/>
        <v>First Class</v>
      </c>
      <c r="X4" s="6">
        <v>4</v>
      </c>
      <c r="Y4" s="6">
        <v>1065.43</v>
      </c>
      <c r="Z4" s="6">
        <v>0.55000000000000004</v>
      </c>
      <c r="AA4" s="6">
        <f t="shared" si="8"/>
        <v>0.55000000000000004</v>
      </c>
      <c r="AB4" s="6" t="str">
        <f t="shared" si="9"/>
        <v>Valid</v>
      </c>
      <c r="AC4" s="6">
        <v>4261.72</v>
      </c>
      <c r="AD4" s="6" t="str">
        <f>IF(OR(AO4="Cancelled",AM4="Failed"),"Exclude from Completed Sales","Include in Completed Sales")</f>
        <v>Include in Completed Sales</v>
      </c>
      <c r="AE4" s="6">
        <f t="shared" si="10"/>
        <v>1917.7739999999999</v>
      </c>
      <c r="AF4" s="6" t="str">
        <f>IF(TRIM(AM4)="Refunded","Refunded","")</f>
        <v/>
      </c>
      <c r="AG4" s="6">
        <v>2465.69</v>
      </c>
      <c r="AH4" s="6">
        <v>1796.03</v>
      </c>
      <c r="AI4" s="6">
        <f t="shared" si="11"/>
        <v>-547.91600000000017</v>
      </c>
      <c r="AJ4" s="11">
        <f t="shared" si="12"/>
        <v>-0.28570415492127865</v>
      </c>
      <c r="AK4" s="11" t="str">
        <f t="shared" si="13"/>
        <v>June</v>
      </c>
      <c r="AL4" s="12">
        <f t="shared" si="14"/>
        <v>2024</v>
      </c>
      <c r="AM4" s="6" t="s">
        <v>54</v>
      </c>
      <c r="AN4" s="6" t="s">
        <v>55</v>
      </c>
      <c r="AO4" s="6" t="str">
        <f t="shared" si="7"/>
        <v>Completed</v>
      </c>
    </row>
    <row r="5" spans="1:41">
      <c r="A5" s="6" t="s">
        <v>77</v>
      </c>
      <c r="B5" s="7" t="s">
        <v>78</v>
      </c>
      <c r="C5" s="8">
        <v>45624</v>
      </c>
      <c r="D5" s="7" t="s">
        <v>79</v>
      </c>
      <c r="E5" s="9">
        <v>45625</v>
      </c>
      <c r="F5" s="9" t="str">
        <f t="shared" si="0"/>
        <v>Valid</v>
      </c>
      <c r="G5" s="10">
        <f t="shared" si="1"/>
        <v>1</v>
      </c>
      <c r="H5" s="10" t="str">
        <f t="shared" si="2"/>
        <v>Valid</v>
      </c>
      <c r="I5" s="6" t="s">
        <v>80</v>
      </c>
      <c r="J5" s="6" t="s">
        <v>81</v>
      </c>
      <c r="K5" s="6" t="s">
        <v>81</v>
      </c>
      <c r="L5" s="6" t="s">
        <v>61</v>
      </c>
      <c r="M5" s="7" t="str">
        <f t="shared" si="3"/>
        <v>Small Business</v>
      </c>
      <c r="N5" s="6" t="s">
        <v>82</v>
      </c>
      <c r="O5" s="7" t="str">
        <f t="shared" si="4"/>
        <v>South</v>
      </c>
      <c r="P5" s="6" t="s">
        <v>83</v>
      </c>
      <c r="Q5" s="6" t="s">
        <v>84</v>
      </c>
      <c r="R5" s="6" t="s">
        <v>65</v>
      </c>
      <c r="S5" s="7" t="str">
        <f t="shared" si="5"/>
        <v>Furniture</v>
      </c>
      <c r="T5" s="6" t="s">
        <v>85</v>
      </c>
      <c r="U5" s="6" t="s">
        <v>86</v>
      </c>
      <c r="V5" s="6" t="s">
        <v>87</v>
      </c>
      <c r="W5" s="7" t="str">
        <f t="shared" si="6"/>
        <v>Standard Class</v>
      </c>
      <c r="X5" s="6">
        <v>6</v>
      </c>
      <c r="Y5" s="6">
        <v>1848.43</v>
      </c>
      <c r="Z5" s="6">
        <v>0.25</v>
      </c>
      <c r="AA5" s="6">
        <f t="shared" si="8"/>
        <v>0.25</v>
      </c>
      <c r="AB5" s="6" t="str">
        <f t="shared" si="9"/>
        <v>Valid</v>
      </c>
      <c r="AC5" s="6">
        <v>8317.93</v>
      </c>
      <c r="AD5" s="6" t="str">
        <f>IF(OR(AO5="Cancelled",AM5="Failed"),"Exclude from Completed Sales","Include in Completed Sales")</f>
        <v>Include in Completed Sales</v>
      </c>
      <c r="AE5" s="6">
        <f t="shared" si="10"/>
        <v>8317.9349999999995</v>
      </c>
      <c r="AF5" s="6" t="str">
        <f>IF(TRIM(AM5)="Refunded","Refunded","")</f>
        <v/>
      </c>
      <c r="AG5" s="6">
        <v>6796.77</v>
      </c>
      <c r="AH5" s="6">
        <v>1521.16</v>
      </c>
      <c r="AI5" s="6">
        <f t="shared" si="11"/>
        <v>1521.1649999999991</v>
      </c>
      <c r="AJ5" s="11">
        <f t="shared" si="12"/>
        <v>0.18287772145370204</v>
      </c>
      <c r="AK5" s="11" t="str">
        <f t="shared" si="13"/>
        <v>November</v>
      </c>
      <c r="AL5" s="12">
        <f t="shared" si="14"/>
        <v>2024</v>
      </c>
      <c r="AM5" s="6" t="s">
        <v>54</v>
      </c>
      <c r="AN5" s="6" t="s">
        <v>55</v>
      </c>
      <c r="AO5" s="6" t="str">
        <f t="shared" si="7"/>
        <v>Completed</v>
      </c>
    </row>
    <row r="6" spans="1:41">
      <c r="A6" s="6" t="s">
        <v>88</v>
      </c>
      <c r="B6" s="7" t="s">
        <v>89</v>
      </c>
      <c r="C6" s="8">
        <v>45898</v>
      </c>
      <c r="D6" s="7" t="s">
        <v>90</v>
      </c>
      <c r="E6" s="9">
        <v>45901</v>
      </c>
      <c r="F6" s="9" t="str">
        <f t="shared" si="0"/>
        <v>Valid</v>
      </c>
      <c r="G6" s="10">
        <f t="shared" si="1"/>
        <v>3</v>
      </c>
      <c r="H6" s="10" t="str">
        <f t="shared" si="2"/>
        <v>Valid</v>
      </c>
      <c r="I6" s="6" t="s">
        <v>91</v>
      </c>
      <c r="J6" s="6" t="s">
        <v>92</v>
      </c>
      <c r="K6" s="6" t="s">
        <v>92</v>
      </c>
      <c r="L6" s="6" t="s">
        <v>61</v>
      </c>
      <c r="M6" s="7" t="str">
        <f t="shared" si="3"/>
        <v>Small Business</v>
      </c>
      <c r="N6" s="6" t="s">
        <v>93</v>
      </c>
      <c r="O6" s="7" t="str">
        <f t="shared" si="4"/>
        <v>West</v>
      </c>
      <c r="P6" s="6" t="s">
        <v>94</v>
      </c>
      <c r="Q6" s="6" t="s">
        <v>95</v>
      </c>
      <c r="R6" s="6" t="s">
        <v>65</v>
      </c>
      <c r="S6" s="7" t="str">
        <f t="shared" si="5"/>
        <v>Furniture</v>
      </c>
      <c r="T6" s="6" t="s">
        <v>96</v>
      </c>
      <c r="U6" s="6" t="s">
        <v>97</v>
      </c>
      <c r="V6" s="6" t="s">
        <v>76</v>
      </c>
      <c r="W6" s="7" t="str">
        <f t="shared" si="6"/>
        <v>First Class</v>
      </c>
      <c r="X6" s="6">
        <v>7</v>
      </c>
      <c r="Y6" s="6">
        <v>2973.76</v>
      </c>
      <c r="Z6" s="6">
        <v>0</v>
      </c>
      <c r="AA6" s="6">
        <f t="shared" si="8"/>
        <v>0</v>
      </c>
      <c r="AB6" s="6" t="str">
        <f t="shared" si="9"/>
        <v>Valid</v>
      </c>
      <c r="AC6" s="6">
        <v>20816.32</v>
      </c>
      <c r="AD6" s="6" t="str">
        <f>IF(OR(AO6="Cancelled",AM6="Failed"),"Exclude from Completed Sales","Include in Completed Sales")</f>
        <v>Exclude from Completed Sales</v>
      </c>
      <c r="AE6" s="6">
        <f t="shared" si="10"/>
        <v>20816.32</v>
      </c>
      <c r="AF6" s="6" t="str">
        <f>IF(TRIM(AM6)="Refunded","Refunded","")</f>
        <v/>
      </c>
      <c r="AG6" s="6">
        <v>17705.37</v>
      </c>
      <c r="AH6" s="6">
        <v>3110.95</v>
      </c>
      <c r="AI6" s="6">
        <f t="shared" si="11"/>
        <v>3110.9500000000007</v>
      </c>
      <c r="AJ6" s="11">
        <f t="shared" si="12"/>
        <v>0.14944764492475138</v>
      </c>
      <c r="AK6" s="11" t="str">
        <f t="shared" si="13"/>
        <v>August</v>
      </c>
      <c r="AL6" s="12">
        <f t="shared" si="14"/>
        <v>2025</v>
      </c>
      <c r="AM6" s="6" t="s">
        <v>54</v>
      </c>
      <c r="AN6" s="6" t="s">
        <v>98</v>
      </c>
      <c r="AO6" s="6" t="str">
        <f t="shared" si="7"/>
        <v>Cancelled</v>
      </c>
    </row>
    <row r="7" spans="1:41">
      <c r="A7" s="6" t="s">
        <v>99</v>
      </c>
      <c r="B7" s="7" t="s">
        <v>100</v>
      </c>
      <c r="C7" s="8">
        <v>45436</v>
      </c>
      <c r="D7" s="7" t="s">
        <v>101</v>
      </c>
      <c r="E7" s="9">
        <v>45440</v>
      </c>
      <c r="F7" s="9" t="str">
        <f t="shared" si="0"/>
        <v>Valid</v>
      </c>
      <c r="G7" s="10">
        <f t="shared" si="1"/>
        <v>4</v>
      </c>
      <c r="H7" s="10" t="str">
        <f t="shared" si="2"/>
        <v>Valid</v>
      </c>
      <c r="I7" s="6" t="s">
        <v>102</v>
      </c>
      <c r="J7" s="6" t="s">
        <v>103</v>
      </c>
      <c r="K7" s="6" t="s">
        <v>103</v>
      </c>
      <c r="L7" s="6" t="s">
        <v>61</v>
      </c>
      <c r="M7" s="7" t="str">
        <f t="shared" si="3"/>
        <v>Small Business</v>
      </c>
      <c r="N7" s="6" t="s">
        <v>93</v>
      </c>
      <c r="O7" s="7" t="str">
        <f t="shared" si="4"/>
        <v>West</v>
      </c>
      <c r="P7" s="6" t="s">
        <v>104</v>
      </c>
      <c r="Q7" s="6" t="s">
        <v>105</v>
      </c>
      <c r="R7" s="6" t="s">
        <v>106</v>
      </c>
      <c r="S7" s="7" t="str">
        <f t="shared" si="5"/>
        <v>Technology</v>
      </c>
      <c r="T7" s="6" t="s">
        <v>107</v>
      </c>
      <c r="U7" s="6" t="s">
        <v>108</v>
      </c>
      <c r="V7" s="6" t="s">
        <v>68</v>
      </c>
      <c r="W7" s="7" t="str">
        <f t="shared" si="6"/>
        <v>Same Day</v>
      </c>
      <c r="X7" s="6">
        <v>3</v>
      </c>
      <c r="Y7" s="6">
        <v>1053.1099999999999</v>
      </c>
      <c r="Z7" s="6">
        <v>0.2</v>
      </c>
      <c r="AA7" s="6">
        <f t="shared" si="8"/>
        <v>0.2</v>
      </c>
      <c r="AB7" s="6" t="str">
        <f t="shared" si="9"/>
        <v>Valid</v>
      </c>
      <c r="AC7" s="6">
        <v>2527.46</v>
      </c>
      <c r="AD7" s="6" t="str">
        <f>IF(OR(AO7="Cancelled",AM7="Failed"),"Exclude from Completed Sales","Include in Completed Sales")</f>
        <v>Include in Completed Sales</v>
      </c>
      <c r="AE7" s="6">
        <f t="shared" si="10"/>
        <v>2527.4639999999999</v>
      </c>
      <c r="AF7" s="6" t="str">
        <f>IF(TRIM(AM7)="Refunded","Refunded","")</f>
        <v/>
      </c>
      <c r="AG7" s="6">
        <v>1533.58</v>
      </c>
      <c r="AH7" s="6">
        <v>993.88</v>
      </c>
      <c r="AI7" s="6">
        <f t="shared" si="11"/>
        <v>993.88400000000001</v>
      </c>
      <c r="AJ7" s="11">
        <f t="shared" si="12"/>
        <v>0.39323369195367375</v>
      </c>
      <c r="AK7" s="11" t="str">
        <f t="shared" si="13"/>
        <v>May</v>
      </c>
      <c r="AL7" s="12">
        <f t="shared" si="14"/>
        <v>2024</v>
      </c>
      <c r="AM7" s="6" t="s">
        <v>54</v>
      </c>
      <c r="AN7" s="6" t="s">
        <v>55</v>
      </c>
      <c r="AO7" s="6" t="str">
        <f t="shared" si="7"/>
        <v>Completed</v>
      </c>
    </row>
    <row r="8" spans="1:41">
      <c r="A8" s="6" t="s">
        <v>109</v>
      </c>
      <c r="B8" s="7" t="s">
        <v>110</v>
      </c>
      <c r="C8" s="8">
        <v>45757</v>
      </c>
      <c r="D8" s="7" t="s">
        <v>111</v>
      </c>
      <c r="E8" s="9">
        <v>45763</v>
      </c>
      <c r="F8" s="9" t="str">
        <f t="shared" si="0"/>
        <v>Valid</v>
      </c>
      <c r="G8" s="10">
        <f t="shared" si="1"/>
        <v>6</v>
      </c>
      <c r="H8" s="10" t="str">
        <f t="shared" si="2"/>
        <v>Valid</v>
      </c>
      <c r="I8" s="6" t="s">
        <v>112</v>
      </c>
      <c r="J8" s="6" t="s">
        <v>113</v>
      </c>
      <c r="K8" s="6" t="s">
        <v>113</v>
      </c>
      <c r="L8" s="6" t="s">
        <v>46</v>
      </c>
      <c r="M8" s="7" t="str">
        <f t="shared" si="3"/>
        <v>Consumer</v>
      </c>
      <c r="N8" s="6" t="s">
        <v>62</v>
      </c>
      <c r="O8" s="7" t="str">
        <f t="shared" si="4"/>
        <v>East</v>
      </c>
      <c r="P8" s="6" t="s">
        <v>63</v>
      </c>
      <c r="Q8" s="6" t="s">
        <v>64</v>
      </c>
      <c r="R8" s="6" t="s">
        <v>106</v>
      </c>
      <c r="S8" s="7" t="str">
        <f t="shared" si="5"/>
        <v>Technology</v>
      </c>
      <c r="T8" s="6" t="s">
        <v>114</v>
      </c>
      <c r="U8" s="6" t="s">
        <v>115</v>
      </c>
      <c r="V8" s="6" t="s">
        <v>87</v>
      </c>
      <c r="W8" s="7" t="b">
        <f>X10=IF(TRIM(V8)="","Unknown",PROPER(TRIM(V8)))</f>
        <v>0</v>
      </c>
      <c r="X8" s="6">
        <v>4</v>
      </c>
      <c r="Y8" s="6">
        <v>1719.87</v>
      </c>
      <c r="Z8" s="6">
        <v>0.15</v>
      </c>
      <c r="AA8" s="6">
        <f t="shared" si="8"/>
        <v>0.15</v>
      </c>
      <c r="AB8" s="6" t="str">
        <f t="shared" si="9"/>
        <v>Valid</v>
      </c>
      <c r="AC8" s="6">
        <v>5847.56</v>
      </c>
      <c r="AD8" s="6" t="str">
        <f>IF(OR(AO8="Cancelled",AM8="Failed"),"Exclude from Completed Sales","Include in Completed Sales")</f>
        <v>Include in Completed Sales</v>
      </c>
      <c r="AE8" s="6">
        <f t="shared" si="10"/>
        <v>5847.5579999999991</v>
      </c>
      <c r="AF8" s="6" t="str">
        <f>IF(TRIM(AM8)="Refunded","Refunded","")</f>
        <v/>
      </c>
      <c r="AG8" s="6">
        <v>4727.25</v>
      </c>
      <c r="AH8" s="6">
        <v>1120.31</v>
      </c>
      <c r="AI8" s="6">
        <f t="shared" si="11"/>
        <v>1120.3079999999991</v>
      </c>
      <c r="AJ8" s="11">
        <f t="shared" si="12"/>
        <v>0.19158561573908275</v>
      </c>
      <c r="AK8" s="11" t="str">
        <f t="shared" si="13"/>
        <v>April</v>
      </c>
      <c r="AL8" s="12">
        <f t="shared" si="14"/>
        <v>2025</v>
      </c>
      <c r="AM8" s="6" t="s">
        <v>54</v>
      </c>
      <c r="AN8" s="6" t="s">
        <v>55</v>
      </c>
      <c r="AO8" s="6" t="str">
        <f t="shared" si="7"/>
        <v>Completed</v>
      </c>
    </row>
    <row r="9" spans="1:41">
      <c r="A9" s="6" t="s">
        <v>116</v>
      </c>
      <c r="B9" s="7" t="s">
        <v>117</v>
      </c>
      <c r="C9" s="8">
        <v>45711</v>
      </c>
      <c r="D9" s="7" t="s">
        <v>118</v>
      </c>
      <c r="E9" s="9">
        <v>45714</v>
      </c>
      <c r="F9" s="9" t="str">
        <f t="shared" si="0"/>
        <v>Valid</v>
      </c>
      <c r="G9" s="10">
        <f t="shared" si="1"/>
        <v>3</v>
      </c>
      <c r="H9" s="10" t="str">
        <f t="shared" si="2"/>
        <v>Valid</v>
      </c>
      <c r="I9" s="6" t="s">
        <v>119</v>
      </c>
      <c r="J9" s="6" t="s">
        <v>73</v>
      </c>
      <c r="K9" s="6" t="s">
        <v>73</v>
      </c>
      <c r="L9" s="6" t="s">
        <v>61</v>
      </c>
      <c r="M9" s="7" t="str">
        <f t="shared" si="3"/>
        <v>Small Business</v>
      </c>
      <c r="N9" s="6" t="s">
        <v>82</v>
      </c>
      <c r="O9" s="7" t="str">
        <f t="shared" si="4"/>
        <v>South</v>
      </c>
      <c r="P9" s="6" t="s">
        <v>120</v>
      </c>
      <c r="Q9" s="6" t="s">
        <v>121</v>
      </c>
      <c r="R9" s="6" t="s">
        <v>50</v>
      </c>
      <c r="S9" s="7" t="str">
        <f t="shared" si="5"/>
        <v>Office Supplies</v>
      </c>
      <c r="T9" s="6" t="s">
        <v>74</v>
      </c>
      <c r="U9" s="6" t="s">
        <v>122</v>
      </c>
      <c r="V9" s="6" t="s">
        <v>76</v>
      </c>
      <c r="W9" s="7" t="str">
        <f t="shared" si="6"/>
        <v>First Class</v>
      </c>
      <c r="X9" s="6">
        <v>1</v>
      </c>
      <c r="Y9" s="6">
        <v>2980.71</v>
      </c>
      <c r="Z9" s="6">
        <v>0</v>
      </c>
      <c r="AA9" s="6">
        <f t="shared" si="8"/>
        <v>0</v>
      </c>
      <c r="AB9" s="6" t="str">
        <f t="shared" si="9"/>
        <v>Valid</v>
      </c>
      <c r="AC9" s="6">
        <v>2980.71</v>
      </c>
      <c r="AD9" s="6" t="str">
        <f>IF(OR(AO9="Cancelled",AM9="Failed"),"Exclude from Completed Sales","Include in Completed Sales")</f>
        <v>Include in Completed Sales</v>
      </c>
      <c r="AE9" s="6">
        <f t="shared" si="10"/>
        <v>2980.71</v>
      </c>
      <c r="AF9" s="6" t="str">
        <f>IF(TRIM(AM9)="Refunded","Refunded","")</f>
        <v/>
      </c>
      <c r="AG9" s="6">
        <v>2357.2199999999998</v>
      </c>
      <c r="AH9" s="6">
        <v>623.49</v>
      </c>
      <c r="AI9" s="6">
        <f t="shared" si="11"/>
        <v>623.49000000000024</v>
      </c>
      <c r="AJ9" s="11">
        <f t="shared" si="12"/>
        <v>0.20917499521925992</v>
      </c>
      <c r="AK9" s="11" t="str">
        <f t="shared" si="13"/>
        <v>February</v>
      </c>
      <c r="AL9" s="12">
        <f t="shared" si="14"/>
        <v>2025</v>
      </c>
      <c r="AM9" s="6" t="s">
        <v>54</v>
      </c>
      <c r="AN9" s="6" t="s">
        <v>55</v>
      </c>
      <c r="AO9" s="6" t="str">
        <f t="shared" si="7"/>
        <v>Completed</v>
      </c>
    </row>
    <row r="10" spans="1:41">
      <c r="A10" s="6" t="s">
        <v>123</v>
      </c>
      <c r="B10" s="7" t="s">
        <v>124</v>
      </c>
      <c r="C10" s="8">
        <v>45601</v>
      </c>
      <c r="D10" s="7" t="s">
        <v>125</v>
      </c>
      <c r="E10" s="9">
        <v>45606</v>
      </c>
      <c r="F10" s="9" t="str">
        <f t="shared" si="0"/>
        <v>Valid</v>
      </c>
      <c r="G10" s="10">
        <f t="shared" si="1"/>
        <v>5</v>
      </c>
      <c r="H10" s="10" t="str">
        <f t="shared" si="2"/>
        <v>Valid</v>
      </c>
      <c r="I10" s="6" t="s">
        <v>126</v>
      </c>
      <c r="J10" s="6" t="s">
        <v>127</v>
      </c>
      <c r="K10" s="6" t="s">
        <v>127</v>
      </c>
      <c r="L10" s="6" t="s">
        <v>128</v>
      </c>
      <c r="M10" s="7" t="str">
        <f t="shared" si="3"/>
        <v>Corporate</v>
      </c>
      <c r="N10" s="6" t="s">
        <v>82</v>
      </c>
      <c r="O10" s="7" t="str">
        <f t="shared" si="4"/>
        <v>South</v>
      </c>
      <c r="P10" s="6" t="s">
        <v>83</v>
      </c>
      <c r="Q10" s="6" t="s">
        <v>84</v>
      </c>
      <c r="R10" s="6" t="s">
        <v>50</v>
      </c>
      <c r="S10" s="7" t="str">
        <f t="shared" si="5"/>
        <v>Office Supplies</v>
      </c>
      <c r="T10" s="6" t="s">
        <v>129</v>
      </c>
      <c r="U10" s="6" t="s">
        <v>130</v>
      </c>
      <c r="V10" s="6" t="s">
        <v>76</v>
      </c>
      <c r="W10" s="7" t="str">
        <f t="shared" si="6"/>
        <v>First Class</v>
      </c>
      <c r="X10" s="6">
        <v>8</v>
      </c>
      <c r="Y10" s="6">
        <v>3134.2</v>
      </c>
      <c r="Z10" s="6">
        <v>0</v>
      </c>
      <c r="AA10" s="6">
        <f t="shared" si="8"/>
        <v>0</v>
      </c>
      <c r="AB10" s="6" t="str">
        <f t="shared" si="9"/>
        <v>Valid</v>
      </c>
      <c r="AC10" s="6">
        <v>25073.599999999999</v>
      </c>
      <c r="AD10" s="6" t="str">
        <f>IF(OR(AO10="Cancelled",AM10="Failed"),"Exclude from Completed Sales","Include in Completed Sales")</f>
        <v>Include in Completed Sales</v>
      </c>
      <c r="AE10" s="6">
        <f t="shared" si="10"/>
        <v>25073.599999999999</v>
      </c>
      <c r="AF10" s="6" t="str">
        <f>IF(TRIM(AM10)="Refunded","Refunded","")</f>
        <v/>
      </c>
      <c r="AG10" s="6">
        <v>17347.23</v>
      </c>
      <c r="AH10" s="6">
        <v>7726.37</v>
      </c>
      <c r="AI10" s="6">
        <f t="shared" si="11"/>
        <v>7726.369999999999</v>
      </c>
      <c r="AJ10" s="11">
        <f t="shared" si="12"/>
        <v>0.30814761342607361</v>
      </c>
      <c r="AK10" s="11" t="str">
        <f t="shared" si="13"/>
        <v>November</v>
      </c>
      <c r="AL10" s="12">
        <f t="shared" si="14"/>
        <v>2024</v>
      </c>
      <c r="AM10" s="6" t="s">
        <v>54</v>
      </c>
      <c r="AN10" s="6" t="s">
        <v>55</v>
      </c>
      <c r="AO10" s="6" t="str">
        <f t="shared" si="7"/>
        <v>Completed</v>
      </c>
    </row>
    <row r="11" spans="1:41">
      <c r="A11" s="6" t="s">
        <v>131</v>
      </c>
      <c r="B11" s="7" t="s">
        <v>132</v>
      </c>
      <c r="C11" s="8">
        <v>45907</v>
      </c>
      <c r="D11" s="7" t="s">
        <v>133</v>
      </c>
      <c r="E11" s="9">
        <v>45912</v>
      </c>
      <c r="F11" s="9" t="str">
        <f t="shared" si="0"/>
        <v>Valid</v>
      </c>
      <c r="G11" s="10">
        <f t="shared" si="1"/>
        <v>5</v>
      </c>
      <c r="H11" s="10" t="str">
        <f t="shared" si="2"/>
        <v>Valid</v>
      </c>
      <c r="I11" s="6" t="s">
        <v>134</v>
      </c>
      <c r="J11" s="6" t="s">
        <v>60</v>
      </c>
      <c r="K11" s="6" t="s">
        <v>60</v>
      </c>
      <c r="L11" s="6" t="s">
        <v>135</v>
      </c>
      <c r="M11" s="7" t="str">
        <f t="shared" si="3"/>
        <v>Home Office</v>
      </c>
      <c r="N11" s="6" t="s">
        <v>82</v>
      </c>
      <c r="O11" s="7" t="str">
        <f t="shared" si="4"/>
        <v>South</v>
      </c>
      <c r="P11" s="6" t="s">
        <v>83</v>
      </c>
      <c r="Q11" s="6" t="s">
        <v>84</v>
      </c>
      <c r="R11" s="6" t="s">
        <v>50</v>
      </c>
      <c r="S11" s="7" t="str">
        <f t="shared" si="5"/>
        <v>Office Supplies</v>
      </c>
      <c r="T11" s="6" t="s">
        <v>51</v>
      </c>
      <c r="U11" s="6" t="s">
        <v>136</v>
      </c>
      <c r="V11" s="6" t="s">
        <v>53</v>
      </c>
      <c r="W11" s="7" t="str">
        <f t="shared" si="6"/>
        <v>Second Class</v>
      </c>
      <c r="X11" s="6">
        <v>9</v>
      </c>
      <c r="Y11" s="6">
        <v>852.04</v>
      </c>
      <c r="Z11" s="6">
        <v>0.2</v>
      </c>
      <c r="AA11" s="6">
        <f t="shared" si="8"/>
        <v>0.2</v>
      </c>
      <c r="AB11" s="6" t="str">
        <f t="shared" si="9"/>
        <v>Valid</v>
      </c>
      <c r="AC11" s="6">
        <v>6134.69</v>
      </c>
      <c r="AD11" s="6" t="str">
        <f>IF(OR(AO11="Cancelled",AM11="Failed"),"Exclude from Completed Sales","Include in Completed Sales")</f>
        <v>Include in Completed Sales</v>
      </c>
      <c r="AE11" s="6">
        <f t="shared" si="10"/>
        <v>6134.6880000000001</v>
      </c>
      <c r="AF11" s="6" t="str">
        <f>IF(TRIM(AM11)="Refunded","Refunded","")</f>
        <v/>
      </c>
      <c r="AG11" s="6">
        <v>3800.19</v>
      </c>
      <c r="AH11" s="6">
        <v>2334.5</v>
      </c>
      <c r="AI11" s="6">
        <f t="shared" si="11"/>
        <v>2334.498</v>
      </c>
      <c r="AJ11" s="11">
        <f t="shared" si="12"/>
        <v>0.38054062407085737</v>
      </c>
      <c r="AK11" s="11" t="str">
        <f t="shared" si="13"/>
        <v>September</v>
      </c>
      <c r="AL11" s="12">
        <f t="shared" si="14"/>
        <v>2025</v>
      </c>
      <c r="AM11" s="6" t="s">
        <v>54</v>
      </c>
      <c r="AN11" s="6" t="s">
        <v>55</v>
      </c>
      <c r="AO11" s="6" t="str">
        <f t="shared" si="7"/>
        <v>Completed</v>
      </c>
    </row>
    <row r="12" spans="1:41">
      <c r="A12" s="6" t="s">
        <v>137</v>
      </c>
      <c r="B12" s="7" t="s">
        <v>138</v>
      </c>
      <c r="C12" s="8">
        <v>45797</v>
      </c>
      <c r="D12" s="7" t="s">
        <v>139</v>
      </c>
      <c r="E12" s="9">
        <v>45797</v>
      </c>
      <c r="F12" s="9" t="str">
        <f t="shared" si="0"/>
        <v>Valid</v>
      </c>
      <c r="G12" s="10">
        <f t="shared" si="1"/>
        <v>0</v>
      </c>
      <c r="H12" s="10" t="str">
        <f t="shared" si="2"/>
        <v>Valid</v>
      </c>
      <c r="I12" s="6" t="s">
        <v>140</v>
      </c>
      <c r="J12" s="6" t="s">
        <v>92</v>
      </c>
      <c r="K12" s="6" t="s">
        <v>92</v>
      </c>
      <c r="L12" s="6" t="s">
        <v>128</v>
      </c>
      <c r="M12" s="7" t="str">
        <f t="shared" si="3"/>
        <v>Corporate</v>
      </c>
      <c r="N12" s="6" t="s">
        <v>62</v>
      </c>
      <c r="O12" s="7" t="str">
        <f t="shared" si="4"/>
        <v>East</v>
      </c>
      <c r="P12" s="6" t="s">
        <v>141</v>
      </c>
      <c r="Q12" s="6" t="s">
        <v>142</v>
      </c>
      <c r="R12" s="6" t="s">
        <v>50</v>
      </c>
      <c r="S12" s="7" t="str">
        <f t="shared" si="5"/>
        <v>Office Supplies</v>
      </c>
      <c r="T12" s="6" t="s">
        <v>129</v>
      </c>
      <c r="U12" s="6" t="s">
        <v>143</v>
      </c>
      <c r="V12" s="6" t="s">
        <v>53</v>
      </c>
      <c r="W12" s="7" t="str">
        <f t="shared" si="6"/>
        <v>Second Class</v>
      </c>
      <c r="X12" s="6">
        <v>3</v>
      </c>
      <c r="Y12" s="6">
        <v>3534.83</v>
      </c>
      <c r="Z12" s="6">
        <v>0.05</v>
      </c>
      <c r="AA12" s="6">
        <f t="shared" si="8"/>
        <v>0.05</v>
      </c>
      <c r="AB12" s="6" t="str">
        <f t="shared" si="9"/>
        <v>Valid</v>
      </c>
      <c r="AC12" s="6">
        <v>10074.27</v>
      </c>
      <c r="AD12" s="6" t="str">
        <f>IF(OR(AO12="Cancelled",AM12="Failed"),"Exclude from Completed Sales","Include in Completed Sales")</f>
        <v>Include in Completed Sales</v>
      </c>
      <c r="AE12" s="6">
        <f t="shared" si="10"/>
        <v>10074.2655</v>
      </c>
      <c r="AF12" s="6" t="str">
        <f>IF(TRIM(AM12)="Refunded","Refunded","")</f>
        <v>Refunded</v>
      </c>
      <c r="AG12" s="6">
        <v>6048.27</v>
      </c>
      <c r="AH12" s="6">
        <v>4026</v>
      </c>
      <c r="AI12" s="6">
        <f t="shared" si="11"/>
        <v>4025.9954999999991</v>
      </c>
      <c r="AJ12" s="11">
        <f t="shared" si="12"/>
        <v>0.39963166545491574</v>
      </c>
      <c r="AK12" s="11" t="str">
        <f t="shared" si="13"/>
        <v>May</v>
      </c>
      <c r="AL12" s="12">
        <f t="shared" si="14"/>
        <v>2025</v>
      </c>
      <c r="AM12" s="6" t="s">
        <v>144</v>
      </c>
      <c r="AN12" s="6" t="s">
        <v>145</v>
      </c>
      <c r="AO12" s="6" t="str">
        <f t="shared" si="7"/>
        <v>Returned</v>
      </c>
    </row>
    <row r="13" spans="1:41">
      <c r="A13" s="6" t="s">
        <v>146</v>
      </c>
      <c r="B13" s="7" t="s">
        <v>147</v>
      </c>
      <c r="C13" s="8">
        <v>45495</v>
      </c>
      <c r="D13" s="7" t="s">
        <v>148</v>
      </c>
      <c r="E13" s="9">
        <v>45496</v>
      </c>
      <c r="F13" s="9" t="str">
        <f t="shared" si="0"/>
        <v>Valid</v>
      </c>
      <c r="G13" s="10">
        <f t="shared" si="1"/>
        <v>1</v>
      </c>
      <c r="H13" s="10" t="str">
        <f t="shared" si="2"/>
        <v>Valid</v>
      </c>
      <c r="I13" s="6" t="s">
        <v>149</v>
      </c>
      <c r="J13" s="6" t="s">
        <v>103</v>
      </c>
      <c r="K13" s="6" t="s">
        <v>103</v>
      </c>
      <c r="L13" s="6" t="s">
        <v>61</v>
      </c>
      <c r="M13" s="7" t="str">
        <f t="shared" si="3"/>
        <v>Small Business</v>
      </c>
      <c r="N13" s="6" t="s">
        <v>62</v>
      </c>
      <c r="O13" s="7" t="str">
        <f t="shared" si="4"/>
        <v>East</v>
      </c>
      <c r="P13" s="6" t="s">
        <v>63</v>
      </c>
      <c r="Q13" s="6" t="s">
        <v>64</v>
      </c>
      <c r="R13" s="6" t="s">
        <v>106</v>
      </c>
      <c r="S13" s="7" t="str">
        <f t="shared" si="5"/>
        <v>Technology</v>
      </c>
      <c r="T13" s="6" t="s">
        <v>107</v>
      </c>
      <c r="U13" s="6" t="s">
        <v>150</v>
      </c>
      <c r="V13" s="6" t="s">
        <v>68</v>
      </c>
      <c r="W13" s="7" t="str">
        <f t="shared" si="6"/>
        <v>Same Day</v>
      </c>
      <c r="X13" s="6">
        <v>6</v>
      </c>
      <c r="Y13" s="6">
        <v>2005.95</v>
      </c>
      <c r="Z13" s="6">
        <v>0.2</v>
      </c>
      <c r="AA13" s="6">
        <f t="shared" si="8"/>
        <v>0.2</v>
      </c>
      <c r="AB13" s="6" t="str">
        <f t="shared" si="9"/>
        <v>Valid</v>
      </c>
      <c r="AC13" s="6">
        <v>9628.56</v>
      </c>
      <c r="AD13" s="6" t="str">
        <f>IF(OR(AO13="Cancelled",AM13="Failed"),"Exclude from Completed Sales","Include in Completed Sales")</f>
        <v>Include in Completed Sales</v>
      </c>
      <c r="AE13" s="6">
        <f t="shared" si="10"/>
        <v>9628.5600000000013</v>
      </c>
      <c r="AF13" s="6" t="str">
        <f>IF(TRIM(AM13)="Refunded","Refunded","")</f>
        <v/>
      </c>
      <c r="AG13" s="6">
        <v>8038.59</v>
      </c>
      <c r="AH13" s="6">
        <v>1589.97</v>
      </c>
      <c r="AI13" s="6">
        <f t="shared" si="11"/>
        <v>1589.9700000000012</v>
      </c>
      <c r="AJ13" s="11">
        <f t="shared" si="12"/>
        <v>0.16513061143099289</v>
      </c>
      <c r="AK13" s="11" t="str">
        <f t="shared" si="13"/>
        <v>July</v>
      </c>
      <c r="AL13" s="12">
        <f t="shared" si="14"/>
        <v>2024</v>
      </c>
      <c r="AM13" s="6" t="s">
        <v>54</v>
      </c>
      <c r="AN13" s="6" t="s">
        <v>55</v>
      </c>
      <c r="AO13" s="6" t="str">
        <f t="shared" si="7"/>
        <v>Completed</v>
      </c>
    </row>
    <row r="14" spans="1:41">
      <c r="A14" s="6" t="s">
        <v>151</v>
      </c>
      <c r="B14" s="7" t="s">
        <v>152</v>
      </c>
      <c r="C14" s="8">
        <v>45646</v>
      </c>
      <c r="D14" s="7" t="s">
        <v>153</v>
      </c>
      <c r="E14" s="9">
        <v>45647</v>
      </c>
      <c r="F14" s="9" t="str">
        <f t="shared" si="0"/>
        <v>Valid</v>
      </c>
      <c r="G14" s="10">
        <f t="shared" si="1"/>
        <v>1</v>
      </c>
      <c r="H14" s="10" t="str">
        <f t="shared" si="2"/>
        <v>Valid</v>
      </c>
      <c r="I14" s="6" t="s">
        <v>154</v>
      </c>
      <c r="J14" s="6" t="s">
        <v>92</v>
      </c>
      <c r="K14" s="6" t="s">
        <v>92</v>
      </c>
      <c r="L14" s="6" t="s">
        <v>128</v>
      </c>
      <c r="M14" s="7" t="str">
        <f t="shared" si="3"/>
        <v>Corporate</v>
      </c>
      <c r="N14" s="6" t="s">
        <v>93</v>
      </c>
      <c r="O14" s="7" t="str">
        <f t="shared" si="4"/>
        <v>West</v>
      </c>
      <c r="P14" s="6" t="s">
        <v>48</v>
      </c>
      <c r="Q14" s="6" t="s">
        <v>155</v>
      </c>
      <c r="R14" s="6" t="s">
        <v>50</v>
      </c>
      <c r="S14" s="7" t="str">
        <f t="shared" si="5"/>
        <v>Office Supplies</v>
      </c>
      <c r="T14" s="6" t="s">
        <v>51</v>
      </c>
      <c r="U14" s="6" t="s">
        <v>156</v>
      </c>
      <c r="V14" s="6" t="s">
        <v>76</v>
      </c>
      <c r="W14" s="7" t="str">
        <f t="shared" si="6"/>
        <v>First Class</v>
      </c>
      <c r="X14" s="6">
        <v>1</v>
      </c>
      <c r="Y14" s="6">
        <v>702.14</v>
      </c>
      <c r="Z14" s="6">
        <v>0.15</v>
      </c>
      <c r="AA14" s="6">
        <f t="shared" si="8"/>
        <v>0.15</v>
      </c>
      <c r="AB14" s="6" t="str">
        <f t="shared" si="9"/>
        <v>Valid</v>
      </c>
      <c r="AC14" s="6">
        <v>596.82000000000005</v>
      </c>
      <c r="AD14" s="6" t="str">
        <f>IF(OR(AO14="Cancelled",AM14="Failed"),"Exclude from Completed Sales","Include in Completed Sales")</f>
        <v>Include in Completed Sales</v>
      </c>
      <c r="AE14" s="6">
        <f t="shared" si="10"/>
        <v>596.81899999999996</v>
      </c>
      <c r="AF14" s="6" t="str">
        <f>IF(TRIM(AM14)="Refunded","Refunded","")</f>
        <v/>
      </c>
      <c r="AG14" s="6">
        <v>380.25</v>
      </c>
      <c r="AH14" s="6">
        <v>216.57</v>
      </c>
      <c r="AI14" s="6">
        <f t="shared" si="11"/>
        <v>216.56899999999996</v>
      </c>
      <c r="AJ14" s="11">
        <f t="shared" si="12"/>
        <v>0.36287216057129545</v>
      </c>
      <c r="AK14" s="11" t="str">
        <f t="shared" si="13"/>
        <v>December</v>
      </c>
      <c r="AL14" s="12">
        <f t="shared" si="14"/>
        <v>2024</v>
      </c>
      <c r="AM14" s="6" t="s">
        <v>157</v>
      </c>
      <c r="AN14" s="6" t="s">
        <v>145</v>
      </c>
      <c r="AO14" s="6" t="str">
        <f t="shared" si="7"/>
        <v>Returned</v>
      </c>
    </row>
    <row r="15" spans="1:41">
      <c r="A15" s="6" t="s">
        <v>158</v>
      </c>
      <c r="B15" s="7" t="s">
        <v>159</v>
      </c>
      <c r="C15" s="8">
        <v>45942</v>
      </c>
      <c r="D15" s="7" t="s">
        <v>160</v>
      </c>
      <c r="E15" s="9">
        <v>45946</v>
      </c>
      <c r="F15" s="9" t="str">
        <f t="shared" si="0"/>
        <v>Valid</v>
      </c>
      <c r="G15" s="10">
        <f t="shared" si="1"/>
        <v>4</v>
      </c>
      <c r="H15" s="10" t="str">
        <f t="shared" si="2"/>
        <v>Valid</v>
      </c>
      <c r="I15" s="6" t="s">
        <v>161</v>
      </c>
      <c r="J15" s="6" t="s">
        <v>162</v>
      </c>
      <c r="K15" s="6" t="s">
        <v>162</v>
      </c>
      <c r="L15" s="6" t="s">
        <v>61</v>
      </c>
      <c r="M15" s="7" t="str">
        <f t="shared" si="3"/>
        <v>Small Business</v>
      </c>
      <c r="N15" s="6" t="s">
        <v>93</v>
      </c>
      <c r="O15" s="7" t="str">
        <f t="shared" si="4"/>
        <v>West</v>
      </c>
      <c r="P15" s="6" t="s">
        <v>94</v>
      </c>
      <c r="Q15" s="6" t="s">
        <v>95</v>
      </c>
      <c r="R15" s="6" t="s">
        <v>50</v>
      </c>
      <c r="S15" s="7" t="str">
        <f t="shared" si="5"/>
        <v>Office Supplies</v>
      </c>
      <c r="T15" s="6" t="s">
        <v>74</v>
      </c>
      <c r="U15" s="6" t="s">
        <v>163</v>
      </c>
      <c r="V15" s="6" t="s">
        <v>53</v>
      </c>
      <c r="W15" s="7" t="str">
        <f t="shared" si="6"/>
        <v>Second Class</v>
      </c>
      <c r="X15" s="6">
        <v>7</v>
      </c>
      <c r="Y15" s="6">
        <v>3964.72</v>
      </c>
      <c r="Z15" s="6">
        <v>0.05</v>
      </c>
      <c r="AA15" s="6">
        <f t="shared" si="8"/>
        <v>0.05</v>
      </c>
      <c r="AB15" s="6" t="str">
        <f t="shared" si="9"/>
        <v>Valid</v>
      </c>
      <c r="AC15" s="6">
        <v>26365.39</v>
      </c>
      <c r="AD15" s="6" t="str">
        <f>IF(OR(AO15="Cancelled",AM15="Failed"),"Exclude from Completed Sales","Include in Completed Sales")</f>
        <v>Include in Completed Sales</v>
      </c>
      <c r="AE15" s="6">
        <f t="shared" si="10"/>
        <v>26365.387999999995</v>
      </c>
      <c r="AF15" s="6" t="str">
        <f>IF(TRIM(AM15)="Refunded","Refunded","")</f>
        <v/>
      </c>
      <c r="AG15" s="6">
        <v>22306.240000000002</v>
      </c>
      <c r="AH15" s="6">
        <v>4059.15</v>
      </c>
      <c r="AI15" s="6">
        <f t="shared" si="11"/>
        <v>4059.1479999999938</v>
      </c>
      <c r="AJ15" s="11">
        <f t="shared" si="12"/>
        <v>0.15395745361304733</v>
      </c>
      <c r="AK15" s="11" t="str">
        <f t="shared" si="13"/>
        <v>October</v>
      </c>
      <c r="AL15" s="12">
        <f t="shared" si="14"/>
        <v>2025</v>
      </c>
      <c r="AM15" s="6" t="s">
        <v>54</v>
      </c>
      <c r="AN15" s="6" t="s">
        <v>55</v>
      </c>
      <c r="AO15" s="6" t="str">
        <f t="shared" si="7"/>
        <v>Completed</v>
      </c>
    </row>
    <row r="16" spans="1:41">
      <c r="A16" s="6" t="s">
        <v>164</v>
      </c>
      <c r="B16" s="7" t="s">
        <v>165</v>
      </c>
      <c r="C16" s="8">
        <v>45653</v>
      </c>
      <c r="D16" s="7" t="s">
        <v>166</v>
      </c>
      <c r="E16" s="9">
        <v>45654</v>
      </c>
      <c r="F16" s="9" t="str">
        <f t="shared" si="0"/>
        <v>Valid</v>
      </c>
      <c r="G16" s="10">
        <f t="shared" si="1"/>
        <v>1</v>
      </c>
      <c r="H16" s="10" t="str">
        <f t="shared" si="2"/>
        <v>Valid</v>
      </c>
      <c r="I16" s="6" t="s">
        <v>167</v>
      </c>
      <c r="J16" s="6" t="s">
        <v>168</v>
      </c>
      <c r="K16" s="6" t="s">
        <v>168</v>
      </c>
      <c r="L16" s="6" t="s">
        <v>46</v>
      </c>
      <c r="M16" s="7" t="str">
        <f t="shared" si="3"/>
        <v>Consumer</v>
      </c>
      <c r="N16" s="6" t="s">
        <v>93</v>
      </c>
      <c r="O16" s="7" t="str">
        <f t="shared" si="4"/>
        <v>West</v>
      </c>
      <c r="P16" s="6" t="s">
        <v>48</v>
      </c>
      <c r="Q16" s="6" t="s">
        <v>155</v>
      </c>
      <c r="R16" s="6" t="s">
        <v>106</v>
      </c>
      <c r="S16" s="7" t="str">
        <f t="shared" si="5"/>
        <v>Technology</v>
      </c>
      <c r="T16" s="6" t="s">
        <v>114</v>
      </c>
      <c r="U16" s="6" t="s">
        <v>169</v>
      </c>
      <c r="V16" s="6" t="s">
        <v>87</v>
      </c>
      <c r="W16" s="7" t="str">
        <f t="shared" si="6"/>
        <v>Standard Class</v>
      </c>
      <c r="X16" s="6">
        <v>2</v>
      </c>
      <c r="Y16" s="6">
        <v>2737.83</v>
      </c>
      <c r="Z16" s="6">
        <v>0.25</v>
      </c>
      <c r="AA16" s="6">
        <f t="shared" si="8"/>
        <v>0.25</v>
      </c>
      <c r="AB16" s="6" t="str">
        <f t="shared" si="9"/>
        <v>Valid</v>
      </c>
      <c r="AC16" s="6">
        <v>4106.74</v>
      </c>
      <c r="AD16" s="6" t="str">
        <f>IF(OR(AO16="Cancelled",AM16="Failed"),"Exclude from Completed Sales","Include in Completed Sales")</f>
        <v>Include in Completed Sales</v>
      </c>
      <c r="AE16" s="6">
        <f t="shared" si="10"/>
        <v>4106.7449999999999</v>
      </c>
      <c r="AF16" s="6" t="str">
        <f>IF(TRIM(AM16)="Refunded","Refunded","")</f>
        <v/>
      </c>
      <c r="AG16" s="6">
        <v>2666.3</v>
      </c>
      <c r="AH16" s="6">
        <v>1440.44</v>
      </c>
      <c r="AI16" s="6">
        <f t="shared" si="11"/>
        <v>1440.4449999999997</v>
      </c>
      <c r="AJ16" s="11">
        <f t="shared" si="12"/>
        <v>0.35075102057712365</v>
      </c>
      <c r="AK16" s="11" t="str">
        <f t="shared" si="13"/>
        <v>December</v>
      </c>
      <c r="AL16" s="12">
        <f t="shared" si="14"/>
        <v>2024</v>
      </c>
      <c r="AM16" s="6" t="s">
        <v>54</v>
      </c>
      <c r="AN16" s="6" t="s">
        <v>55</v>
      </c>
      <c r="AO16" s="6" t="str">
        <f t="shared" si="7"/>
        <v>Completed</v>
      </c>
    </row>
    <row r="17" spans="1:41">
      <c r="A17" s="6" t="s">
        <v>170</v>
      </c>
      <c r="B17" s="7" t="s">
        <v>171</v>
      </c>
      <c r="C17" s="8">
        <v>45482</v>
      </c>
      <c r="D17" s="7" t="s">
        <v>172</v>
      </c>
      <c r="E17" s="9">
        <v>45482</v>
      </c>
      <c r="F17" s="9" t="str">
        <f t="shared" si="0"/>
        <v>Valid</v>
      </c>
      <c r="G17" s="10">
        <f t="shared" si="1"/>
        <v>0</v>
      </c>
      <c r="H17" s="10" t="str">
        <f t="shared" si="2"/>
        <v>Valid</v>
      </c>
      <c r="I17" s="6" t="s">
        <v>173</v>
      </c>
      <c r="J17" s="6" t="s">
        <v>45</v>
      </c>
      <c r="K17" s="6" t="s">
        <v>45</v>
      </c>
      <c r="L17" s="6" t="s">
        <v>61</v>
      </c>
      <c r="M17" s="7" t="str">
        <f t="shared" si="3"/>
        <v>Small Business</v>
      </c>
      <c r="N17" s="6" t="s">
        <v>47</v>
      </c>
      <c r="O17" s="7" t="str">
        <f t="shared" si="4"/>
        <v>North</v>
      </c>
      <c r="P17" s="6" t="s">
        <v>174</v>
      </c>
      <c r="Q17" s="6" t="s">
        <v>175</v>
      </c>
      <c r="R17" s="6" t="s">
        <v>50</v>
      </c>
      <c r="S17" s="7" t="str">
        <f t="shared" si="5"/>
        <v>Office Supplies</v>
      </c>
      <c r="T17" s="6" t="s">
        <v>176</v>
      </c>
      <c r="U17" s="6" t="s">
        <v>177</v>
      </c>
      <c r="V17" s="6" t="s">
        <v>53</v>
      </c>
      <c r="W17" s="7" t="str">
        <f t="shared" si="6"/>
        <v>Second Class</v>
      </c>
      <c r="X17" s="6">
        <v>6</v>
      </c>
      <c r="Y17" s="6">
        <v>3965.76</v>
      </c>
      <c r="Z17" s="6">
        <v>0</v>
      </c>
      <c r="AA17" s="6">
        <f t="shared" si="8"/>
        <v>0</v>
      </c>
      <c r="AB17" s="6" t="str">
        <f t="shared" si="9"/>
        <v>Valid</v>
      </c>
      <c r="AC17" s="6">
        <v>23794.560000000001</v>
      </c>
      <c r="AD17" s="6" t="str">
        <f>IF(OR(AO17="Cancelled",AM17="Failed"),"Exclude from Completed Sales","Include in Completed Sales")</f>
        <v>Include in Completed Sales</v>
      </c>
      <c r="AE17" s="6">
        <f t="shared" si="10"/>
        <v>23794.560000000001</v>
      </c>
      <c r="AF17" s="6" t="str">
        <f>IF(TRIM(AM17)="Refunded","Refunded","")</f>
        <v/>
      </c>
      <c r="AG17" s="6">
        <v>15698.47</v>
      </c>
      <c r="AH17" s="6">
        <v>8096.09</v>
      </c>
      <c r="AI17" s="6">
        <f t="shared" si="11"/>
        <v>8096.090000000002</v>
      </c>
      <c r="AJ17" s="11">
        <f t="shared" si="12"/>
        <v>0.34024962008122872</v>
      </c>
      <c r="AK17" s="11" t="str">
        <f t="shared" si="13"/>
        <v>July</v>
      </c>
      <c r="AL17" s="12">
        <f t="shared" si="14"/>
        <v>2024</v>
      </c>
      <c r="AM17" s="6" t="s">
        <v>54</v>
      </c>
      <c r="AN17" s="6" t="s">
        <v>55</v>
      </c>
      <c r="AO17" s="6" t="str">
        <f t="shared" si="7"/>
        <v>Completed</v>
      </c>
    </row>
    <row r="18" spans="1:41">
      <c r="A18" s="6" t="s">
        <v>178</v>
      </c>
      <c r="B18" s="7" t="s">
        <v>179</v>
      </c>
      <c r="C18" s="8">
        <v>45420</v>
      </c>
      <c r="D18" s="7" t="s">
        <v>180</v>
      </c>
      <c r="E18" s="9">
        <v>45427</v>
      </c>
      <c r="F18" s="9" t="str">
        <f t="shared" si="0"/>
        <v>Valid</v>
      </c>
      <c r="G18" s="10">
        <f t="shared" si="1"/>
        <v>7</v>
      </c>
      <c r="H18" s="10" t="str">
        <f t="shared" si="2"/>
        <v>Valid</v>
      </c>
      <c r="I18" s="6" t="s">
        <v>181</v>
      </c>
      <c r="J18" s="6" t="s">
        <v>182</v>
      </c>
      <c r="K18" s="6" t="s">
        <v>182</v>
      </c>
      <c r="L18" s="6" t="s">
        <v>46</v>
      </c>
      <c r="M18" s="7" t="str">
        <f t="shared" si="3"/>
        <v>Consumer</v>
      </c>
      <c r="N18" s="6" t="s">
        <v>82</v>
      </c>
      <c r="O18" s="7" t="str">
        <f t="shared" si="4"/>
        <v>South</v>
      </c>
      <c r="P18" s="6" t="s">
        <v>83</v>
      </c>
      <c r="Q18" s="6" t="s">
        <v>84</v>
      </c>
      <c r="R18" s="6" t="s">
        <v>50</v>
      </c>
      <c r="S18" s="7" t="str">
        <f t="shared" si="5"/>
        <v>Office Supplies</v>
      </c>
      <c r="T18" s="6" t="s">
        <v>74</v>
      </c>
      <c r="U18" s="6" t="s">
        <v>183</v>
      </c>
      <c r="V18" s="6" t="s">
        <v>76</v>
      </c>
      <c r="W18" s="7" t="str">
        <f t="shared" si="6"/>
        <v>First Class</v>
      </c>
      <c r="X18" s="6">
        <v>4</v>
      </c>
      <c r="Y18" s="6">
        <v>3323.51</v>
      </c>
      <c r="Z18" s="6">
        <v>0.25</v>
      </c>
      <c r="AA18" s="6">
        <f t="shared" si="8"/>
        <v>0.25</v>
      </c>
      <c r="AB18" s="6" t="str">
        <f t="shared" si="9"/>
        <v>Valid</v>
      </c>
      <c r="AC18" s="6">
        <v>9970.5300000000007</v>
      </c>
      <c r="AD18" s="6" t="str">
        <f>IF(OR(AO18="Cancelled",AM18="Failed"),"Exclude from Completed Sales","Include in Completed Sales")</f>
        <v>Include in Completed Sales</v>
      </c>
      <c r="AE18" s="6">
        <f t="shared" si="10"/>
        <v>9970.5300000000007</v>
      </c>
      <c r="AF18" s="6" t="str">
        <f>IF(TRIM(AM18)="Refunded","Refunded","")</f>
        <v/>
      </c>
      <c r="AG18" s="6">
        <v>5668.17</v>
      </c>
      <c r="AH18" s="6">
        <v>4302.3599999999997</v>
      </c>
      <c r="AI18" s="6">
        <f t="shared" si="11"/>
        <v>4302.3600000000006</v>
      </c>
      <c r="AJ18" s="11">
        <f t="shared" si="12"/>
        <v>0.43150765305354882</v>
      </c>
      <c r="AK18" s="11" t="str">
        <f t="shared" si="13"/>
        <v>May</v>
      </c>
      <c r="AL18" s="12">
        <f t="shared" si="14"/>
        <v>2024</v>
      </c>
      <c r="AM18" s="6" t="s">
        <v>54</v>
      </c>
      <c r="AN18" s="6" t="s">
        <v>55</v>
      </c>
      <c r="AO18" s="6" t="str">
        <f t="shared" si="7"/>
        <v>Completed</v>
      </c>
    </row>
    <row r="19" spans="1:41">
      <c r="A19" s="6" t="s">
        <v>184</v>
      </c>
      <c r="B19" s="7" t="s">
        <v>185</v>
      </c>
      <c r="C19" s="8">
        <v>45298</v>
      </c>
      <c r="D19" s="7" t="s">
        <v>186</v>
      </c>
      <c r="E19" s="9">
        <v>45299</v>
      </c>
      <c r="F19" s="9" t="str">
        <f t="shared" si="0"/>
        <v>Valid</v>
      </c>
      <c r="G19" s="10">
        <f t="shared" si="1"/>
        <v>1</v>
      </c>
      <c r="H19" s="10" t="str">
        <f t="shared" si="2"/>
        <v>Valid</v>
      </c>
      <c r="I19" s="6" t="s">
        <v>187</v>
      </c>
      <c r="J19" s="6" t="s">
        <v>188</v>
      </c>
      <c r="K19" s="6" t="s">
        <v>188</v>
      </c>
      <c r="L19" s="6" t="s">
        <v>61</v>
      </c>
      <c r="M19" s="7" t="str">
        <f t="shared" si="3"/>
        <v>Small Business</v>
      </c>
      <c r="N19" s="6" t="s">
        <v>47</v>
      </c>
      <c r="O19" s="7" t="str">
        <f t="shared" si="4"/>
        <v>North</v>
      </c>
      <c r="P19" s="6" t="s">
        <v>48</v>
      </c>
      <c r="Q19" s="6" t="s">
        <v>49</v>
      </c>
      <c r="R19" s="6" t="s">
        <v>65</v>
      </c>
      <c r="S19" s="7" t="str">
        <f t="shared" si="5"/>
        <v>Furniture</v>
      </c>
      <c r="T19" s="6" t="s">
        <v>85</v>
      </c>
      <c r="U19" s="6" t="s">
        <v>189</v>
      </c>
      <c r="V19" s="6" t="s">
        <v>68</v>
      </c>
      <c r="W19" s="7" t="str">
        <f t="shared" si="6"/>
        <v>Same Day</v>
      </c>
      <c r="X19" s="6">
        <v>5</v>
      </c>
      <c r="Y19" s="6">
        <v>1526.78</v>
      </c>
      <c r="Z19" s="6">
        <v>0</v>
      </c>
      <c r="AA19" s="6">
        <f t="shared" si="8"/>
        <v>0</v>
      </c>
      <c r="AB19" s="6" t="str">
        <f t="shared" si="9"/>
        <v>Valid</v>
      </c>
      <c r="AC19" s="6">
        <v>7633.9</v>
      </c>
      <c r="AD19" s="6" t="str">
        <f>IF(OR(AO19="Cancelled",AM19="Failed"),"Exclude from Completed Sales","Include in Completed Sales")</f>
        <v>Include in Completed Sales</v>
      </c>
      <c r="AE19" s="6">
        <f t="shared" si="10"/>
        <v>7633.9</v>
      </c>
      <c r="AF19" s="6" t="str">
        <f>IF(TRIM(AM19)="Refunded","Refunded","")</f>
        <v/>
      </c>
      <c r="AG19" s="6">
        <v>4706.91</v>
      </c>
      <c r="AH19" s="6">
        <v>2926.99</v>
      </c>
      <c r="AI19" s="6">
        <f t="shared" si="11"/>
        <v>2926.99</v>
      </c>
      <c r="AJ19" s="11">
        <f t="shared" si="12"/>
        <v>0.38342000812166782</v>
      </c>
      <c r="AK19" s="11" t="str">
        <f t="shared" si="13"/>
        <v>January</v>
      </c>
      <c r="AL19" s="12">
        <f t="shared" si="14"/>
        <v>2024</v>
      </c>
      <c r="AM19" s="6" t="s">
        <v>54</v>
      </c>
      <c r="AN19" s="6" t="s">
        <v>55</v>
      </c>
      <c r="AO19" s="6" t="str">
        <f t="shared" si="7"/>
        <v>Completed</v>
      </c>
    </row>
    <row r="20" spans="1:41">
      <c r="A20" s="6" t="s">
        <v>190</v>
      </c>
      <c r="B20" s="7" t="s">
        <v>191</v>
      </c>
      <c r="C20" s="8">
        <v>45853</v>
      </c>
      <c r="D20" s="7" t="s">
        <v>192</v>
      </c>
      <c r="E20" s="9">
        <v>45855</v>
      </c>
      <c r="F20" s="9" t="str">
        <f t="shared" si="0"/>
        <v>Valid</v>
      </c>
      <c r="G20" s="10">
        <f t="shared" si="1"/>
        <v>2</v>
      </c>
      <c r="H20" s="10" t="str">
        <f t="shared" si="2"/>
        <v>Valid</v>
      </c>
      <c r="I20" s="6" t="s">
        <v>193</v>
      </c>
      <c r="J20" s="6" t="s">
        <v>182</v>
      </c>
      <c r="K20" s="6" t="s">
        <v>182</v>
      </c>
      <c r="L20" s="6" t="s">
        <v>135</v>
      </c>
      <c r="M20" s="7" t="str">
        <f t="shared" si="3"/>
        <v>Home Office</v>
      </c>
      <c r="N20" s="6" t="s">
        <v>47</v>
      </c>
      <c r="O20" s="7" t="str">
        <f t="shared" si="4"/>
        <v>North</v>
      </c>
      <c r="P20" s="6" t="s">
        <v>194</v>
      </c>
      <c r="Q20" s="6" t="s">
        <v>195</v>
      </c>
      <c r="R20" s="6" t="s">
        <v>106</v>
      </c>
      <c r="S20" s="7" t="str">
        <f t="shared" si="5"/>
        <v>Technology</v>
      </c>
      <c r="T20" s="6" t="s">
        <v>114</v>
      </c>
      <c r="U20" s="6" t="s">
        <v>196</v>
      </c>
      <c r="V20" s="6" t="s">
        <v>76</v>
      </c>
      <c r="W20" s="7" t="str">
        <f t="shared" si="6"/>
        <v>First Class</v>
      </c>
      <c r="X20" s="6">
        <v>2</v>
      </c>
      <c r="Y20" s="6">
        <v>1997.99</v>
      </c>
      <c r="Z20" s="6">
        <v>0</v>
      </c>
      <c r="AA20" s="6">
        <f t="shared" si="8"/>
        <v>0</v>
      </c>
      <c r="AB20" s="6" t="str">
        <f t="shared" si="9"/>
        <v>Valid</v>
      </c>
      <c r="AC20" s="6">
        <v>3995.98</v>
      </c>
      <c r="AD20" s="6" t="str">
        <f>IF(OR(AO20="Cancelled",AM20="Failed"),"Exclude from Completed Sales","Include in Completed Sales")</f>
        <v>Exclude from Completed Sales</v>
      </c>
      <c r="AE20" s="6">
        <f t="shared" si="10"/>
        <v>3995.98</v>
      </c>
      <c r="AF20" s="6" t="str">
        <f>IF(TRIM(AM20)="Refunded","Refunded","")</f>
        <v>Refunded</v>
      </c>
      <c r="AG20" s="6">
        <v>2633.2</v>
      </c>
      <c r="AH20" s="6">
        <v>1362.78</v>
      </c>
      <c r="AI20" s="6">
        <f t="shared" si="11"/>
        <v>1362.7800000000002</v>
      </c>
      <c r="AJ20" s="11">
        <f t="shared" si="12"/>
        <v>0.34103774293164635</v>
      </c>
      <c r="AK20" s="11" t="str">
        <f t="shared" si="13"/>
        <v>July</v>
      </c>
      <c r="AL20" s="12">
        <f t="shared" si="14"/>
        <v>2025</v>
      </c>
      <c r="AM20" s="6" t="s">
        <v>144</v>
      </c>
      <c r="AN20" s="6" t="s">
        <v>98</v>
      </c>
      <c r="AO20" s="6" t="str">
        <f t="shared" si="7"/>
        <v>Cancelled</v>
      </c>
    </row>
    <row r="21" spans="1:41">
      <c r="A21" s="6" t="s">
        <v>197</v>
      </c>
      <c r="B21" s="7" t="s">
        <v>43</v>
      </c>
      <c r="C21" s="8">
        <v>45500</v>
      </c>
      <c r="D21" s="7" t="s">
        <v>198</v>
      </c>
      <c r="E21" s="9">
        <v>45504</v>
      </c>
      <c r="F21" s="9" t="str">
        <f t="shared" si="0"/>
        <v>Valid</v>
      </c>
      <c r="G21" s="10">
        <f t="shared" si="1"/>
        <v>4</v>
      </c>
      <c r="H21" s="10" t="str">
        <f t="shared" si="2"/>
        <v>Valid</v>
      </c>
      <c r="I21" s="6" t="s">
        <v>199</v>
      </c>
      <c r="J21" s="6" t="s">
        <v>200</v>
      </c>
      <c r="K21" s="6" t="s">
        <v>200</v>
      </c>
      <c r="L21" s="6" t="s">
        <v>135</v>
      </c>
      <c r="M21" s="7" t="str">
        <f t="shared" si="3"/>
        <v>Home Office</v>
      </c>
      <c r="N21" s="6" t="s">
        <v>93</v>
      </c>
      <c r="O21" s="7" t="str">
        <f t="shared" si="4"/>
        <v>West</v>
      </c>
      <c r="P21" s="6" t="s">
        <v>104</v>
      </c>
      <c r="Q21" s="6" t="s">
        <v>105</v>
      </c>
      <c r="R21" s="6" t="s">
        <v>50</v>
      </c>
      <c r="S21" s="7" t="str">
        <f t="shared" si="5"/>
        <v>Office Supplies</v>
      </c>
      <c r="T21" s="6" t="s">
        <v>176</v>
      </c>
      <c r="U21" s="6" t="s">
        <v>201</v>
      </c>
      <c r="V21" s="6" t="s">
        <v>53</v>
      </c>
      <c r="W21" s="7" t="str">
        <f t="shared" si="6"/>
        <v>Second Class</v>
      </c>
      <c r="X21" s="6">
        <v>3</v>
      </c>
      <c r="Y21" s="6">
        <v>3887.94</v>
      </c>
      <c r="Z21" s="6">
        <v>-0.19</v>
      </c>
      <c r="AA21" s="6">
        <f t="shared" si="8"/>
        <v>-0.19</v>
      </c>
      <c r="AB21" s="6" t="str">
        <f t="shared" si="9"/>
        <v>Invalid - Negative Discount</v>
      </c>
      <c r="AC21" s="6">
        <v>9331.06</v>
      </c>
      <c r="AD21" s="6" t="str">
        <f>IF(OR(AO21="Cancelled",AM21="Failed"),"Exclude from Completed Sales","Include in Completed Sales")</f>
        <v>Include in Completed Sales</v>
      </c>
      <c r="AE21" s="6">
        <f t="shared" si="10"/>
        <v>13879.9458</v>
      </c>
      <c r="AF21" s="6" t="str">
        <f>IF(TRIM(AM21)="Refunded","Refunded","")</f>
        <v/>
      </c>
      <c r="AG21" s="6">
        <v>7529.31</v>
      </c>
      <c r="AH21" s="6">
        <v>1801.75</v>
      </c>
      <c r="AI21" s="6">
        <f t="shared" si="11"/>
        <v>6350.6357999999991</v>
      </c>
      <c r="AJ21" s="11">
        <f t="shared" si="12"/>
        <v>0.45754038895454474</v>
      </c>
      <c r="AK21" s="11" t="str">
        <f t="shared" si="13"/>
        <v>July</v>
      </c>
      <c r="AL21" s="12">
        <f t="shared" si="14"/>
        <v>2024</v>
      </c>
      <c r="AM21" s="6" t="s">
        <v>54</v>
      </c>
      <c r="AN21" s="6" t="s">
        <v>55</v>
      </c>
      <c r="AO21" s="6" t="str">
        <f t="shared" si="7"/>
        <v>Completed</v>
      </c>
    </row>
    <row r="22" spans="1:41">
      <c r="A22" s="6" t="s">
        <v>202</v>
      </c>
      <c r="B22" s="7" t="s">
        <v>203</v>
      </c>
      <c r="C22" s="8">
        <v>45678</v>
      </c>
      <c r="D22" s="7" t="s">
        <v>204</v>
      </c>
      <c r="E22" s="9">
        <v>45680</v>
      </c>
      <c r="F22" s="9" t="str">
        <f t="shared" si="0"/>
        <v>Valid</v>
      </c>
      <c r="G22" s="10">
        <f t="shared" si="1"/>
        <v>2</v>
      </c>
      <c r="H22" s="10" t="str">
        <f t="shared" si="2"/>
        <v>Valid</v>
      </c>
      <c r="I22" s="6" t="s">
        <v>205</v>
      </c>
      <c r="J22" s="6" t="s">
        <v>127</v>
      </c>
      <c r="K22" s="6" t="s">
        <v>127</v>
      </c>
      <c r="L22" s="6" t="s">
        <v>135</v>
      </c>
      <c r="M22" s="7" t="str">
        <f t="shared" si="3"/>
        <v>Home Office</v>
      </c>
      <c r="N22" s="6" t="s">
        <v>62</v>
      </c>
      <c r="O22" s="7" t="str">
        <f t="shared" si="4"/>
        <v>East</v>
      </c>
      <c r="P22" s="6" t="s">
        <v>206</v>
      </c>
      <c r="Q22" s="6" t="s">
        <v>207</v>
      </c>
      <c r="R22" s="6" t="s">
        <v>106</v>
      </c>
      <c r="S22" s="7" t="str">
        <f t="shared" si="5"/>
        <v>Technology</v>
      </c>
      <c r="T22" s="6" t="s">
        <v>114</v>
      </c>
      <c r="U22" s="6" t="s">
        <v>208</v>
      </c>
      <c r="V22" s="6" t="s">
        <v>76</v>
      </c>
      <c r="W22" s="7" t="str">
        <f t="shared" si="6"/>
        <v>First Class</v>
      </c>
      <c r="X22" s="6">
        <v>5</v>
      </c>
      <c r="Y22" s="6">
        <v>4373.0600000000004</v>
      </c>
      <c r="Z22" s="6">
        <v>0.25</v>
      </c>
      <c r="AA22" s="6">
        <f t="shared" si="8"/>
        <v>0.25</v>
      </c>
      <c r="AB22" s="6" t="str">
        <f t="shared" si="9"/>
        <v>Valid</v>
      </c>
      <c r="AC22" s="6">
        <v>16398.98</v>
      </c>
      <c r="AD22" s="6" t="str">
        <f>IF(OR(AO22="Cancelled",AM22="Failed"),"Exclude from Completed Sales","Include in Completed Sales")</f>
        <v>Include in Completed Sales</v>
      </c>
      <c r="AE22" s="6">
        <f t="shared" si="10"/>
        <v>16398.975000000002</v>
      </c>
      <c r="AF22" s="6" t="str">
        <f>IF(TRIM(AM22)="Refunded","Refunded","")</f>
        <v/>
      </c>
      <c r="AG22" s="6">
        <v>9556.52</v>
      </c>
      <c r="AH22" s="6">
        <v>6842.46</v>
      </c>
      <c r="AI22" s="6">
        <f t="shared" si="11"/>
        <v>6842.4550000000017</v>
      </c>
      <c r="AJ22" s="11">
        <f t="shared" si="12"/>
        <v>0.4172489439126531</v>
      </c>
      <c r="AK22" s="11" t="str">
        <f t="shared" si="13"/>
        <v>January</v>
      </c>
      <c r="AL22" s="12">
        <f t="shared" si="14"/>
        <v>2025</v>
      </c>
      <c r="AM22" s="6" t="s">
        <v>54</v>
      </c>
      <c r="AN22" s="6" t="s">
        <v>55</v>
      </c>
      <c r="AO22" s="6" t="str">
        <f t="shared" si="7"/>
        <v>Completed</v>
      </c>
    </row>
    <row r="23" spans="1:41">
      <c r="A23" s="6" t="s">
        <v>209</v>
      </c>
      <c r="B23" s="7" t="s">
        <v>210</v>
      </c>
      <c r="C23" s="8">
        <v>45681</v>
      </c>
      <c r="D23" s="7" t="s">
        <v>211</v>
      </c>
      <c r="E23" s="9">
        <v>45687</v>
      </c>
      <c r="F23" s="9" t="str">
        <f t="shared" si="0"/>
        <v>Valid</v>
      </c>
      <c r="G23" s="10">
        <f t="shared" si="1"/>
        <v>6</v>
      </c>
      <c r="H23" s="10" t="str">
        <f t="shared" si="2"/>
        <v>Valid</v>
      </c>
      <c r="I23" s="6" t="s">
        <v>212</v>
      </c>
      <c r="J23" s="6" t="s">
        <v>188</v>
      </c>
      <c r="K23" s="6" t="s">
        <v>188</v>
      </c>
      <c r="L23" s="6" t="s">
        <v>46</v>
      </c>
      <c r="M23" s="7" t="str">
        <f t="shared" si="3"/>
        <v>Consumer</v>
      </c>
      <c r="N23" s="6" t="s">
        <v>93</v>
      </c>
      <c r="O23" s="7" t="str">
        <f t="shared" si="4"/>
        <v>West</v>
      </c>
      <c r="P23" s="6" t="s">
        <v>104</v>
      </c>
      <c r="Q23" s="6" t="s">
        <v>105</v>
      </c>
      <c r="R23" s="6" t="s">
        <v>65</v>
      </c>
      <c r="S23" s="7" t="str">
        <f t="shared" si="5"/>
        <v>Furniture</v>
      </c>
      <c r="T23" s="6" t="s">
        <v>85</v>
      </c>
      <c r="U23" s="6" t="s">
        <v>213</v>
      </c>
      <c r="V23" s="6" t="s">
        <v>53</v>
      </c>
      <c r="W23" s="7" t="str">
        <f t="shared" si="6"/>
        <v>Second Class</v>
      </c>
      <c r="X23" s="6">
        <v>4</v>
      </c>
      <c r="Y23" s="6">
        <v>697.69</v>
      </c>
      <c r="Z23" s="6">
        <v>-0.23</v>
      </c>
      <c r="AA23" s="6">
        <f t="shared" si="8"/>
        <v>-0.23</v>
      </c>
      <c r="AB23" s="6" t="str">
        <f t="shared" si="9"/>
        <v>Invalid - Negative Discount</v>
      </c>
      <c r="AC23" s="6">
        <v>2790.76</v>
      </c>
      <c r="AD23" s="6" t="str">
        <f>IF(OR(AO23="Cancelled",AM23="Failed"),"Exclude from Completed Sales","Include in Completed Sales")</f>
        <v>Include in Completed Sales</v>
      </c>
      <c r="AE23" s="6">
        <f t="shared" si="10"/>
        <v>3432.6348000000003</v>
      </c>
      <c r="AF23" s="6" t="str">
        <f>IF(TRIM(AM23)="Refunded","Refunded","")</f>
        <v/>
      </c>
      <c r="AG23" s="6">
        <v>2037.71</v>
      </c>
      <c r="AH23" s="6">
        <v>753.05</v>
      </c>
      <c r="AI23" s="6">
        <f t="shared" si="11"/>
        <v>1394.9248000000002</v>
      </c>
      <c r="AJ23" s="11">
        <f t="shared" si="12"/>
        <v>0.40637145553613807</v>
      </c>
      <c r="AK23" s="11" t="str">
        <f t="shared" si="13"/>
        <v>January</v>
      </c>
      <c r="AL23" s="12">
        <f t="shared" si="14"/>
        <v>2025</v>
      </c>
      <c r="AM23" s="6" t="s">
        <v>54</v>
      </c>
      <c r="AN23" s="6" t="s">
        <v>55</v>
      </c>
      <c r="AO23" s="6" t="str">
        <f t="shared" si="7"/>
        <v>Completed</v>
      </c>
    </row>
    <row r="24" spans="1:41">
      <c r="A24" s="6" t="s">
        <v>214</v>
      </c>
      <c r="B24" s="7" t="s">
        <v>215</v>
      </c>
      <c r="C24" s="8">
        <v>45676</v>
      </c>
      <c r="D24" s="7" t="s">
        <v>216</v>
      </c>
      <c r="E24" s="9">
        <v>45678</v>
      </c>
      <c r="F24" s="9" t="str">
        <f t="shared" si="0"/>
        <v>Valid</v>
      </c>
      <c r="G24" s="10">
        <f t="shared" si="1"/>
        <v>2</v>
      </c>
      <c r="H24" s="10" t="str">
        <f t="shared" si="2"/>
        <v>Valid</v>
      </c>
      <c r="I24" s="6" t="s">
        <v>217</v>
      </c>
      <c r="J24" s="6" t="s">
        <v>60</v>
      </c>
      <c r="K24" s="6" t="s">
        <v>60</v>
      </c>
      <c r="L24" s="6" t="s">
        <v>46</v>
      </c>
      <c r="M24" s="7" t="str">
        <f t="shared" si="3"/>
        <v>Consumer</v>
      </c>
      <c r="N24" s="6" t="s">
        <v>82</v>
      </c>
      <c r="O24" s="7" t="str">
        <f t="shared" si="4"/>
        <v>South</v>
      </c>
      <c r="P24" s="6" t="s">
        <v>83</v>
      </c>
      <c r="Q24" s="6" t="s">
        <v>84</v>
      </c>
      <c r="R24" s="6" t="s">
        <v>50</v>
      </c>
      <c r="S24" s="7" t="str">
        <f t="shared" si="5"/>
        <v>Office Supplies</v>
      </c>
      <c r="T24" s="6" t="s">
        <v>218</v>
      </c>
      <c r="U24" s="6" t="s">
        <v>219</v>
      </c>
      <c r="V24" s="6" t="s">
        <v>87</v>
      </c>
      <c r="W24" s="7" t="str">
        <f t="shared" si="6"/>
        <v>Standard Class</v>
      </c>
      <c r="X24" s="6">
        <v>8</v>
      </c>
      <c r="Y24" s="6">
        <v>1219.3399999999999</v>
      </c>
      <c r="Z24" s="6">
        <v>0.15</v>
      </c>
      <c r="AA24" s="6">
        <f t="shared" si="8"/>
        <v>0.15</v>
      </c>
      <c r="AB24" s="6" t="str">
        <f t="shared" si="9"/>
        <v>Valid</v>
      </c>
      <c r="AC24" s="6">
        <v>8291.51</v>
      </c>
      <c r="AD24" s="6" t="str">
        <f>IF(OR(AO24="Cancelled",AM24="Failed"),"Exclude from Completed Sales","Include in Completed Sales")</f>
        <v>Exclude from Completed Sales</v>
      </c>
      <c r="AE24" s="6">
        <f t="shared" si="10"/>
        <v>8291.5119999999988</v>
      </c>
      <c r="AF24" s="6" t="str">
        <f>IF(TRIM(AM24)="Refunded","Refunded","")</f>
        <v/>
      </c>
      <c r="AG24" s="6">
        <v>6685.03</v>
      </c>
      <c r="AH24" s="6">
        <v>1606.48</v>
      </c>
      <c r="AI24" s="6">
        <f t="shared" si="11"/>
        <v>1606.4819999999991</v>
      </c>
      <c r="AJ24" s="11">
        <f t="shared" si="12"/>
        <v>0.19375018693816029</v>
      </c>
      <c r="AK24" s="11" t="str">
        <f t="shared" si="13"/>
        <v>January</v>
      </c>
      <c r="AL24" s="12">
        <f t="shared" si="14"/>
        <v>2025</v>
      </c>
      <c r="AM24" s="6" t="s">
        <v>220</v>
      </c>
      <c r="AN24" s="6" t="s">
        <v>145</v>
      </c>
      <c r="AO24" s="6" t="str">
        <f t="shared" si="7"/>
        <v>Returned</v>
      </c>
    </row>
    <row r="25" spans="1:41">
      <c r="A25" s="6" t="s">
        <v>221</v>
      </c>
      <c r="B25" s="7" t="s">
        <v>89</v>
      </c>
      <c r="C25" s="8">
        <v>45898</v>
      </c>
      <c r="D25" s="7" t="s">
        <v>222</v>
      </c>
      <c r="E25" s="9">
        <v>45900</v>
      </c>
      <c r="F25" s="9" t="str">
        <f t="shared" si="0"/>
        <v>Valid</v>
      </c>
      <c r="G25" s="10">
        <f t="shared" si="1"/>
        <v>2</v>
      </c>
      <c r="H25" s="10" t="str">
        <f t="shared" si="2"/>
        <v>Valid</v>
      </c>
      <c r="I25" s="6" t="s">
        <v>223</v>
      </c>
      <c r="J25" s="6" t="s">
        <v>168</v>
      </c>
      <c r="K25" s="6" t="s">
        <v>168</v>
      </c>
      <c r="L25" s="6" t="s">
        <v>135</v>
      </c>
      <c r="M25" s="7" t="str">
        <f t="shared" si="3"/>
        <v>Home Office</v>
      </c>
      <c r="N25" s="6" t="s">
        <v>62</v>
      </c>
      <c r="O25" s="7" t="str">
        <f t="shared" si="4"/>
        <v>East</v>
      </c>
      <c r="P25" s="6" t="s">
        <v>206</v>
      </c>
      <c r="Q25" s="6" t="s">
        <v>207</v>
      </c>
      <c r="R25" s="6" t="s">
        <v>65</v>
      </c>
      <c r="S25" s="7" t="str">
        <f t="shared" si="5"/>
        <v>Furniture</v>
      </c>
      <c r="T25" s="6" t="s">
        <v>224</v>
      </c>
      <c r="U25" s="6" t="s">
        <v>225</v>
      </c>
      <c r="V25" s="6" t="s">
        <v>76</v>
      </c>
      <c r="W25" s="7" t="str">
        <f t="shared" si="6"/>
        <v>First Class</v>
      </c>
      <c r="X25" s="6">
        <v>4</v>
      </c>
      <c r="Y25" s="6">
        <v>1958.01</v>
      </c>
      <c r="Z25" s="6">
        <v>0.2</v>
      </c>
      <c r="AA25" s="6">
        <f t="shared" si="8"/>
        <v>0.2</v>
      </c>
      <c r="AB25" s="6" t="str">
        <f t="shared" si="9"/>
        <v>Valid</v>
      </c>
      <c r="AC25" s="6">
        <v>6265.63</v>
      </c>
      <c r="AD25" s="6" t="str">
        <f>IF(OR(AO25="Cancelled",AM25="Failed"),"Exclude from Completed Sales","Include in Completed Sales")</f>
        <v>Include in Completed Sales</v>
      </c>
      <c r="AE25" s="6">
        <f t="shared" si="10"/>
        <v>6265.6320000000005</v>
      </c>
      <c r="AF25" s="6" t="str">
        <f>IF(TRIM(AM25)="Refunded","Refunded","")</f>
        <v/>
      </c>
      <c r="AG25" s="6">
        <v>4321.8599999999997</v>
      </c>
      <c r="AH25" s="6">
        <v>1943.77</v>
      </c>
      <c r="AI25" s="6">
        <f t="shared" si="11"/>
        <v>1943.7720000000008</v>
      </c>
      <c r="AJ25" s="11">
        <f t="shared" si="12"/>
        <v>0.31022760353624351</v>
      </c>
      <c r="AK25" s="11" t="str">
        <f t="shared" si="13"/>
        <v>August</v>
      </c>
      <c r="AL25" s="12">
        <f t="shared" si="14"/>
        <v>2025</v>
      </c>
      <c r="AM25" s="6" t="s">
        <v>54</v>
      </c>
      <c r="AN25" s="6" t="s">
        <v>55</v>
      </c>
      <c r="AO25" s="6" t="str">
        <f t="shared" si="7"/>
        <v>Completed</v>
      </c>
    </row>
    <row r="26" spans="1:41">
      <c r="A26" s="6" t="s">
        <v>226</v>
      </c>
      <c r="B26" s="7" t="s">
        <v>227</v>
      </c>
      <c r="C26" s="8">
        <v>45355</v>
      </c>
      <c r="D26" s="7" t="s">
        <v>228</v>
      </c>
      <c r="E26" s="9">
        <v>45352</v>
      </c>
      <c r="F26" s="9" t="str">
        <f t="shared" si="0"/>
        <v>Invalid Shipping Record</v>
      </c>
      <c r="G26" s="10">
        <f t="shared" si="1"/>
        <v>-3</v>
      </c>
      <c r="H26" s="10" t="str">
        <f t="shared" si="2"/>
        <v>Invalid Shipping Record</v>
      </c>
      <c r="I26" s="6" t="s">
        <v>229</v>
      </c>
      <c r="J26" s="6" t="s">
        <v>230</v>
      </c>
      <c r="K26" s="6" t="s">
        <v>230</v>
      </c>
      <c r="L26" s="6" t="s">
        <v>46</v>
      </c>
      <c r="M26" s="7" t="str">
        <f t="shared" si="3"/>
        <v>Consumer</v>
      </c>
      <c r="N26" s="6" t="s">
        <v>47</v>
      </c>
      <c r="O26" s="7" t="str">
        <f t="shared" si="4"/>
        <v>North</v>
      </c>
      <c r="P26" s="6" t="s">
        <v>174</v>
      </c>
      <c r="Q26" s="6" t="s">
        <v>175</v>
      </c>
      <c r="R26" s="6" t="s">
        <v>50</v>
      </c>
      <c r="S26" s="7" t="str">
        <f t="shared" si="5"/>
        <v>Office Supplies</v>
      </c>
      <c r="T26" s="6" t="s">
        <v>74</v>
      </c>
      <c r="U26" s="6" t="s">
        <v>231</v>
      </c>
      <c r="V26" s="6" t="s">
        <v>87</v>
      </c>
      <c r="W26" s="7" t="str">
        <f t="shared" si="6"/>
        <v>Standard Class</v>
      </c>
      <c r="X26" s="6">
        <v>4</v>
      </c>
      <c r="Y26" s="6">
        <v>4492.9399999999996</v>
      </c>
      <c r="Z26" s="6">
        <v>0.25</v>
      </c>
      <c r="AA26" s="6">
        <f t="shared" si="8"/>
        <v>0.25</v>
      </c>
      <c r="AB26" s="6" t="str">
        <f t="shared" si="9"/>
        <v>Valid</v>
      </c>
      <c r="AC26" s="6">
        <v>13478.82</v>
      </c>
      <c r="AD26" s="6" t="str">
        <f>IF(OR(AO26="Cancelled",AM26="Failed"),"Exclude from Completed Sales","Include in Completed Sales")</f>
        <v>Exclude from Completed Sales</v>
      </c>
      <c r="AE26" s="6">
        <f t="shared" si="10"/>
        <v>13478.82</v>
      </c>
      <c r="AF26" s="6" t="str">
        <f>IF(TRIM(AM26)="Refunded","Refunded","")</f>
        <v/>
      </c>
      <c r="AG26" s="6">
        <v>10937.35</v>
      </c>
      <c r="AH26" s="6">
        <v>2541.4699999999998</v>
      </c>
      <c r="AI26" s="6">
        <f t="shared" si="11"/>
        <v>2541.4699999999993</v>
      </c>
      <c r="AJ26" s="11">
        <f t="shared" si="12"/>
        <v>0.18855285551702591</v>
      </c>
      <c r="AK26" s="11" t="str">
        <f t="shared" si="13"/>
        <v>March</v>
      </c>
      <c r="AL26" s="12">
        <f t="shared" si="14"/>
        <v>2024</v>
      </c>
      <c r="AM26" s="6" t="s">
        <v>157</v>
      </c>
      <c r="AN26" s="6" t="s">
        <v>98</v>
      </c>
      <c r="AO26" s="6" t="str">
        <f t="shared" si="7"/>
        <v>Cancelled</v>
      </c>
    </row>
    <row r="27" spans="1:41">
      <c r="A27" s="6" t="s">
        <v>232</v>
      </c>
      <c r="B27" s="7" t="s">
        <v>233</v>
      </c>
      <c r="C27" s="8">
        <v>45576</v>
      </c>
      <c r="D27" s="7" t="s">
        <v>234</v>
      </c>
      <c r="E27" s="9">
        <v>45584</v>
      </c>
      <c r="F27" s="9" t="str">
        <f t="shared" si="0"/>
        <v>Valid</v>
      </c>
      <c r="G27" s="10">
        <f t="shared" si="1"/>
        <v>8</v>
      </c>
      <c r="H27" s="10" t="str">
        <f t="shared" si="2"/>
        <v>Valid</v>
      </c>
      <c r="I27" s="6" t="s">
        <v>235</v>
      </c>
      <c r="J27" s="6" t="s">
        <v>81</v>
      </c>
      <c r="K27" s="6" t="s">
        <v>81</v>
      </c>
      <c r="L27" s="6" t="s">
        <v>128</v>
      </c>
      <c r="M27" s="7" t="str">
        <f t="shared" si="3"/>
        <v>Corporate</v>
      </c>
      <c r="N27" s="6" t="s">
        <v>62</v>
      </c>
      <c r="O27" s="7" t="str">
        <f t="shared" si="4"/>
        <v>East</v>
      </c>
      <c r="P27" s="6" t="s">
        <v>236</v>
      </c>
      <c r="Q27" s="6" t="s">
        <v>237</v>
      </c>
      <c r="R27" s="6" t="s">
        <v>106</v>
      </c>
      <c r="S27" s="7" t="str">
        <f t="shared" si="5"/>
        <v>Technology</v>
      </c>
      <c r="T27" s="6" t="s">
        <v>107</v>
      </c>
      <c r="U27" s="6" t="s">
        <v>238</v>
      </c>
      <c r="V27" s="6" t="s">
        <v>76</v>
      </c>
      <c r="W27" s="7" t="str">
        <f t="shared" si="6"/>
        <v>First Class</v>
      </c>
      <c r="X27" s="6">
        <v>2</v>
      </c>
      <c r="Y27" s="6">
        <v>4315.2</v>
      </c>
      <c r="Z27" s="6">
        <v>0.15</v>
      </c>
      <c r="AA27" s="6">
        <f t="shared" si="8"/>
        <v>0.15</v>
      </c>
      <c r="AB27" s="6" t="str">
        <f t="shared" si="9"/>
        <v>Valid</v>
      </c>
      <c r="AC27" s="6">
        <v>7335.84</v>
      </c>
      <c r="AD27" s="6" t="str">
        <f>IF(OR(AO27="Cancelled",AM27="Failed"),"Exclude from Completed Sales","Include in Completed Sales")</f>
        <v>Include in Completed Sales</v>
      </c>
      <c r="AE27" s="6">
        <f t="shared" si="10"/>
        <v>7335.8399999999992</v>
      </c>
      <c r="AF27" s="6" t="str">
        <f>IF(TRIM(AM27)="Refunded","Refunded","")</f>
        <v/>
      </c>
      <c r="AG27" s="6">
        <v>4968.41</v>
      </c>
      <c r="AH27" s="6">
        <v>2367.4299999999998</v>
      </c>
      <c r="AI27" s="6">
        <f t="shared" si="11"/>
        <v>2367.4299999999994</v>
      </c>
      <c r="AJ27" s="11">
        <f t="shared" si="12"/>
        <v>0.32272105171323251</v>
      </c>
      <c r="AK27" s="11" t="str">
        <f t="shared" si="13"/>
        <v>October</v>
      </c>
      <c r="AL27" s="12">
        <f t="shared" si="14"/>
        <v>2024</v>
      </c>
      <c r="AM27" s="6" t="s">
        <v>54</v>
      </c>
      <c r="AN27" s="6" t="s">
        <v>55</v>
      </c>
      <c r="AO27" s="6" t="str">
        <f t="shared" si="7"/>
        <v>Completed</v>
      </c>
    </row>
    <row r="28" spans="1:41">
      <c r="A28" s="6" t="s">
        <v>239</v>
      </c>
      <c r="B28" s="7" t="s">
        <v>240</v>
      </c>
      <c r="C28" s="8">
        <v>45619</v>
      </c>
      <c r="D28" s="7" t="s">
        <v>241</v>
      </c>
      <c r="E28" s="9">
        <v>45619</v>
      </c>
      <c r="F28" s="9" t="str">
        <f t="shared" si="0"/>
        <v>Valid</v>
      </c>
      <c r="G28" s="10">
        <f t="shared" si="1"/>
        <v>0</v>
      </c>
      <c r="H28" s="10" t="str">
        <f t="shared" si="2"/>
        <v>Valid</v>
      </c>
      <c r="I28" s="6" t="s">
        <v>242</v>
      </c>
      <c r="J28" s="6" t="s">
        <v>230</v>
      </c>
      <c r="K28" s="6" t="s">
        <v>230</v>
      </c>
      <c r="L28" s="6" t="s">
        <v>128</v>
      </c>
      <c r="M28" s="7" t="str">
        <f t="shared" si="3"/>
        <v>Corporate</v>
      </c>
      <c r="N28" s="6" t="s">
        <v>47</v>
      </c>
      <c r="O28" s="7" t="str">
        <f t="shared" si="4"/>
        <v>North</v>
      </c>
      <c r="P28" s="6" t="s">
        <v>194</v>
      </c>
      <c r="Q28" s="6" t="s">
        <v>195</v>
      </c>
      <c r="R28" s="6" t="s">
        <v>106</v>
      </c>
      <c r="S28" s="7" t="str">
        <f t="shared" si="5"/>
        <v>Technology</v>
      </c>
      <c r="T28" s="6" t="s">
        <v>243</v>
      </c>
      <c r="U28" s="6" t="s">
        <v>244</v>
      </c>
      <c r="V28" s="6" t="s">
        <v>87</v>
      </c>
      <c r="W28" s="7" t="str">
        <f t="shared" si="6"/>
        <v>Standard Class</v>
      </c>
      <c r="X28" s="6">
        <v>4</v>
      </c>
      <c r="Y28" s="6">
        <v>716.13</v>
      </c>
      <c r="Z28" s="6">
        <v>0.1</v>
      </c>
      <c r="AA28" s="6">
        <f t="shared" si="8"/>
        <v>0.1</v>
      </c>
      <c r="AB28" s="6" t="str">
        <f t="shared" si="9"/>
        <v>Valid</v>
      </c>
      <c r="AC28" s="6">
        <v>2578.0700000000002</v>
      </c>
      <c r="AD28" s="6" t="str">
        <f>IF(OR(AO28="Cancelled",AM28="Failed"),"Exclude from Completed Sales","Include in Completed Sales")</f>
        <v>Include in Completed Sales</v>
      </c>
      <c r="AE28" s="6">
        <f t="shared" si="10"/>
        <v>2578.0680000000002</v>
      </c>
      <c r="AF28" s="6" t="str">
        <f>IF(TRIM(AM28)="Refunded","Refunded","")</f>
        <v/>
      </c>
      <c r="AG28" s="6">
        <v>1527.55</v>
      </c>
      <c r="AH28" s="6">
        <v>1050.52</v>
      </c>
      <c r="AI28" s="6">
        <f t="shared" si="11"/>
        <v>1050.5180000000003</v>
      </c>
      <c r="AJ28" s="11">
        <f t="shared" si="12"/>
        <v>0.40748265755596835</v>
      </c>
      <c r="AK28" s="11" t="str">
        <f t="shared" si="13"/>
        <v>November</v>
      </c>
      <c r="AL28" s="12">
        <f t="shared" si="14"/>
        <v>2024</v>
      </c>
      <c r="AM28" s="6" t="s">
        <v>54</v>
      </c>
      <c r="AN28" s="6" t="s">
        <v>145</v>
      </c>
      <c r="AO28" s="6" t="str">
        <f t="shared" si="7"/>
        <v>Returned</v>
      </c>
    </row>
    <row r="29" spans="1:41">
      <c r="A29" s="6" t="s">
        <v>245</v>
      </c>
      <c r="B29" s="7" t="s">
        <v>246</v>
      </c>
      <c r="C29" s="8">
        <v>45929</v>
      </c>
      <c r="D29" s="7" t="s">
        <v>247</v>
      </c>
      <c r="E29" s="9">
        <v>45935</v>
      </c>
      <c r="F29" s="9" t="str">
        <f t="shared" si="0"/>
        <v>Valid</v>
      </c>
      <c r="G29" s="10">
        <f t="shared" si="1"/>
        <v>6</v>
      </c>
      <c r="H29" s="10" t="str">
        <f t="shared" si="2"/>
        <v>Valid</v>
      </c>
      <c r="I29" s="6" t="s">
        <v>248</v>
      </c>
      <c r="J29" s="6" t="s">
        <v>81</v>
      </c>
      <c r="K29" s="6" t="s">
        <v>81</v>
      </c>
      <c r="L29" s="6" t="s">
        <v>61</v>
      </c>
      <c r="M29" s="7" t="str">
        <f t="shared" si="3"/>
        <v>Small Business</v>
      </c>
      <c r="N29" s="6" t="s">
        <v>82</v>
      </c>
      <c r="O29" s="7" t="str">
        <f t="shared" si="4"/>
        <v>South</v>
      </c>
      <c r="P29" s="6" t="s">
        <v>249</v>
      </c>
      <c r="Q29" s="6" t="s">
        <v>250</v>
      </c>
      <c r="R29" s="6" t="s">
        <v>50</v>
      </c>
      <c r="S29" s="7" t="str">
        <f t="shared" si="5"/>
        <v>Office Supplies</v>
      </c>
      <c r="T29" s="6" t="s">
        <v>51</v>
      </c>
      <c r="U29" s="6" t="s">
        <v>251</v>
      </c>
      <c r="V29" s="6" t="s">
        <v>53</v>
      </c>
      <c r="W29" s="7" t="str">
        <f t="shared" si="6"/>
        <v>Second Class</v>
      </c>
      <c r="X29" s="6">
        <v>5</v>
      </c>
      <c r="Y29" s="6">
        <v>1806.51</v>
      </c>
      <c r="Z29" s="6">
        <v>0.25</v>
      </c>
      <c r="AA29" s="6">
        <f t="shared" si="8"/>
        <v>0.25</v>
      </c>
      <c r="AB29" s="6" t="str">
        <f t="shared" si="9"/>
        <v>Valid</v>
      </c>
      <c r="AC29" s="6">
        <v>6774.41</v>
      </c>
      <c r="AD29" s="6" t="str">
        <f>IF(OR(AO29="Cancelled",AM29="Failed"),"Exclude from Completed Sales","Include in Completed Sales")</f>
        <v>Exclude from Completed Sales</v>
      </c>
      <c r="AE29" s="6">
        <f t="shared" si="10"/>
        <v>6774.4124999999995</v>
      </c>
      <c r="AF29" s="6" t="str">
        <f>IF(TRIM(AM29)="Refunded","Refunded","")</f>
        <v/>
      </c>
      <c r="AG29" s="6">
        <v>4710.3599999999997</v>
      </c>
      <c r="AH29" s="6">
        <v>2064.0500000000002</v>
      </c>
      <c r="AI29" s="6">
        <f t="shared" si="11"/>
        <v>2064.0524999999998</v>
      </c>
      <c r="AJ29" s="11">
        <f t="shared" si="12"/>
        <v>0.30468361647596748</v>
      </c>
      <c r="AK29" s="11" t="str">
        <f t="shared" si="13"/>
        <v>September</v>
      </c>
      <c r="AL29" s="12">
        <f t="shared" si="14"/>
        <v>2025</v>
      </c>
      <c r="AM29" s="6" t="s">
        <v>220</v>
      </c>
      <c r="AN29" s="6" t="s">
        <v>145</v>
      </c>
      <c r="AO29" s="6" t="str">
        <f t="shared" si="7"/>
        <v>Returned</v>
      </c>
    </row>
    <row r="30" spans="1:41">
      <c r="A30" s="6" t="s">
        <v>252</v>
      </c>
      <c r="B30" s="7" t="s">
        <v>233</v>
      </c>
      <c r="C30" s="8">
        <v>45576</v>
      </c>
      <c r="D30" s="7" t="s">
        <v>253</v>
      </c>
      <c r="E30" s="9">
        <v>45583</v>
      </c>
      <c r="F30" s="9" t="str">
        <f t="shared" si="0"/>
        <v>Valid</v>
      </c>
      <c r="G30" s="10">
        <f t="shared" si="1"/>
        <v>7</v>
      </c>
      <c r="H30" s="10" t="str">
        <f t="shared" si="2"/>
        <v>Valid</v>
      </c>
      <c r="I30" s="6" t="s">
        <v>254</v>
      </c>
      <c r="J30" s="6" t="s">
        <v>92</v>
      </c>
      <c r="K30" s="6" t="s">
        <v>92</v>
      </c>
      <c r="L30" s="6" t="s">
        <v>135</v>
      </c>
      <c r="M30" s="7" t="str">
        <f t="shared" si="3"/>
        <v>Home Office</v>
      </c>
      <c r="N30" s="6" t="s">
        <v>93</v>
      </c>
      <c r="O30" s="7" t="str">
        <f t="shared" si="4"/>
        <v>West</v>
      </c>
      <c r="P30" s="6" t="s">
        <v>255</v>
      </c>
      <c r="Q30" s="6" t="s">
        <v>256</v>
      </c>
      <c r="R30" s="6" t="s">
        <v>106</v>
      </c>
      <c r="S30" s="7" t="str">
        <f t="shared" si="5"/>
        <v>Technology</v>
      </c>
      <c r="T30" s="6" t="s">
        <v>243</v>
      </c>
      <c r="U30" s="6" t="s">
        <v>257</v>
      </c>
      <c r="V30" s="6" t="s">
        <v>53</v>
      </c>
      <c r="W30" s="7" t="str">
        <f t="shared" si="6"/>
        <v>Second Class</v>
      </c>
      <c r="X30" s="6">
        <v>2</v>
      </c>
      <c r="Y30" s="6">
        <v>1942.22</v>
      </c>
      <c r="Z30" s="6">
        <v>0.25</v>
      </c>
      <c r="AA30" s="6">
        <f t="shared" si="8"/>
        <v>0.25</v>
      </c>
      <c r="AB30" s="6" t="str">
        <f t="shared" si="9"/>
        <v>Valid</v>
      </c>
      <c r="AC30" s="6">
        <v>2913.33</v>
      </c>
      <c r="AD30" s="6" t="str">
        <f>IF(OR(AO30="Cancelled",AM30="Failed"),"Exclude from Completed Sales","Include in Completed Sales")</f>
        <v>Exclude from Completed Sales</v>
      </c>
      <c r="AE30" s="6">
        <f t="shared" si="10"/>
        <v>2913.33</v>
      </c>
      <c r="AF30" s="6" t="str">
        <f>IF(TRIM(AM30)="Refunded","Refunded","")</f>
        <v>Refunded</v>
      </c>
      <c r="AG30" s="6">
        <v>2122.33</v>
      </c>
      <c r="AH30" s="6">
        <v>791</v>
      </c>
      <c r="AI30" s="6">
        <f t="shared" si="11"/>
        <v>791</v>
      </c>
      <c r="AJ30" s="11">
        <f t="shared" si="12"/>
        <v>0.27151060813570727</v>
      </c>
      <c r="AK30" s="11" t="str">
        <f t="shared" si="13"/>
        <v>October</v>
      </c>
      <c r="AL30" s="12">
        <f t="shared" si="14"/>
        <v>2024</v>
      </c>
      <c r="AM30" s="6" t="s">
        <v>144</v>
      </c>
      <c r="AN30" s="6" t="s">
        <v>98</v>
      </c>
      <c r="AO30" s="6" t="str">
        <f t="shared" si="7"/>
        <v>Cancelled</v>
      </c>
    </row>
    <row r="31" spans="1:41">
      <c r="A31" s="6" t="s">
        <v>258</v>
      </c>
      <c r="B31" s="7" t="s">
        <v>259</v>
      </c>
      <c r="C31" s="8">
        <v>45882</v>
      </c>
      <c r="D31" s="7" t="s">
        <v>260</v>
      </c>
      <c r="E31" s="9">
        <v>45882</v>
      </c>
      <c r="F31" s="9" t="str">
        <f t="shared" si="0"/>
        <v>Valid</v>
      </c>
      <c r="G31" s="10">
        <f t="shared" si="1"/>
        <v>0</v>
      </c>
      <c r="H31" s="10" t="str">
        <f t="shared" si="2"/>
        <v>Valid</v>
      </c>
      <c r="I31" s="6" t="s">
        <v>261</v>
      </c>
      <c r="J31" s="6" t="s">
        <v>200</v>
      </c>
      <c r="K31" s="6" t="s">
        <v>200</v>
      </c>
      <c r="L31" s="6" t="s">
        <v>135</v>
      </c>
      <c r="M31" s="7" t="str">
        <f t="shared" si="3"/>
        <v>Home Office</v>
      </c>
      <c r="N31" s="6" t="s">
        <v>82</v>
      </c>
      <c r="O31" s="7" t="str">
        <f t="shared" si="4"/>
        <v>South</v>
      </c>
      <c r="P31" s="6" t="s">
        <v>262</v>
      </c>
      <c r="Q31" s="6" t="s">
        <v>263</v>
      </c>
      <c r="R31" s="6" t="s">
        <v>106</v>
      </c>
      <c r="S31" s="7" t="str">
        <f t="shared" si="5"/>
        <v>Technology</v>
      </c>
      <c r="T31" s="6" t="s">
        <v>243</v>
      </c>
      <c r="U31" s="6" t="s">
        <v>264</v>
      </c>
      <c r="V31" s="6" t="s">
        <v>87</v>
      </c>
      <c r="W31" s="7" t="str">
        <f t="shared" si="6"/>
        <v>Standard Class</v>
      </c>
      <c r="X31" s="6">
        <v>1</v>
      </c>
      <c r="Y31" s="6">
        <v>256.01</v>
      </c>
      <c r="Z31" s="6">
        <v>0.15</v>
      </c>
      <c r="AA31" s="6">
        <f t="shared" si="8"/>
        <v>0.15</v>
      </c>
      <c r="AB31" s="6" t="str">
        <f t="shared" si="9"/>
        <v>Valid</v>
      </c>
      <c r="AC31" s="6">
        <v>217.61</v>
      </c>
      <c r="AD31" s="6" t="str">
        <f>IF(OR(AO31="Cancelled",AM31="Failed"),"Exclude from Completed Sales","Include in Completed Sales")</f>
        <v>Include in Completed Sales</v>
      </c>
      <c r="AE31" s="6">
        <f t="shared" si="10"/>
        <v>217.60849999999999</v>
      </c>
      <c r="AF31" s="6" t="str">
        <f>IF(TRIM(AM31)="Refunded","Refunded","")</f>
        <v/>
      </c>
      <c r="AG31" s="6">
        <v>119.77</v>
      </c>
      <c r="AH31" s="6">
        <v>97.84</v>
      </c>
      <c r="AI31" s="6">
        <f t="shared" si="11"/>
        <v>97.838499999999996</v>
      </c>
      <c r="AJ31" s="11">
        <f t="shared" si="12"/>
        <v>0.44960789675035673</v>
      </c>
      <c r="AK31" s="11" t="str">
        <f t="shared" si="13"/>
        <v>August</v>
      </c>
      <c r="AL31" s="12">
        <f t="shared" si="14"/>
        <v>2025</v>
      </c>
      <c r="AM31" s="6" t="s">
        <v>54</v>
      </c>
      <c r="AN31" s="6" t="s">
        <v>55</v>
      </c>
      <c r="AO31" s="6" t="str">
        <f t="shared" si="7"/>
        <v>Completed</v>
      </c>
    </row>
    <row r="32" spans="1:41">
      <c r="A32" s="6" t="s">
        <v>265</v>
      </c>
      <c r="B32" s="7" t="s">
        <v>266</v>
      </c>
      <c r="C32" s="8">
        <v>45331</v>
      </c>
      <c r="D32" s="7" t="s">
        <v>267</v>
      </c>
      <c r="E32" s="9">
        <v>45334</v>
      </c>
      <c r="F32" s="9" t="str">
        <f t="shared" si="0"/>
        <v>Valid</v>
      </c>
      <c r="G32" s="10">
        <f t="shared" si="1"/>
        <v>3</v>
      </c>
      <c r="H32" s="10" t="str">
        <f t="shared" si="2"/>
        <v>Valid</v>
      </c>
      <c r="I32" s="6" t="s">
        <v>268</v>
      </c>
      <c r="J32" s="6" t="s">
        <v>92</v>
      </c>
      <c r="K32" s="6" t="s">
        <v>92</v>
      </c>
      <c r="L32" s="6" t="s">
        <v>128</v>
      </c>
      <c r="M32" s="7" t="str">
        <f t="shared" si="3"/>
        <v>Corporate</v>
      </c>
      <c r="N32" s="6" t="s">
        <v>93</v>
      </c>
      <c r="O32" s="7" t="str">
        <f t="shared" si="4"/>
        <v>West</v>
      </c>
      <c r="P32" s="6" t="s">
        <v>269</v>
      </c>
      <c r="Q32" s="6" t="s">
        <v>270</v>
      </c>
      <c r="R32" s="6" t="s">
        <v>50</v>
      </c>
      <c r="S32" s="7" t="str">
        <f t="shared" si="5"/>
        <v>Office Supplies</v>
      </c>
      <c r="T32" s="6" t="s">
        <v>129</v>
      </c>
      <c r="U32" s="6" t="s">
        <v>271</v>
      </c>
      <c r="V32" s="6" t="s">
        <v>76</v>
      </c>
      <c r="W32" s="7" t="str">
        <f t="shared" si="6"/>
        <v>First Class</v>
      </c>
      <c r="X32" s="6">
        <v>1</v>
      </c>
      <c r="Y32" s="6">
        <v>3421.77</v>
      </c>
      <c r="Z32" s="6">
        <v>0.1</v>
      </c>
      <c r="AA32" s="6">
        <f t="shared" si="8"/>
        <v>0.1</v>
      </c>
      <c r="AB32" s="6" t="str">
        <f t="shared" si="9"/>
        <v>Valid</v>
      </c>
      <c r="AC32" s="6">
        <v>3079.59</v>
      </c>
      <c r="AD32" s="6" t="str">
        <f>IF(OR(AO32="Cancelled",AM32="Failed"),"Exclude from Completed Sales","Include in Completed Sales")</f>
        <v>Include in Completed Sales</v>
      </c>
      <c r="AE32" s="6">
        <f t="shared" si="10"/>
        <v>3079.5929999999998</v>
      </c>
      <c r="AF32" s="6" t="str">
        <f>IF(TRIM(AM32)="Refunded","Refunded","")</f>
        <v/>
      </c>
      <c r="AG32" s="6">
        <v>2001.89</v>
      </c>
      <c r="AH32" s="6">
        <v>1077.7</v>
      </c>
      <c r="AI32" s="6">
        <f t="shared" si="11"/>
        <v>1077.7029999999997</v>
      </c>
      <c r="AJ32" s="11">
        <f t="shared" si="12"/>
        <v>0.34994981479695525</v>
      </c>
      <c r="AK32" s="11" t="str">
        <f t="shared" si="13"/>
        <v>February</v>
      </c>
      <c r="AL32" s="12">
        <f t="shared" si="14"/>
        <v>2024</v>
      </c>
      <c r="AM32" s="6" t="s">
        <v>54</v>
      </c>
      <c r="AN32" s="6" t="s">
        <v>55</v>
      </c>
      <c r="AO32" s="6" t="str">
        <f t="shared" si="7"/>
        <v>Completed</v>
      </c>
    </row>
    <row r="33" spans="1:41">
      <c r="A33" s="6" t="s">
        <v>272</v>
      </c>
      <c r="B33" s="7" t="s">
        <v>273</v>
      </c>
      <c r="C33" s="8">
        <v>45823</v>
      </c>
      <c r="D33" s="7" t="s">
        <v>274</v>
      </c>
      <c r="E33" s="9">
        <v>45827</v>
      </c>
      <c r="F33" s="9" t="str">
        <f t="shared" si="0"/>
        <v>Valid</v>
      </c>
      <c r="G33" s="10">
        <f t="shared" si="1"/>
        <v>4</v>
      </c>
      <c r="H33" s="10" t="str">
        <f t="shared" si="2"/>
        <v>Valid</v>
      </c>
      <c r="I33" s="6" t="s">
        <v>275</v>
      </c>
      <c r="J33" s="6" t="s">
        <v>45</v>
      </c>
      <c r="K33" s="6" t="s">
        <v>45</v>
      </c>
      <c r="L33" s="6" t="s">
        <v>61</v>
      </c>
      <c r="M33" s="7" t="str">
        <f t="shared" si="3"/>
        <v>Small Business</v>
      </c>
      <c r="N33" s="6" t="s">
        <v>93</v>
      </c>
      <c r="O33" s="7" t="str">
        <f t="shared" si="4"/>
        <v>West</v>
      </c>
      <c r="P33" s="6" t="s">
        <v>104</v>
      </c>
      <c r="Q33" s="6" t="s">
        <v>105</v>
      </c>
      <c r="R33" s="6" t="s">
        <v>50</v>
      </c>
      <c r="S33" s="7" t="str">
        <f t="shared" si="5"/>
        <v>Office Supplies</v>
      </c>
      <c r="T33" s="6" t="s">
        <v>51</v>
      </c>
      <c r="U33" s="6" t="s">
        <v>276</v>
      </c>
      <c r="V33" s="6" t="s">
        <v>53</v>
      </c>
      <c r="W33" s="7" t="str">
        <f t="shared" si="6"/>
        <v>Second Class</v>
      </c>
      <c r="X33" s="6">
        <v>9</v>
      </c>
      <c r="Y33" s="6">
        <v>3092.55</v>
      </c>
      <c r="Z33" s="6">
        <v>0</v>
      </c>
      <c r="AA33" s="6">
        <f t="shared" si="8"/>
        <v>0</v>
      </c>
      <c r="AB33" s="6" t="str">
        <f t="shared" si="9"/>
        <v>Valid</v>
      </c>
      <c r="AC33" s="6">
        <v>27832.95</v>
      </c>
      <c r="AD33" s="6" t="str">
        <f>IF(OR(AO33="Cancelled",AM33="Failed"),"Exclude from Completed Sales","Include in Completed Sales")</f>
        <v>Exclude from Completed Sales</v>
      </c>
      <c r="AE33" s="6">
        <f t="shared" si="10"/>
        <v>27832.95</v>
      </c>
      <c r="AF33" s="6" t="str">
        <f>IF(TRIM(AM33)="Refunded","Refunded","")</f>
        <v/>
      </c>
      <c r="AG33" s="6">
        <v>17769.75</v>
      </c>
      <c r="AH33" s="6">
        <v>10063.200000000001</v>
      </c>
      <c r="AI33" s="6">
        <f t="shared" si="11"/>
        <v>10063.200000000001</v>
      </c>
      <c r="AJ33" s="11">
        <f t="shared" si="12"/>
        <v>0.36155707533696574</v>
      </c>
      <c r="AK33" s="11" t="str">
        <f t="shared" si="13"/>
        <v>June</v>
      </c>
      <c r="AL33" s="12">
        <f t="shared" si="14"/>
        <v>2025</v>
      </c>
      <c r="AM33" s="6" t="s">
        <v>220</v>
      </c>
      <c r="AN33" s="6" t="s">
        <v>145</v>
      </c>
      <c r="AO33" s="6" t="str">
        <f t="shared" si="7"/>
        <v>Returned</v>
      </c>
    </row>
    <row r="34" spans="1:41">
      <c r="A34" s="6" t="s">
        <v>277</v>
      </c>
      <c r="B34" s="7" t="s">
        <v>278</v>
      </c>
      <c r="C34" s="8">
        <v>45618</v>
      </c>
      <c r="D34" s="7" t="s">
        <v>279</v>
      </c>
      <c r="E34" s="9">
        <v>45622</v>
      </c>
      <c r="F34" s="9" t="str">
        <f t="shared" si="0"/>
        <v>Valid</v>
      </c>
      <c r="G34" s="10">
        <f t="shared" si="1"/>
        <v>4</v>
      </c>
      <c r="H34" s="10" t="str">
        <f t="shared" si="2"/>
        <v>Valid</v>
      </c>
      <c r="I34" s="6" t="s">
        <v>280</v>
      </c>
      <c r="J34" s="6" t="s">
        <v>182</v>
      </c>
      <c r="K34" s="6" t="s">
        <v>182</v>
      </c>
      <c r="L34" s="6" t="s">
        <v>128</v>
      </c>
      <c r="M34" s="7" t="str">
        <f t="shared" si="3"/>
        <v>Corporate</v>
      </c>
      <c r="N34" s="6" t="s">
        <v>82</v>
      </c>
      <c r="O34" s="7" t="str">
        <f t="shared" si="4"/>
        <v>South</v>
      </c>
      <c r="P34" s="6" t="s">
        <v>120</v>
      </c>
      <c r="Q34" s="6" t="s">
        <v>121</v>
      </c>
      <c r="R34" s="6" t="s">
        <v>106</v>
      </c>
      <c r="S34" s="7" t="str">
        <f t="shared" si="5"/>
        <v>Technology</v>
      </c>
      <c r="T34" s="6" t="s">
        <v>243</v>
      </c>
      <c r="U34" s="6" t="s">
        <v>281</v>
      </c>
      <c r="V34" s="6" t="s">
        <v>53</v>
      </c>
      <c r="W34" s="7" t="str">
        <f t="shared" si="6"/>
        <v>Second Class</v>
      </c>
      <c r="X34" s="6">
        <v>3</v>
      </c>
      <c r="Y34" s="6">
        <v>4001.25</v>
      </c>
      <c r="Z34" s="6"/>
      <c r="AA34" s="6">
        <f t="shared" si="8"/>
        <v>0</v>
      </c>
      <c r="AB34" s="6" t="str">
        <f t="shared" si="9"/>
        <v>Valid</v>
      </c>
      <c r="AC34" s="6">
        <v>9002.81</v>
      </c>
      <c r="AD34" s="6" t="str">
        <f>IF(OR(AO34="Cancelled",AM34="Failed"),"Exclude from Completed Sales","Include in Completed Sales")</f>
        <v>Include in Completed Sales</v>
      </c>
      <c r="AE34" s="6">
        <f t="shared" si="10"/>
        <v>12003.75</v>
      </c>
      <c r="AF34" s="6" t="str">
        <f>IF(TRIM(AM34)="Refunded","Refunded","")</f>
        <v/>
      </c>
      <c r="AG34" s="6">
        <v>7529.92</v>
      </c>
      <c r="AH34" s="6">
        <v>1472.89</v>
      </c>
      <c r="AI34" s="6">
        <f t="shared" si="11"/>
        <v>4473.83</v>
      </c>
      <c r="AJ34" s="11">
        <f t="shared" si="12"/>
        <v>0.37270269707383108</v>
      </c>
      <c r="AK34" s="11" t="str">
        <f t="shared" si="13"/>
        <v>November</v>
      </c>
      <c r="AL34" s="12">
        <f t="shared" si="14"/>
        <v>2024</v>
      </c>
      <c r="AM34" s="6" t="s">
        <v>54</v>
      </c>
      <c r="AN34" s="6" t="s">
        <v>55</v>
      </c>
      <c r="AO34" s="6" t="str">
        <f t="shared" si="7"/>
        <v>Completed</v>
      </c>
    </row>
    <row r="35" spans="1:41">
      <c r="A35" s="6" t="s">
        <v>282</v>
      </c>
      <c r="B35" s="7" t="s">
        <v>283</v>
      </c>
      <c r="C35" s="8">
        <v>45495</v>
      </c>
      <c r="D35" s="7" t="s">
        <v>284</v>
      </c>
      <c r="E35" s="9">
        <v>45500</v>
      </c>
      <c r="F35" s="9" t="str">
        <f t="shared" si="0"/>
        <v>Valid</v>
      </c>
      <c r="G35" s="10">
        <f t="shared" si="1"/>
        <v>5</v>
      </c>
      <c r="H35" s="10" t="str">
        <f t="shared" si="2"/>
        <v>Valid</v>
      </c>
      <c r="I35" s="6" t="s">
        <v>285</v>
      </c>
      <c r="J35" s="6" t="s">
        <v>162</v>
      </c>
      <c r="K35" s="6" t="s">
        <v>162</v>
      </c>
      <c r="L35" s="6" t="s">
        <v>135</v>
      </c>
      <c r="M35" s="7" t="str">
        <f t="shared" si="3"/>
        <v>Home Office</v>
      </c>
      <c r="N35" s="6" t="s">
        <v>93</v>
      </c>
      <c r="O35" s="7" t="str">
        <f t="shared" si="4"/>
        <v>West</v>
      </c>
      <c r="P35" s="6" t="s">
        <v>269</v>
      </c>
      <c r="Q35" s="6" t="s">
        <v>270</v>
      </c>
      <c r="R35" s="6" t="s">
        <v>65</v>
      </c>
      <c r="S35" s="7" t="str">
        <f t="shared" si="5"/>
        <v>Furniture</v>
      </c>
      <c r="T35" s="6" t="s">
        <v>66</v>
      </c>
      <c r="U35" s="6" t="s">
        <v>286</v>
      </c>
      <c r="V35" s="6" t="s">
        <v>68</v>
      </c>
      <c r="W35" s="7" t="str">
        <f t="shared" si="6"/>
        <v>Same Day</v>
      </c>
      <c r="X35" s="6">
        <v>7</v>
      </c>
      <c r="Y35" s="6">
        <v>492.41</v>
      </c>
      <c r="Z35" s="6">
        <v>0.25</v>
      </c>
      <c r="AA35" s="6">
        <f t="shared" si="8"/>
        <v>0.25</v>
      </c>
      <c r="AB35" s="6" t="str">
        <f t="shared" si="9"/>
        <v>Valid</v>
      </c>
      <c r="AC35" s="6">
        <v>2585.15</v>
      </c>
      <c r="AD35" s="6" t="str">
        <f>IF(OR(AO35="Cancelled",AM35="Failed"),"Exclude from Completed Sales","Include in Completed Sales")</f>
        <v>Include in Completed Sales</v>
      </c>
      <c r="AE35" s="6">
        <f t="shared" si="10"/>
        <v>2585.1525000000001</v>
      </c>
      <c r="AF35" s="6" t="str">
        <f>IF(TRIM(AM35)="Refunded","Refunded","")</f>
        <v/>
      </c>
      <c r="AG35" s="6">
        <v>2070.73</v>
      </c>
      <c r="AH35" s="6">
        <v>514.41999999999996</v>
      </c>
      <c r="AI35" s="6">
        <f t="shared" si="11"/>
        <v>514.42250000000013</v>
      </c>
      <c r="AJ35" s="11">
        <f t="shared" si="12"/>
        <v>0.19899116203009304</v>
      </c>
      <c r="AK35" s="11" t="str">
        <f t="shared" si="13"/>
        <v>July</v>
      </c>
      <c r="AL35" s="12">
        <f t="shared" si="14"/>
        <v>2024</v>
      </c>
      <c r="AM35" s="6" t="s">
        <v>54</v>
      </c>
      <c r="AN35" s="6" t="s">
        <v>55</v>
      </c>
      <c r="AO35" s="6" t="str">
        <f t="shared" si="7"/>
        <v>Completed</v>
      </c>
    </row>
    <row r="36" spans="1:41">
      <c r="A36" s="6" t="s">
        <v>287</v>
      </c>
      <c r="B36" s="7" t="s">
        <v>288</v>
      </c>
      <c r="C36" s="8">
        <v>45688</v>
      </c>
      <c r="D36" s="7" t="s">
        <v>289</v>
      </c>
      <c r="E36" s="9">
        <v>45693</v>
      </c>
      <c r="F36" s="9" t="str">
        <f t="shared" si="0"/>
        <v>Valid</v>
      </c>
      <c r="G36" s="10">
        <f t="shared" si="1"/>
        <v>5</v>
      </c>
      <c r="H36" s="10" t="str">
        <f t="shared" si="2"/>
        <v>Valid</v>
      </c>
      <c r="I36" s="6" t="s">
        <v>290</v>
      </c>
      <c r="J36" s="6" t="s">
        <v>162</v>
      </c>
      <c r="K36" s="6" t="s">
        <v>162</v>
      </c>
      <c r="L36" s="6" t="s">
        <v>135</v>
      </c>
      <c r="M36" s="7" t="str">
        <f t="shared" si="3"/>
        <v>Home Office</v>
      </c>
      <c r="N36" s="6" t="s">
        <v>62</v>
      </c>
      <c r="O36" s="7" t="str">
        <f t="shared" si="4"/>
        <v>East</v>
      </c>
      <c r="P36" s="6" t="s">
        <v>141</v>
      </c>
      <c r="Q36" s="6" t="s">
        <v>142</v>
      </c>
      <c r="R36" s="6" t="s">
        <v>65</v>
      </c>
      <c r="S36" s="7" t="str">
        <f t="shared" si="5"/>
        <v>Furniture</v>
      </c>
      <c r="T36" s="6" t="s">
        <v>96</v>
      </c>
      <c r="U36" s="6" t="s">
        <v>291</v>
      </c>
      <c r="V36" s="6"/>
      <c r="W36" s="7" t="str">
        <f t="shared" si="6"/>
        <v>Unknown</v>
      </c>
      <c r="X36" s="6">
        <v>2</v>
      </c>
      <c r="Y36" s="6">
        <v>4159.6899999999996</v>
      </c>
      <c r="Z36" s="6">
        <v>0.2</v>
      </c>
      <c r="AA36" s="6">
        <f t="shared" si="8"/>
        <v>0.2</v>
      </c>
      <c r="AB36" s="6" t="str">
        <f t="shared" si="9"/>
        <v>Valid</v>
      </c>
      <c r="AC36" s="6">
        <v>6655.5</v>
      </c>
      <c r="AD36" s="6" t="str">
        <f>IF(OR(AO36="Cancelled",AM36="Failed"),"Exclude from Completed Sales","Include in Completed Sales")</f>
        <v>Include in Completed Sales</v>
      </c>
      <c r="AE36" s="6">
        <f t="shared" si="10"/>
        <v>6655.5039999999999</v>
      </c>
      <c r="AF36" s="6" t="str">
        <f>IF(TRIM(AM36)="Refunded","Refunded","")</f>
        <v/>
      </c>
      <c r="AG36" s="6">
        <v>4340.21</v>
      </c>
      <c r="AH36" s="6">
        <v>2607.3200000000002</v>
      </c>
      <c r="AI36" s="6">
        <f t="shared" si="11"/>
        <v>2315.2939999999999</v>
      </c>
      <c r="AJ36" s="11">
        <f t="shared" si="12"/>
        <v>0.34787658455317583</v>
      </c>
      <c r="AK36" s="11" t="str">
        <f t="shared" si="13"/>
        <v>January</v>
      </c>
      <c r="AL36" s="12">
        <f t="shared" si="14"/>
        <v>2025</v>
      </c>
      <c r="AM36" s="6" t="s">
        <v>54</v>
      </c>
      <c r="AN36" s="6" t="s">
        <v>55</v>
      </c>
      <c r="AO36" s="6" t="str">
        <f t="shared" si="7"/>
        <v>Completed</v>
      </c>
    </row>
    <row r="37" spans="1:41">
      <c r="A37" s="6" t="s">
        <v>292</v>
      </c>
      <c r="B37" s="7" t="s">
        <v>293</v>
      </c>
      <c r="C37" s="8">
        <v>45441</v>
      </c>
      <c r="D37" s="7" t="s">
        <v>294</v>
      </c>
      <c r="E37" s="9">
        <v>45441</v>
      </c>
      <c r="F37" s="9" t="str">
        <f t="shared" si="0"/>
        <v>Valid</v>
      </c>
      <c r="G37" s="10">
        <f t="shared" si="1"/>
        <v>0</v>
      </c>
      <c r="H37" s="10" t="str">
        <f t="shared" si="2"/>
        <v>Valid</v>
      </c>
      <c r="I37" s="6" t="s">
        <v>295</v>
      </c>
      <c r="J37" s="6" t="s">
        <v>188</v>
      </c>
      <c r="K37" s="6" t="s">
        <v>188</v>
      </c>
      <c r="L37" s="6" t="s">
        <v>61</v>
      </c>
      <c r="M37" s="7" t="str">
        <f t="shared" si="3"/>
        <v>Small Business</v>
      </c>
      <c r="N37" s="6" t="s">
        <v>93</v>
      </c>
      <c r="O37" s="7" t="str">
        <f t="shared" si="4"/>
        <v>West</v>
      </c>
      <c r="P37" s="6" t="s">
        <v>255</v>
      </c>
      <c r="Q37" s="6" t="s">
        <v>256</v>
      </c>
      <c r="R37" s="6" t="s">
        <v>65</v>
      </c>
      <c r="S37" s="7" t="str">
        <f t="shared" si="5"/>
        <v>Furniture</v>
      </c>
      <c r="T37" s="6" t="s">
        <v>224</v>
      </c>
      <c r="U37" s="6" t="s">
        <v>296</v>
      </c>
      <c r="V37" s="6" t="s">
        <v>53</v>
      </c>
      <c r="W37" s="7" t="str">
        <f t="shared" si="6"/>
        <v>Second Class</v>
      </c>
      <c r="X37" s="6">
        <v>8</v>
      </c>
      <c r="Y37" s="6">
        <v>2507.12</v>
      </c>
      <c r="Z37" s="6">
        <v>0.05</v>
      </c>
      <c r="AA37" s="6">
        <f t="shared" si="8"/>
        <v>0.05</v>
      </c>
      <c r="AB37" s="6" t="str">
        <f t="shared" si="9"/>
        <v>Valid</v>
      </c>
      <c r="AC37" s="6">
        <v>19054.11</v>
      </c>
      <c r="AD37" s="6" t="str">
        <f>IF(OR(AO37="Cancelled",AM37="Failed"),"Exclude from Completed Sales","Include in Completed Sales")</f>
        <v>Include in Completed Sales</v>
      </c>
      <c r="AE37" s="6">
        <f t="shared" si="10"/>
        <v>19054.111999999997</v>
      </c>
      <c r="AF37" s="6" t="str">
        <f>IF(TRIM(AM37)="Refunded","Refunded","")</f>
        <v/>
      </c>
      <c r="AG37" s="6">
        <v>15313.83</v>
      </c>
      <c r="AH37" s="6">
        <v>3740.28</v>
      </c>
      <c r="AI37" s="6">
        <f t="shared" si="11"/>
        <v>3740.2819999999974</v>
      </c>
      <c r="AJ37" s="11">
        <f t="shared" si="12"/>
        <v>0.19629789097492437</v>
      </c>
      <c r="AK37" s="11" t="str">
        <f t="shared" si="13"/>
        <v>May</v>
      </c>
      <c r="AL37" s="12">
        <f t="shared" si="14"/>
        <v>2024</v>
      </c>
      <c r="AM37" s="6" t="s">
        <v>157</v>
      </c>
      <c r="AN37" s="6" t="s">
        <v>145</v>
      </c>
      <c r="AO37" s="6" t="str">
        <f t="shared" si="7"/>
        <v>Returned</v>
      </c>
    </row>
    <row r="38" spans="1:41">
      <c r="A38" s="6" t="s">
        <v>297</v>
      </c>
      <c r="B38" s="7" t="s">
        <v>298</v>
      </c>
      <c r="C38" s="8">
        <v>45590</v>
      </c>
      <c r="D38" s="7" t="s">
        <v>299</v>
      </c>
      <c r="E38" s="9">
        <v>45593</v>
      </c>
      <c r="F38" s="9" t="str">
        <f t="shared" si="0"/>
        <v>Valid</v>
      </c>
      <c r="G38" s="10">
        <f t="shared" si="1"/>
        <v>3</v>
      </c>
      <c r="H38" s="10" t="str">
        <f t="shared" si="2"/>
        <v>Valid</v>
      </c>
      <c r="I38" s="6" t="s">
        <v>300</v>
      </c>
      <c r="J38" s="6" t="s">
        <v>200</v>
      </c>
      <c r="K38" s="6" t="s">
        <v>200</v>
      </c>
      <c r="L38" s="6" t="s">
        <v>128</v>
      </c>
      <c r="M38" s="7" t="str">
        <f t="shared" si="3"/>
        <v>Corporate</v>
      </c>
      <c r="N38" s="6" t="s">
        <v>93</v>
      </c>
      <c r="O38" s="7" t="str">
        <f t="shared" si="4"/>
        <v>West</v>
      </c>
      <c r="P38" s="6" t="s">
        <v>94</v>
      </c>
      <c r="Q38" s="6" t="s">
        <v>95</v>
      </c>
      <c r="R38" s="6" t="s">
        <v>65</v>
      </c>
      <c r="S38" s="7" t="str">
        <f t="shared" si="5"/>
        <v>Furniture</v>
      </c>
      <c r="T38" s="6" t="s">
        <v>224</v>
      </c>
      <c r="U38" s="6" t="s">
        <v>301</v>
      </c>
      <c r="V38" s="6" t="s">
        <v>53</v>
      </c>
      <c r="W38" s="7" t="str">
        <f t="shared" si="6"/>
        <v>Second Class</v>
      </c>
      <c r="X38" s="6">
        <v>3</v>
      </c>
      <c r="Y38" s="6">
        <v>3126.47</v>
      </c>
      <c r="Z38" s="6">
        <v>0</v>
      </c>
      <c r="AA38" s="6">
        <f t="shared" si="8"/>
        <v>0</v>
      </c>
      <c r="AB38" s="6" t="str">
        <f t="shared" si="9"/>
        <v>Valid</v>
      </c>
      <c r="AC38" s="6">
        <v>9379.41</v>
      </c>
      <c r="AD38" s="6" t="str">
        <f>IF(OR(AO38="Cancelled",AM38="Failed"),"Exclude from Completed Sales","Include in Completed Sales")</f>
        <v>Include in Completed Sales</v>
      </c>
      <c r="AE38" s="6">
        <f t="shared" si="10"/>
        <v>9379.41</v>
      </c>
      <c r="AF38" s="6" t="str">
        <f>IF(TRIM(AM38)="Refunded","Refunded","")</f>
        <v/>
      </c>
      <c r="AG38" s="6">
        <v>6670.85</v>
      </c>
      <c r="AH38" s="6">
        <v>2708.56</v>
      </c>
      <c r="AI38" s="6">
        <f t="shared" si="11"/>
        <v>2708.5599999999995</v>
      </c>
      <c r="AJ38" s="11">
        <f t="shared" si="12"/>
        <v>0.28877722585962223</v>
      </c>
      <c r="AK38" s="11" t="str">
        <f t="shared" si="13"/>
        <v>October</v>
      </c>
      <c r="AL38" s="12">
        <f t="shared" si="14"/>
        <v>2024</v>
      </c>
      <c r="AM38" s="6" t="s">
        <v>54</v>
      </c>
      <c r="AN38" s="6" t="s">
        <v>145</v>
      </c>
      <c r="AO38" s="6" t="str">
        <f t="shared" si="7"/>
        <v>Returned</v>
      </c>
    </row>
    <row r="39" spans="1:41">
      <c r="A39" s="6" t="s">
        <v>302</v>
      </c>
      <c r="B39" s="7" t="s">
        <v>303</v>
      </c>
      <c r="C39" s="8">
        <v>45867</v>
      </c>
      <c r="D39" s="7" t="s">
        <v>303</v>
      </c>
      <c r="E39" s="9">
        <v>45867</v>
      </c>
      <c r="F39" s="9" t="str">
        <f t="shared" si="0"/>
        <v>Valid</v>
      </c>
      <c r="G39" s="10">
        <f t="shared" si="1"/>
        <v>0</v>
      </c>
      <c r="H39" s="10" t="str">
        <f t="shared" si="2"/>
        <v>Valid</v>
      </c>
      <c r="I39" s="6" t="s">
        <v>304</v>
      </c>
      <c r="J39" s="6" t="s">
        <v>230</v>
      </c>
      <c r="K39" s="6" t="s">
        <v>230</v>
      </c>
      <c r="L39" s="6" t="s">
        <v>46</v>
      </c>
      <c r="M39" s="7" t="str">
        <f t="shared" si="3"/>
        <v>Consumer</v>
      </c>
      <c r="N39" s="6" t="s">
        <v>93</v>
      </c>
      <c r="O39" s="7" t="str">
        <f t="shared" si="4"/>
        <v>West</v>
      </c>
      <c r="P39" s="6" t="s">
        <v>94</v>
      </c>
      <c r="Q39" s="6" t="s">
        <v>95</v>
      </c>
      <c r="R39" s="6" t="s">
        <v>106</v>
      </c>
      <c r="S39" s="7" t="str">
        <f t="shared" si="5"/>
        <v>Technology</v>
      </c>
      <c r="T39" s="6" t="s">
        <v>114</v>
      </c>
      <c r="U39" s="6" t="s">
        <v>305</v>
      </c>
      <c r="V39" s="6" t="s">
        <v>306</v>
      </c>
      <c r="W39" s="7" t="str">
        <f t="shared" si="6"/>
        <v>Standard Class</v>
      </c>
      <c r="X39" s="6">
        <v>4</v>
      </c>
      <c r="Y39" s="6">
        <v>1327.54</v>
      </c>
      <c r="Z39" s="6">
        <v>0.2</v>
      </c>
      <c r="AA39" s="6">
        <f t="shared" si="8"/>
        <v>0.2</v>
      </c>
      <c r="AB39" s="6" t="str">
        <f t="shared" si="9"/>
        <v>Valid</v>
      </c>
      <c r="AC39" s="6">
        <v>4248.13</v>
      </c>
      <c r="AD39" s="6" t="str">
        <f>IF(OR(AO39="Cancelled",AM39="Failed"),"Exclude from Completed Sales","Include in Completed Sales")</f>
        <v>Include in Completed Sales</v>
      </c>
      <c r="AE39" s="6">
        <f t="shared" si="10"/>
        <v>4248.1279999999997</v>
      </c>
      <c r="AF39" s="6" t="str">
        <f>IF(TRIM(AM39)="Refunded","Refunded","")</f>
        <v/>
      </c>
      <c r="AG39" s="6">
        <v>3321.09</v>
      </c>
      <c r="AH39" s="6">
        <v>927.04</v>
      </c>
      <c r="AI39" s="6">
        <f t="shared" si="11"/>
        <v>927.03799999999956</v>
      </c>
      <c r="AJ39" s="11">
        <f t="shared" si="12"/>
        <v>0.21822270892025844</v>
      </c>
      <c r="AK39" s="11" t="str">
        <f t="shared" si="13"/>
        <v>July</v>
      </c>
      <c r="AL39" s="12">
        <f t="shared" si="14"/>
        <v>2025</v>
      </c>
      <c r="AM39" s="6" t="s">
        <v>54</v>
      </c>
      <c r="AN39" s="6" t="s">
        <v>55</v>
      </c>
      <c r="AO39" s="6" t="str">
        <f t="shared" si="7"/>
        <v>Completed</v>
      </c>
    </row>
    <row r="40" spans="1:41">
      <c r="A40" s="6" t="s">
        <v>307</v>
      </c>
      <c r="B40" s="7" t="s">
        <v>308</v>
      </c>
      <c r="C40" s="8">
        <v>45460</v>
      </c>
      <c r="D40" s="7" t="s">
        <v>309</v>
      </c>
      <c r="E40" s="9">
        <v>45465</v>
      </c>
      <c r="F40" s="9" t="str">
        <f t="shared" si="0"/>
        <v>Valid</v>
      </c>
      <c r="G40" s="10">
        <f t="shared" si="1"/>
        <v>5</v>
      </c>
      <c r="H40" s="10" t="str">
        <f t="shared" si="2"/>
        <v>Valid</v>
      </c>
      <c r="I40" s="6" t="s">
        <v>310</v>
      </c>
      <c r="J40" s="6" t="s">
        <v>182</v>
      </c>
      <c r="K40" s="6" t="s">
        <v>182</v>
      </c>
      <c r="L40" s="6" t="s">
        <v>128</v>
      </c>
      <c r="M40" s="7" t="str">
        <f t="shared" si="3"/>
        <v>Corporate</v>
      </c>
      <c r="N40" s="6" t="s">
        <v>93</v>
      </c>
      <c r="O40" s="7" t="str">
        <f t="shared" si="4"/>
        <v>West</v>
      </c>
      <c r="P40" s="6" t="s">
        <v>255</v>
      </c>
      <c r="Q40" s="6" t="s">
        <v>256</v>
      </c>
      <c r="R40" s="6" t="s">
        <v>106</v>
      </c>
      <c r="S40" s="7" t="str">
        <f t="shared" si="5"/>
        <v>Technology</v>
      </c>
      <c r="T40" s="6" t="s">
        <v>243</v>
      </c>
      <c r="U40" s="6" t="s">
        <v>311</v>
      </c>
      <c r="V40" s="6" t="s">
        <v>76</v>
      </c>
      <c r="W40" s="7" t="str">
        <f t="shared" si="6"/>
        <v>First Class</v>
      </c>
      <c r="X40" s="6">
        <v>7</v>
      </c>
      <c r="Y40" s="6">
        <v>2210.6799999999998</v>
      </c>
      <c r="Z40" s="6">
        <v>0.1</v>
      </c>
      <c r="AA40" s="6">
        <f t="shared" si="8"/>
        <v>0.1</v>
      </c>
      <c r="AB40" s="6" t="str">
        <f t="shared" si="9"/>
        <v>Valid</v>
      </c>
      <c r="AC40" s="6">
        <v>13927.28</v>
      </c>
      <c r="AD40" s="6" t="str">
        <f>IF(OR(AO40="Cancelled",AM40="Failed"),"Exclude from Completed Sales","Include in Completed Sales")</f>
        <v>Include in Completed Sales</v>
      </c>
      <c r="AE40" s="6">
        <f t="shared" si="10"/>
        <v>13927.284</v>
      </c>
      <c r="AF40" s="6" t="str">
        <f>IF(TRIM(AM40)="Refunded","Refunded","")</f>
        <v/>
      </c>
      <c r="AG40" s="6">
        <v>10504.87</v>
      </c>
      <c r="AH40" s="6">
        <v>3422.41</v>
      </c>
      <c r="AI40" s="6">
        <f t="shared" si="11"/>
        <v>3422.4139999999989</v>
      </c>
      <c r="AJ40" s="11">
        <f t="shared" si="12"/>
        <v>0.24573448778670692</v>
      </c>
      <c r="AK40" s="11" t="str">
        <f t="shared" si="13"/>
        <v>June</v>
      </c>
      <c r="AL40" s="12">
        <f t="shared" si="14"/>
        <v>2024</v>
      </c>
      <c r="AM40" s="6" t="s">
        <v>54</v>
      </c>
      <c r="AN40" s="6" t="s">
        <v>55</v>
      </c>
      <c r="AO40" s="6" t="str">
        <f t="shared" si="7"/>
        <v>Completed</v>
      </c>
    </row>
    <row r="41" spans="1:41">
      <c r="A41" s="6" t="s">
        <v>312</v>
      </c>
      <c r="B41" s="7" t="s">
        <v>313</v>
      </c>
      <c r="C41" s="8">
        <v>45637</v>
      </c>
      <c r="D41" s="7" t="s">
        <v>314</v>
      </c>
      <c r="E41" s="9">
        <v>45637</v>
      </c>
      <c r="F41" s="9" t="str">
        <f t="shared" si="0"/>
        <v>Valid</v>
      </c>
      <c r="G41" s="10">
        <f t="shared" si="1"/>
        <v>0</v>
      </c>
      <c r="H41" s="10" t="str">
        <f t="shared" si="2"/>
        <v>Valid</v>
      </c>
      <c r="I41" s="6" t="s">
        <v>315</v>
      </c>
      <c r="J41" s="6" t="s">
        <v>60</v>
      </c>
      <c r="K41" s="6" t="s">
        <v>60</v>
      </c>
      <c r="L41" s="6" t="s">
        <v>61</v>
      </c>
      <c r="M41" s="7" t="str">
        <f t="shared" si="3"/>
        <v>Small Business</v>
      </c>
      <c r="N41" s="6" t="s">
        <v>93</v>
      </c>
      <c r="O41" s="7" t="str">
        <f t="shared" si="4"/>
        <v>West</v>
      </c>
      <c r="P41" s="6" t="s">
        <v>104</v>
      </c>
      <c r="Q41" s="6" t="s">
        <v>105</v>
      </c>
      <c r="R41" s="6" t="s">
        <v>106</v>
      </c>
      <c r="S41" s="7" t="str">
        <f t="shared" si="5"/>
        <v>Technology</v>
      </c>
      <c r="T41" s="6" t="s">
        <v>114</v>
      </c>
      <c r="U41" s="6" t="s">
        <v>316</v>
      </c>
      <c r="V41" s="6" t="s">
        <v>76</v>
      </c>
      <c r="W41" s="7" t="str">
        <f t="shared" si="6"/>
        <v>First Class</v>
      </c>
      <c r="X41" s="6">
        <v>4</v>
      </c>
      <c r="Y41" s="6">
        <v>1370.92</v>
      </c>
      <c r="Z41" s="6">
        <v>0.1</v>
      </c>
      <c r="AA41" s="6">
        <f t="shared" si="8"/>
        <v>0.1</v>
      </c>
      <c r="AB41" s="6" t="str">
        <f t="shared" si="9"/>
        <v>Valid</v>
      </c>
      <c r="AC41" s="6">
        <v>4935.3100000000004</v>
      </c>
      <c r="AD41" s="6" t="str">
        <f>IF(OR(AO41="Cancelled",AM41="Failed"),"Exclude from Completed Sales","Include in Completed Sales")</f>
        <v>Include in Completed Sales</v>
      </c>
      <c r="AE41" s="6">
        <f t="shared" si="10"/>
        <v>4935.3120000000008</v>
      </c>
      <c r="AF41" s="6" t="str">
        <f>IF(TRIM(AM41)="Refunded","Refunded","")</f>
        <v/>
      </c>
      <c r="AG41" s="6">
        <v>3374.77</v>
      </c>
      <c r="AH41" s="6">
        <v>1560.54</v>
      </c>
      <c r="AI41" s="6">
        <f t="shared" si="11"/>
        <v>1560.5420000000008</v>
      </c>
      <c r="AJ41" s="11">
        <f t="shared" si="12"/>
        <v>0.31619925954022776</v>
      </c>
      <c r="AK41" s="11" t="str">
        <f t="shared" si="13"/>
        <v>December</v>
      </c>
      <c r="AL41" s="12">
        <f t="shared" si="14"/>
        <v>2024</v>
      </c>
      <c r="AM41" s="6" t="s">
        <v>157</v>
      </c>
      <c r="AN41" s="6" t="s">
        <v>145</v>
      </c>
      <c r="AO41" s="6" t="str">
        <f t="shared" si="7"/>
        <v>Returned</v>
      </c>
    </row>
    <row r="42" spans="1:41">
      <c r="A42" s="6" t="s">
        <v>317</v>
      </c>
      <c r="B42" s="7" t="s">
        <v>318</v>
      </c>
      <c r="C42" s="8">
        <v>45575</v>
      </c>
      <c r="D42" s="7" t="s">
        <v>319</v>
      </c>
      <c r="E42" s="9">
        <v>45581</v>
      </c>
      <c r="F42" s="9" t="str">
        <f t="shared" si="0"/>
        <v>Valid</v>
      </c>
      <c r="G42" s="10">
        <f t="shared" si="1"/>
        <v>6</v>
      </c>
      <c r="H42" s="10" t="str">
        <f t="shared" si="2"/>
        <v>Valid</v>
      </c>
      <c r="I42" s="6" t="s">
        <v>320</v>
      </c>
      <c r="J42" s="6" t="s">
        <v>73</v>
      </c>
      <c r="K42" s="6" t="s">
        <v>73</v>
      </c>
      <c r="L42" s="6" t="s">
        <v>135</v>
      </c>
      <c r="M42" s="7" t="str">
        <f t="shared" si="3"/>
        <v>Home Office</v>
      </c>
      <c r="N42" s="6" t="s">
        <v>93</v>
      </c>
      <c r="O42" s="7" t="str">
        <f t="shared" si="4"/>
        <v>West</v>
      </c>
      <c r="P42" s="6" t="s">
        <v>48</v>
      </c>
      <c r="Q42" s="6" t="s">
        <v>155</v>
      </c>
      <c r="R42" s="6" t="s">
        <v>106</v>
      </c>
      <c r="S42" s="7" t="str">
        <f t="shared" si="5"/>
        <v>Technology</v>
      </c>
      <c r="T42" s="6" t="s">
        <v>114</v>
      </c>
      <c r="U42" s="6" t="s">
        <v>321</v>
      </c>
      <c r="V42" s="6" t="s">
        <v>87</v>
      </c>
      <c r="W42" s="7" t="str">
        <f t="shared" si="6"/>
        <v>Standard Class</v>
      </c>
      <c r="X42" s="6">
        <v>7</v>
      </c>
      <c r="Y42" s="6">
        <v>2509.27</v>
      </c>
      <c r="Z42" s="6">
        <v>0.2</v>
      </c>
      <c r="AA42" s="6">
        <f t="shared" si="8"/>
        <v>0.2</v>
      </c>
      <c r="AB42" s="6" t="str">
        <f t="shared" si="9"/>
        <v>Valid</v>
      </c>
      <c r="AC42" s="6">
        <v>14051.91</v>
      </c>
      <c r="AD42" s="6" t="str">
        <f>IF(OR(AO42="Cancelled",AM42="Failed"),"Exclude from Completed Sales","Include in Completed Sales")</f>
        <v>Include in Completed Sales</v>
      </c>
      <c r="AE42" s="6">
        <f t="shared" si="10"/>
        <v>14051.912</v>
      </c>
      <c r="AF42" s="6" t="str">
        <f>IF(TRIM(AM42)="Refunded","Refunded","")</f>
        <v/>
      </c>
      <c r="AG42" s="6">
        <v>11990.37</v>
      </c>
      <c r="AH42" s="6">
        <v>2061.54</v>
      </c>
      <c r="AI42" s="6">
        <f t="shared" si="11"/>
        <v>2061.5419999999995</v>
      </c>
      <c r="AJ42" s="11">
        <f t="shared" si="12"/>
        <v>0.14670900301681361</v>
      </c>
      <c r="AK42" s="11" t="str">
        <f t="shared" si="13"/>
        <v>October</v>
      </c>
      <c r="AL42" s="12">
        <f t="shared" si="14"/>
        <v>2024</v>
      </c>
      <c r="AM42" s="6" t="s">
        <v>54</v>
      </c>
      <c r="AN42" s="6" t="s">
        <v>55</v>
      </c>
      <c r="AO42" s="6" t="str">
        <f t="shared" si="7"/>
        <v>Completed</v>
      </c>
    </row>
    <row r="43" spans="1:41">
      <c r="A43" s="6" t="s">
        <v>322</v>
      </c>
      <c r="B43" s="7" t="s">
        <v>323</v>
      </c>
      <c r="C43" s="8">
        <v>45363</v>
      </c>
      <c r="D43" s="7" t="s">
        <v>324</v>
      </c>
      <c r="E43" s="9">
        <v>45368</v>
      </c>
      <c r="F43" s="9" t="str">
        <f t="shared" si="0"/>
        <v>Valid</v>
      </c>
      <c r="G43" s="10">
        <f t="shared" si="1"/>
        <v>5</v>
      </c>
      <c r="H43" s="10" t="str">
        <f t="shared" si="2"/>
        <v>Valid</v>
      </c>
      <c r="I43" s="6" t="s">
        <v>325</v>
      </c>
      <c r="J43" s="6" t="s">
        <v>182</v>
      </c>
      <c r="K43" s="6" t="s">
        <v>182</v>
      </c>
      <c r="L43" s="6" t="s">
        <v>61</v>
      </c>
      <c r="M43" s="7" t="str">
        <f t="shared" si="3"/>
        <v>Small Business</v>
      </c>
      <c r="N43" s="6" t="s">
        <v>62</v>
      </c>
      <c r="O43" s="7" t="str">
        <f t="shared" si="4"/>
        <v>East</v>
      </c>
      <c r="P43" s="6" t="s">
        <v>63</v>
      </c>
      <c r="Q43" s="6" t="s">
        <v>64</v>
      </c>
      <c r="R43" s="6" t="s">
        <v>65</v>
      </c>
      <c r="S43" s="7" t="str">
        <f t="shared" si="5"/>
        <v>Furniture</v>
      </c>
      <c r="T43" s="6" t="s">
        <v>224</v>
      </c>
      <c r="U43" s="6" t="s">
        <v>326</v>
      </c>
      <c r="V43" s="6" t="s">
        <v>68</v>
      </c>
      <c r="W43" s="7" t="str">
        <f t="shared" si="6"/>
        <v>Same Day</v>
      </c>
      <c r="X43" s="6">
        <v>8</v>
      </c>
      <c r="Y43" s="6">
        <v>855.81</v>
      </c>
      <c r="Z43" s="6">
        <v>0</v>
      </c>
      <c r="AA43" s="6">
        <f t="shared" si="8"/>
        <v>0</v>
      </c>
      <c r="AB43" s="6" t="str">
        <f t="shared" si="9"/>
        <v>Valid</v>
      </c>
      <c r="AC43" s="6">
        <v>6846.48</v>
      </c>
      <c r="AD43" s="6" t="str">
        <f>IF(OR(AO43="Cancelled",AM43="Failed"),"Exclude from Completed Sales","Include in Completed Sales")</f>
        <v>Exclude from Completed Sales</v>
      </c>
      <c r="AE43" s="6">
        <f t="shared" si="10"/>
        <v>6846.48</v>
      </c>
      <c r="AF43" s="6" t="str">
        <f>IF(TRIM(AM43)="Refunded","Refunded","")</f>
        <v/>
      </c>
      <c r="AG43" s="6">
        <v>4239.8900000000003</v>
      </c>
      <c r="AH43" s="6">
        <v>2606.59</v>
      </c>
      <c r="AI43" s="6">
        <f t="shared" si="11"/>
        <v>2606.5899999999992</v>
      </c>
      <c r="AJ43" s="11">
        <f t="shared" si="12"/>
        <v>0.38071972750961069</v>
      </c>
      <c r="AK43" s="11" t="str">
        <f t="shared" si="13"/>
        <v>March</v>
      </c>
      <c r="AL43" s="12">
        <f t="shared" si="14"/>
        <v>2024</v>
      </c>
      <c r="AM43" s="6" t="s">
        <v>157</v>
      </c>
      <c r="AN43" s="6" t="s">
        <v>98</v>
      </c>
      <c r="AO43" s="6" t="str">
        <f t="shared" si="7"/>
        <v>Cancelled</v>
      </c>
    </row>
    <row r="44" spans="1:41">
      <c r="A44" s="6" t="s">
        <v>327</v>
      </c>
      <c r="B44" s="7" t="s">
        <v>328</v>
      </c>
      <c r="C44" s="8">
        <v>45940</v>
      </c>
      <c r="D44" s="7" t="s">
        <v>329</v>
      </c>
      <c r="E44" s="9">
        <v>45945</v>
      </c>
      <c r="F44" s="9" t="str">
        <f t="shared" si="0"/>
        <v>Valid</v>
      </c>
      <c r="G44" s="10">
        <f t="shared" si="1"/>
        <v>5</v>
      </c>
      <c r="H44" s="10" t="str">
        <f t="shared" si="2"/>
        <v>Valid</v>
      </c>
      <c r="I44" s="6" t="s">
        <v>330</v>
      </c>
      <c r="J44" s="6" t="s">
        <v>81</v>
      </c>
      <c r="K44" s="6" t="s">
        <v>81</v>
      </c>
      <c r="L44" s="6" t="s">
        <v>128</v>
      </c>
      <c r="M44" s="7" t="str">
        <f t="shared" si="3"/>
        <v>Corporate</v>
      </c>
      <c r="N44" s="6" t="s">
        <v>62</v>
      </c>
      <c r="O44" s="7" t="str">
        <f t="shared" si="4"/>
        <v>East</v>
      </c>
      <c r="P44" s="6" t="s">
        <v>331</v>
      </c>
      <c r="Q44" s="6" t="s">
        <v>332</v>
      </c>
      <c r="R44" s="6" t="s">
        <v>106</v>
      </c>
      <c r="S44" s="7" t="str">
        <f t="shared" si="5"/>
        <v>Technology</v>
      </c>
      <c r="T44" s="6" t="s">
        <v>243</v>
      </c>
      <c r="U44" s="6" t="s">
        <v>333</v>
      </c>
      <c r="V44" s="6" t="s">
        <v>87</v>
      </c>
      <c r="W44" s="7" t="str">
        <f t="shared" si="6"/>
        <v>Standard Class</v>
      </c>
      <c r="X44" s="6">
        <v>8</v>
      </c>
      <c r="Y44" s="6">
        <v>979.87</v>
      </c>
      <c r="Z44" s="6">
        <v>0.05</v>
      </c>
      <c r="AA44" s="6">
        <f t="shared" si="8"/>
        <v>0.05</v>
      </c>
      <c r="AB44" s="6" t="str">
        <f t="shared" si="9"/>
        <v>Valid</v>
      </c>
      <c r="AC44" s="6">
        <v>7447.01</v>
      </c>
      <c r="AD44" s="6" t="str">
        <f>IF(OR(AO44="Cancelled",AM44="Failed"),"Exclude from Completed Sales","Include in Completed Sales")</f>
        <v>Include in Completed Sales</v>
      </c>
      <c r="AE44" s="6">
        <f t="shared" si="10"/>
        <v>7447.0119999999997</v>
      </c>
      <c r="AF44" s="6" t="str">
        <f>IF(TRIM(AM44)="Refunded","Refunded","")</f>
        <v/>
      </c>
      <c r="AG44" s="6">
        <v>4496.22</v>
      </c>
      <c r="AH44" s="6">
        <v>2950.79</v>
      </c>
      <c r="AI44" s="6">
        <f t="shared" si="11"/>
        <v>2950.7919999999995</v>
      </c>
      <c r="AJ44" s="11">
        <f t="shared" si="12"/>
        <v>0.39623838393170302</v>
      </c>
      <c r="AK44" s="11" t="str">
        <f t="shared" si="13"/>
        <v>October</v>
      </c>
      <c r="AL44" s="12">
        <f t="shared" si="14"/>
        <v>2025</v>
      </c>
      <c r="AM44" s="6" t="s">
        <v>54</v>
      </c>
      <c r="AN44" s="6" t="s">
        <v>55</v>
      </c>
      <c r="AO44" s="6" t="str">
        <f t="shared" si="7"/>
        <v>Completed</v>
      </c>
    </row>
    <row r="45" spans="1:41">
      <c r="A45" s="6" t="s">
        <v>334</v>
      </c>
      <c r="B45" s="7" t="s">
        <v>335</v>
      </c>
      <c r="C45" s="8">
        <v>45481</v>
      </c>
      <c r="D45" s="7" t="s">
        <v>336</v>
      </c>
      <c r="E45" s="9">
        <v>45487</v>
      </c>
      <c r="F45" s="9" t="str">
        <f t="shared" si="0"/>
        <v>Valid</v>
      </c>
      <c r="G45" s="10">
        <f t="shared" si="1"/>
        <v>6</v>
      </c>
      <c r="H45" s="10" t="str">
        <f t="shared" si="2"/>
        <v>Valid</v>
      </c>
      <c r="I45" s="6" t="s">
        <v>337</v>
      </c>
      <c r="J45" s="6" t="s">
        <v>162</v>
      </c>
      <c r="K45" s="6" t="s">
        <v>162</v>
      </c>
      <c r="L45" s="6" t="s">
        <v>61</v>
      </c>
      <c r="M45" s="7" t="str">
        <f t="shared" si="3"/>
        <v>Small Business</v>
      </c>
      <c r="N45" s="6" t="s">
        <v>62</v>
      </c>
      <c r="O45" s="7" t="str">
        <f t="shared" si="4"/>
        <v>East</v>
      </c>
      <c r="P45" s="6" t="s">
        <v>63</v>
      </c>
      <c r="Q45" s="6" t="s">
        <v>64</v>
      </c>
      <c r="R45" s="6" t="s">
        <v>65</v>
      </c>
      <c r="S45" s="7" t="str">
        <f t="shared" si="5"/>
        <v>Furniture</v>
      </c>
      <c r="T45" s="6" t="s">
        <v>85</v>
      </c>
      <c r="U45" s="6" t="s">
        <v>338</v>
      </c>
      <c r="V45" s="6" t="s">
        <v>68</v>
      </c>
      <c r="W45" s="7" t="str">
        <f t="shared" si="6"/>
        <v>Same Day</v>
      </c>
      <c r="X45" s="6">
        <v>3</v>
      </c>
      <c r="Y45" s="6">
        <v>1010.23</v>
      </c>
      <c r="Z45" s="6">
        <v>0</v>
      </c>
      <c r="AA45" s="6">
        <f t="shared" si="8"/>
        <v>0</v>
      </c>
      <c r="AB45" s="6" t="str">
        <f t="shared" si="9"/>
        <v>Valid</v>
      </c>
      <c r="AC45" s="6">
        <v>3030.69</v>
      </c>
      <c r="AD45" s="6" t="str">
        <f>IF(OR(AO45="Cancelled",AM45="Failed"),"Exclude from Completed Sales","Include in Completed Sales")</f>
        <v>Include in Completed Sales</v>
      </c>
      <c r="AE45" s="6">
        <f t="shared" si="10"/>
        <v>3030.69</v>
      </c>
      <c r="AF45" s="6" t="str">
        <f>IF(TRIM(AM45)="Refunded","Refunded","")</f>
        <v/>
      </c>
      <c r="AG45" s="6">
        <v>1721.08</v>
      </c>
      <c r="AH45" s="6">
        <v>1309.6099999999999</v>
      </c>
      <c r="AI45" s="6">
        <f t="shared" si="11"/>
        <v>1309.6100000000001</v>
      </c>
      <c r="AJ45" s="11">
        <f t="shared" si="12"/>
        <v>0.43211611877163292</v>
      </c>
      <c r="AK45" s="11" t="str">
        <f t="shared" si="13"/>
        <v>July</v>
      </c>
      <c r="AL45" s="12">
        <f t="shared" si="14"/>
        <v>2024</v>
      </c>
      <c r="AM45" s="6" t="s">
        <v>54</v>
      </c>
      <c r="AN45" s="6" t="s">
        <v>55</v>
      </c>
      <c r="AO45" s="6" t="str">
        <f t="shared" si="7"/>
        <v>Completed</v>
      </c>
    </row>
    <row r="46" spans="1:41">
      <c r="A46" s="6" t="s">
        <v>339</v>
      </c>
      <c r="B46" s="7" t="s">
        <v>340</v>
      </c>
      <c r="C46" s="8">
        <v>45465</v>
      </c>
      <c r="D46" s="7" t="s">
        <v>341</v>
      </c>
      <c r="E46" s="9">
        <v>45468</v>
      </c>
      <c r="F46" s="9" t="str">
        <f t="shared" si="0"/>
        <v>Valid</v>
      </c>
      <c r="G46" s="10">
        <f t="shared" si="1"/>
        <v>3</v>
      </c>
      <c r="H46" s="10" t="str">
        <f t="shared" si="2"/>
        <v>Valid</v>
      </c>
      <c r="I46" s="6" t="s">
        <v>342</v>
      </c>
      <c r="J46" s="6" t="s">
        <v>200</v>
      </c>
      <c r="K46" s="6" t="s">
        <v>200</v>
      </c>
      <c r="L46" s="6" t="s">
        <v>61</v>
      </c>
      <c r="M46" s="7" t="str">
        <f t="shared" si="3"/>
        <v>Small Business</v>
      </c>
      <c r="N46" s="6" t="s">
        <v>47</v>
      </c>
      <c r="O46" s="7" t="str">
        <f t="shared" si="4"/>
        <v>North</v>
      </c>
      <c r="P46" s="6" t="s">
        <v>343</v>
      </c>
      <c r="Q46" s="6" t="s">
        <v>344</v>
      </c>
      <c r="R46" s="6" t="s">
        <v>65</v>
      </c>
      <c r="S46" s="7" t="str">
        <f t="shared" si="5"/>
        <v>Furniture</v>
      </c>
      <c r="T46" s="6" t="s">
        <v>96</v>
      </c>
      <c r="U46" s="6" t="s">
        <v>345</v>
      </c>
      <c r="V46" s="6" t="s">
        <v>87</v>
      </c>
      <c r="W46" s="7" t="str">
        <f t="shared" si="6"/>
        <v>Standard Class</v>
      </c>
      <c r="X46" s="6">
        <v>9</v>
      </c>
      <c r="Y46" s="6">
        <v>3329.77</v>
      </c>
      <c r="Z46" s="6">
        <v>0.1</v>
      </c>
      <c r="AA46" s="6">
        <f t="shared" si="8"/>
        <v>0.1</v>
      </c>
      <c r="AB46" s="6" t="str">
        <f t="shared" si="9"/>
        <v>Valid</v>
      </c>
      <c r="AC46" s="6">
        <v>26971.14</v>
      </c>
      <c r="AD46" s="6" t="str">
        <f>IF(OR(AO46="Cancelled",AM46="Failed"),"Exclude from Completed Sales","Include in Completed Sales")</f>
        <v>Include in Completed Sales</v>
      </c>
      <c r="AE46" s="6">
        <f t="shared" si="10"/>
        <v>26971.137000000002</v>
      </c>
      <c r="AF46" s="6" t="str">
        <f>IF(TRIM(AM46)="Refunded","Refunded","")</f>
        <v/>
      </c>
      <c r="AG46" s="6">
        <v>17376.2</v>
      </c>
      <c r="AH46" s="6">
        <v>9594.94</v>
      </c>
      <c r="AI46" s="6">
        <f t="shared" si="11"/>
        <v>9594.9370000000017</v>
      </c>
      <c r="AJ46" s="11">
        <f t="shared" si="12"/>
        <v>0.35574833200394929</v>
      </c>
      <c r="AK46" s="11" t="str">
        <f t="shared" si="13"/>
        <v>June</v>
      </c>
      <c r="AL46" s="12">
        <f t="shared" si="14"/>
        <v>2024</v>
      </c>
      <c r="AM46" s="6" t="s">
        <v>54</v>
      </c>
      <c r="AN46" s="6" t="s">
        <v>55</v>
      </c>
      <c r="AO46" s="6" t="str">
        <f t="shared" si="7"/>
        <v>Completed</v>
      </c>
    </row>
    <row r="47" spans="1:41">
      <c r="A47" s="6" t="s">
        <v>346</v>
      </c>
      <c r="B47" s="7" t="s">
        <v>347</v>
      </c>
      <c r="C47" s="8">
        <v>45309</v>
      </c>
      <c r="D47" s="7" t="s">
        <v>348</v>
      </c>
      <c r="E47" s="9">
        <v>45315</v>
      </c>
      <c r="F47" s="9" t="str">
        <f t="shared" si="0"/>
        <v>Valid</v>
      </c>
      <c r="G47" s="10">
        <f t="shared" si="1"/>
        <v>6</v>
      </c>
      <c r="H47" s="10" t="str">
        <f t="shared" si="2"/>
        <v>Valid</v>
      </c>
      <c r="I47" s="6" t="s">
        <v>349</v>
      </c>
      <c r="J47" s="6" t="s">
        <v>73</v>
      </c>
      <c r="K47" s="6" t="s">
        <v>73</v>
      </c>
      <c r="L47" s="6" t="s">
        <v>135</v>
      </c>
      <c r="M47" s="7" t="str">
        <f t="shared" si="3"/>
        <v>Home Office</v>
      </c>
      <c r="N47" s="6" t="s">
        <v>62</v>
      </c>
      <c r="O47" s="7" t="str">
        <f t="shared" si="4"/>
        <v>East</v>
      </c>
      <c r="P47" s="6" t="s">
        <v>206</v>
      </c>
      <c r="Q47" s="6" t="s">
        <v>207</v>
      </c>
      <c r="R47" s="6" t="s">
        <v>50</v>
      </c>
      <c r="S47" s="7" t="str">
        <f t="shared" si="5"/>
        <v>Office Supplies</v>
      </c>
      <c r="T47" s="6" t="s">
        <v>74</v>
      </c>
      <c r="U47" s="6" t="s">
        <v>350</v>
      </c>
      <c r="V47" s="6" t="s">
        <v>53</v>
      </c>
      <c r="W47" s="7" t="str">
        <f t="shared" si="6"/>
        <v>Second Class</v>
      </c>
      <c r="X47" s="6">
        <v>8</v>
      </c>
      <c r="Y47" s="6">
        <v>3927.82</v>
      </c>
      <c r="Z47" s="6">
        <v>0.05</v>
      </c>
      <c r="AA47" s="6">
        <f t="shared" si="8"/>
        <v>0.05</v>
      </c>
      <c r="AB47" s="6" t="str">
        <f t="shared" si="9"/>
        <v>Valid</v>
      </c>
      <c r="AC47" s="6">
        <v>29851.43</v>
      </c>
      <c r="AD47" s="6" t="str">
        <f>IF(OR(AO47="Cancelled",AM47="Failed"),"Exclude from Completed Sales","Include in Completed Sales")</f>
        <v>Include in Completed Sales</v>
      </c>
      <c r="AE47" s="6">
        <f t="shared" si="10"/>
        <v>29851.432000000001</v>
      </c>
      <c r="AF47" s="6" t="str">
        <f>IF(TRIM(AM47)="Refunded","Refunded","")</f>
        <v/>
      </c>
      <c r="AG47" s="6">
        <v>17487.48</v>
      </c>
      <c r="AH47" s="6">
        <v>12363.95</v>
      </c>
      <c r="AI47" s="6">
        <f t="shared" si="11"/>
        <v>12363.952000000001</v>
      </c>
      <c r="AJ47" s="11">
        <f t="shared" si="12"/>
        <v>0.41418287739094062</v>
      </c>
      <c r="AK47" s="11" t="str">
        <f t="shared" si="13"/>
        <v>January</v>
      </c>
      <c r="AL47" s="12">
        <f t="shared" si="14"/>
        <v>2024</v>
      </c>
      <c r="AM47" s="6" t="s">
        <v>157</v>
      </c>
      <c r="AN47" s="6" t="s">
        <v>145</v>
      </c>
      <c r="AO47" s="6" t="str">
        <f t="shared" si="7"/>
        <v>Returned</v>
      </c>
    </row>
    <row r="48" spans="1:41">
      <c r="A48" s="6" t="s">
        <v>351</v>
      </c>
      <c r="B48" s="7" t="s">
        <v>352</v>
      </c>
      <c r="C48" s="8">
        <v>45492</v>
      </c>
      <c r="D48" s="7" t="s">
        <v>352</v>
      </c>
      <c r="E48" s="9">
        <v>45492</v>
      </c>
      <c r="F48" s="9" t="str">
        <f t="shared" si="0"/>
        <v>Valid</v>
      </c>
      <c r="G48" s="10">
        <f t="shared" si="1"/>
        <v>0</v>
      </c>
      <c r="H48" s="10" t="str">
        <f t="shared" si="2"/>
        <v>Valid</v>
      </c>
      <c r="I48" s="6" t="s">
        <v>353</v>
      </c>
      <c r="J48" s="6" t="s">
        <v>92</v>
      </c>
      <c r="K48" s="6" t="s">
        <v>92</v>
      </c>
      <c r="L48" s="6" t="s">
        <v>61</v>
      </c>
      <c r="M48" s="7" t="str">
        <f t="shared" si="3"/>
        <v>Small Business</v>
      </c>
      <c r="N48" s="6" t="s">
        <v>82</v>
      </c>
      <c r="O48" s="7" t="str">
        <f t="shared" si="4"/>
        <v>South</v>
      </c>
      <c r="P48" s="6" t="s">
        <v>262</v>
      </c>
      <c r="Q48" s="6" t="s">
        <v>263</v>
      </c>
      <c r="R48" s="6" t="s">
        <v>65</v>
      </c>
      <c r="S48" s="7" t="str">
        <f t="shared" si="5"/>
        <v>Furniture</v>
      </c>
      <c r="T48" s="6" t="s">
        <v>224</v>
      </c>
      <c r="U48" s="6" t="s">
        <v>354</v>
      </c>
      <c r="V48" s="6" t="s">
        <v>87</v>
      </c>
      <c r="W48" s="7" t="str">
        <f t="shared" si="6"/>
        <v>Standard Class</v>
      </c>
      <c r="X48" s="6">
        <v>9</v>
      </c>
      <c r="Y48" s="6">
        <v>2386.79</v>
      </c>
      <c r="Z48" s="6">
        <v>0.25</v>
      </c>
      <c r="AA48" s="6">
        <f t="shared" si="8"/>
        <v>0.25</v>
      </c>
      <c r="AB48" s="6" t="str">
        <f t="shared" si="9"/>
        <v>Valid</v>
      </c>
      <c r="AC48" s="6">
        <v>16110.83</v>
      </c>
      <c r="AD48" s="6" t="str">
        <f>IF(OR(AO48="Cancelled",AM48="Failed"),"Exclude from Completed Sales","Include in Completed Sales")</f>
        <v>Include in Completed Sales</v>
      </c>
      <c r="AE48" s="6">
        <f t="shared" si="10"/>
        <v>16110.8325</v>
      </c>
      <c r="AF48" s="6" t="str">
        <f>IF(TRIM(AM48)="Refunded","Refunded","")</f>
        <v>Refunded</v>
      </c>
      <c r="AG48" s="6">
        <v>10680.03</v>
      </c>
      <c r="AH48" s="6">
        <v>5430.8</v>
      </c>
      <c r="AI48" s="6">
        <f t="shared" si="11"/>
        <v>5430.8024999999998</v>
      </c>
      <c r="AJ48" s="11">
        <f t="shared" si="12"/>
        <v>0.33709012243780695</v>
      </c>
      <c r="AK48" s="11" t="str">
        <f t="shared" si="13"/>
        <v>July</v>
      </c>
      <c r="AL48" s="12">
        <f t="shared" si="14"/>
        <v>2024</v>
      </c>
      <c r="AM48" s="6" t="s">
        <v>144</v>
      </c>
      <c r="AN48" s="6" t="s">
        <v>145</v>
      </c>
      <c r="AO48" s="6" t="str">
        <f t="shared" si="7"/>
        <v>Returned</v>
      </c>
    </row>
    <row r="49" spans="1:41">
      <c r="A49" s="6" t="s">
        <v>355</v>
      </c>
      <c r="B49" s="7" t="s">
        <v>356</v>
      </c>
      <c r="C49" s="8">
        <v>45516</v>
      </c>
      <c r="D49" s="7" t="s">
        <v>357</v>
      </c>
      <c r="E49" s="9">
        <v>45516</v>
      </c>
      <c r="F49" s="9" t="str">
        <f t="shared" si="0"/>
        <v>Valid</v>
      </c>
      <c r="G49" s="10">
        <f t="shared" si="1"/>
        <v>0</v>
      </c>
      <c r="H49" s="10" t="str">
        <f t="shared" si="2"/>
        <v>Valid</v>
      </c>
      <c r="I49" s="6" t="s">
        <v>358</v>
      </c>
      <c r="J49" s="6" t="s">
        <v>168</v>
      </c>
      <c r="K49" s="6" t="s">
        <v>168</v>
      </c>
      <c r="L49" s="6" t="s">
        <v>128</v>
      </c>
      <c r="M49" s="7" t="str">
        <f t="shared" si="3"/>
        <v>Corporate</v>
      </c>
      <c r="N49" s="6" t="s">
        <v>82</v>
      </c>
      <c r="O49" s="7" t="str">
        <f t="shared" si="4"/>
        <v>South</v>
      </c>
      <c r="P49" s="6" t="s">
        <v>359</v>
      </c>
      <c r="Q49" s="6" t="s">
        <v>360</v>
      </c>
      <c r="R49" s="6" t="s">
        <v>50</v>
      </c>
      <c r="S49" s="7" t="str">
        <f t="shared" si="5"/>
        <v>Office Supplies</v>
      </c>
      <c r="T49" s="6" t="s">
        <v>176</v>
      </c>
      <c r="U49" s="6" t="s">
        <v>361</v>
      </c>
      <c r="V49" s="6" t="s">
        <v>87</v>
      </c>
      <c r="W49" s="7" t="str">
        <f t="shared" si="6"/>
        <v>Standard Class</v>
      </c>
      <c r="X49" s="6">
        <v>8</v>
      </c>
      <c r="Y49" s="6">
        <v>2445.31</v>
      </c>
      <c r="Z49" s="6">
        <v>0.1</v>
      </c>
      <c r="AA49" s="6">
        <f t="shared" si="8"/>
        <v>0.1</v>
      </c>
      <c r="AB49" s="6" t="str">
        <f t="shared" si="9"/>
        <v>Valid</v>
      </c>
      <c r="AC49" s="6">
        <v>17606.23</v>
      </c>
      <c r="AD49" s="6" t="str">
        <f>IF(OR(AO49="Cancelled",AM49="Failed"),"Exclude from Completed Sales","Include in Completed Sales")</f>
        <v>Include in Completed Sales</v>
      </c>
      <c r="AE49" s="6">
        <f t="shared" si="10"/>
        <v>17606.232</v>
      </c>
      <c r="AF49" s="6" t="str">
        <f>IF(TRIM(AM49)="Refunded","Refunded","")</f>
        <v/>
      </c>
      <c r="AG49" s="6">
        <v>12438.96</v>
      </c>
      <c r="AH49" s="6">
        <v>5167.2700000000004</v>
      </c>
      <c r="AI49" s="6">
        <f t="shared" si="11"/>
        <v>5167.2720000000008</v>
      </c>
      <c r="AJ49" s="11">
        <f t="shared" si="12"/>
        <v>0.29349107747756592</v>
      </c>
      <c r="AK49" s="11" t="str">
        <f t="shared" si="13"/>
        <v>August</v>
      </c>
      <c r="AL49" s="12">
        <f t="shared" si="14"/>
        <v>2024</v>
      </c>
      <c r="AM49" s="6" t="s">
        <v>54</v>
      </c>
      <c r="AN49" s="6" t="s">
        <v>55</v>
      </c>
      <c r="AO49" s="6" t="str">
        <f t="shared" si="7"/>
        <v>Completed</v>
      </c>
    </row>
    <row r="50" spans="1:41">
      <c r="A50" s="6" t="s">
        <v>362</v>
      </c>
      <c r="B50" s="7" t="s">
        <v>363</v>
      </c>
      <c r="C50" s="8">
        <v>45687</v>
      </c>
      <c r="D50" s="7" t="s">
        <v>364</v>
      </c>
      <c r="E50" s="9">
        <v>45693</v>
      </c>
      <c r="F50" s="9" t="str">
        <f t="shared" si="0"/>
        <v>Valid</v>
      </c>
      <c r="G50" s="10">
        <f t="shared" si="1"/>
        <v>6</v>
      </c>
      <c r="H50" s="10" t="str">
        <f t="shared" si="2"/>
        <v>Valid</v>
      </c>
      <c r="I50" s="6" t="s">
        <v>365</v>
      </c>
      <c r="J50" s="6" t="s">
        <v>113</v>
      </c>
      <c r="K50" s="6" t="s">
        <v>113</v>
      </c>
      <c r="L50" s="6" t="s">
        <v>128</v>
      </c>
      <c r="M50" s="7" t="str">
        <f t="shared" si="3"/>
        <v>Corporate</v>
      </c>
      <c r="N50" s="6" t="s">
        <v>93</v>
      </c>
      <c r="O50" s="7" t="str">
        <f t="shared" si="4"/>
        <v>West</v>
      </c>
      <c r="P50" s="6" t="s">
        <v>94</v>
      </c>
      <c r="Q50" s="6" t="s">
        <v>95</v>
      </c>
      <c r="R50" s="6" t="s">
        <v>65</v>
      </c>
      <c r="S50" s="7" t="str">
        <f t="shared" si="5"/>
        <v>Furniture</v>
      </c>
      <c r="T50" s="6" t="s">
        <v>96</v>
      </c>
      <c r="U50" s="6" t="s">
        <v>366</v>
      </c>
      <c r="V50" s="6" t="s">
        <v>53</v>
      </c>
      <c r="W50" s="7" t="str">
        <f t="shared" si="6"/>
        <v>Second Class</v>
      </c>
      <c r="X50" s="6">
        <v>7</v>
      </c>
      <c r="Y50" s="6">
        <v>4063.66</v>
      </c>
      <c r="Z50" s="6">
        <v>0</v>
      </c>
      <c r="AA50" s="6">
        <f t="shared" si="8"/>
        <v>0</v>
      </c>
      <c r="AB50" s="6" t="str">
        <f t="shared" si="9"/>
        <v>Valid</v>
      </c>
      <c r="AC50" s="6">
        <v>28445.62</v>
      </c>
      <c r="AD50" s="6" t="str">
        <f>IF(OR(AO50="Cancelled",AM50="Failed"),"Exclude from Completed Sales","Include in Completed Sales")</f>
        <v>Include in Completed Sales</v>
      </c>
      <c r="AE50" s="6">
        <f t="shared" si="10"/>
        <v>28445.62</v>
      </c>
      <c r="AF50" s="6" t="str">
        <f>IF(TRIM(AM50)="Refunded","Refunded","")</f>
        <v/>
      </c>
      <c r="AG50" s="6">
        <v>20938.59</v>
      </c>
      <c r="AH50" s="6">
        <v>7507.03</v>
      </c>
      <c r="AI50" s="6">
        <f t="shared" si="11"/>
        <v>7507.0299999999988</v>
      </c>
      <c r="AJ50" s="11">
        <f t="shared" si="12"/>
        <v>0.26390811660986818</v>
      </c>
      <c r="AK50" s="11" t="str">
        <f t="shared" si="13"/>
        <v>January</v>
      </c>
      <c r="AL50" s="12">
        <f t="shared" si="14"/>
        <v>2025</v>
      </c>
      <c r="AM50" s="6" t="s">
        <v>54</v>
      </c>
      <c r="AN50" s="6" t="s">
        <v>55</v>
      </c>
      <c r="AO50" s="6" t="str">
        <f t="shared" si="7"/>
        <v>Completed</v>
      </c>
    </row>
    <row r="51" spans="1:41">
      <c r="A51" s="6" t="s">
        <v>367</v>
      </c>
      <c r="B51" s="7" t="s">
        <v>368</v>
      </c>
      <c r="C51" s="8">
        <v>45388</v>
      </c>
      <c r="D51" s="7" t="s">
        <v>369</v>
      </c>
      <c r="E51" s="9">
        <v>45395</v>
      </c>
      <c r="F51" s="9" t="str">
        <f t="shared" si="0"/>
        <v>Valid</v>
      </c>
      <c r="G51" s="10">
        <f t="shared" si="1"/>
        <v>7</v>
      </c>
      <c r="H51" s="10" t="str">
        <f t="shared" si="2"/>
        <v>Valid</v>
      </c>
      <c r="I51" s="6" t="s">
        <v>370</v>
      </c>
      <c r="J51" s="6" t="s">
        <v>182</v>
      </c>
      <c r="K51" s="6" t="s">
        <v>182</v>
      </c>
      <c r="L51" s="6" t="s">
        <v>135</v>
      </c>
      <c r="M51" s="7" t="str">
        <f t="shared" si="3"/>
        <v>Home Office</v>
      </c>
      <c r="N51" s="6" t="s">
        <v>47</v>
      </c>
      <c r="O51" s="7" t="str">
        <f t="shared" si="4"/>
        <v>North</v>
      </c>
      <c r="P51" s="6" t="s">
        <v>194</v>
      </c>
      <c r="Q51" s="6" t="s">
        <v>195</v>
      </c>
      <c r="R51" s="6" t="s">
        <v>106</v>
      </c>
      <c r="S51" s="7" t="str">
        <f t="shared" si="5"/>
        <v>Technology</v>
      </c>
      <c r="T51" s="6" t="s">
        <v>114</v>
      </c>
      <c r="U51" s="6" t="s">
        <v>371</v>
      </c>
      <c r="V51" s="6" t="s">
        <v>53</v>
      </c>
      <c r="W51" s="7" t="str">
        <f t="shared" si="6"/>
        <v>Second Class</v>
      </c>
      <c r="X51" s="6">
        <v>9</v>
      </c>
      <c r="Y51" s="6">
        <v>792.11</v>
      </c>
      <c r="Z51" s="6">
        <v>0.05</v>
      </c>
      <c r="AA51" s="6">
        <f t="shared" si="8"/>
        <v>0.05</v>
      </c>
      <c r="AB51" s="6" t="str">
        <f t="shared" si="9"/>
        <v>Valid</v>
      </c>
      <c r="AC51" s="6">
        <v>6772.54</v>
      </c>
      <c r="AD51" s="6" t="str">
        <f>IF(OR(AO51="Cancelled",AM51="Failed"),"Exclude from Completed Sales","Include in Completed Sales")</f>
        <v>Include in Completed Sales</v>
      </c>
      <c r="AE51" s="6">
        <f t="shared" si="10"/>
        <v>6772.5404999999992</v>
      </c>
      <c r="AF51" s="6" t="str">
        <f>IF(TRIM(AM51)="Refunded","Refunded","")</f>
        <v/>
      </c>
      <c r="AG51" s="6">
        <v>5755.46</v>
      </c>
      <c r="AH51" s="6">
        <v>1017.08</v>
      </c>
      <c r="AI51" s="6">
        <f t="shared" si="11"/>
        <v>1017.0804999999991</v>
      </c>
      <c r="AJ51" s="11">
        <f t="shared" si="12"/>
        <v>0.15017710119267641</v>
      </c>
      <c r="AK51" s="11" t="str">
        <f t="shared" si="13"/>
        <v>April</v>
      </c>
      <c r="AL51" s="12">
        <f t="shared" si="14"/>
        <v>2024</v>
      </c>
      <c r="AM51" s="6" t="s">
        <v>54</v>
      </c>
      <c r="AN51" s="6" t="s">
        <v>55</v>
      </c>
      <c r="AO51" s="6" t="str">
        <f t="shared" si="7"/>
        <v>Completed</v>
      </c>
    </row>
    <row r="52" spans="1:41">
      <c r="A52" s="6" t="s">
        <v>372</v>
      </c>
      <c r="B52" s="7" t="s">
        <v>373</v>
      </c>
      <c r="C52" s="8">
        <v>45788</v>
      </c>
      <c r="D52" s="7" t="s">
        <v>374</v>
      </c>
      <c r="E52" s="9">
        <v>45796</v>
      </c>
      <c r="F52" s="9" t="str">
        <f t="shared" si="0"/>
        <v>Valid</v>
      </c>
      <c r="G52" s="10">
        <f t="shared" si="1"/>
        <v>8</v>
      </c>
      <c r="H52" s="10" t="str">
        <f t="shared" si="2"/>
        <v>Valid</v>
      </c>
      <c r="I52" s="6" t="s">
        <v>375</v>
      </c>
      <c r="J52" s="6" t="s">
        <v>188</v>
      </c>
      <c r="K52" s="6" t="s">
        <v>188</v>
      </c>
      <c r="L52" s="6" t="s">
        <v>46</v>
      </c>
      <c r="M52" s="7" t="str">
        <f t="shared" si="3"/>
        <v>Consumer</v>
      </c>
      <c r="N52" s="6" t="s">
        <v>62</v>
      </c>
      <c r="O52" s="7" t="str">
        <f t="shared" si="4"/>
        <v>East</v>
      </c>
      <c r="P52" s="6" t="s">
        <v>141</v>
      </c>
      <c r="Q52" s="6" t="s">
        <v>142</v>
      </c>
      <c r="R52" s="6" t="s">
        <v>106</v>
      </c>
      <c r="S52" s="7" t="str">
        <f t="shared" si="5"/>
        <v>Technology</v>
      </c>
      <c r="T52" s="6" t="s">
        <v>114</v>
      </c>
      <c r="U52" s="6" t="s">
        <v>376</v>
      </c>
      <c r="V52" s="6" t="s">
        <v>87</v>
      </c>
      <c r="W52" s="7" t="str">
        <f t="shared" si="6"/>
        <v>Standard Class</v>
      </c>
      <c r="X52" s="6">
        <v>1</v>
      </c>
      <c r="Y52" s="6">
        <v>2382.8000000000002</v>
      </c>
      <c r="Z52" s="6">
        <v>0.15</v>
      </c>
      <c r="AA52" s="6">
        <f t="shared" si="8"/>
        <v>0.15</v>
      </c>
      <c r="AB52" s="6" t="str">
        <f t="shared" si="9"/>
        <v>Valid</v>
      </c>
      <c r="AC52" s="6">
        <v>2025.38</v>
      </c>
      <c r="AD52" s="6" t="str">
        <f>IF(OR(AO52="Cancelled",AM52="Failed"),"Exclude from Completed Sales","Include in Completed Sales")</f>
        <v>Include in Completed Sales</v>
      </c>
      <c r="AE52" s="6">
        <f t="shared" si="10"/>
        <v>2025.38</v>
      </c>
      <c r="AF52" s="6" t="str">
        <f>IF(TRIM(AM52)="Refunded","Refunded","")</f>
        <v/>
      </c>
      <c r="AG52" s="6">
        <v>1140.6500000000001</v>
      </c>
      <c r="AH52" s="6">
        <v>884.73</v>
      </c>
      <c r="AI52" s="6">
        <f t="shared" si="11"/>
        <v>884.73</v>
      </c>
      <c r="AJ52" s="11">
        <f t="shared" si="12"/>
        <v>0.43682173221815163</v>
      </c>
      <c r="AK52" s="11" t="str">
        <f t="shared" si="13"/>
        <v>May</v>
      </c>
      <c r="AL52" s="12">
        <f t="shared" si="14"/>
        <v>2025</v>
      </c>
      <c r="AM52" s="6" t="s">
        <v>54</v>
      </c>
      <c r="AN52" s="6" t="s">
        <v>55</v>
      </c>
      <c r="AO52" s="6" t="str">
        <f t="shared" si="7"/>
        <v>Completed</v>
      </c>
    </row>
    <row r="53" spans="1:41">
      <c r="A53" s="6" t="s">
        <v>377</v>
      </c>
      <c r="B53" s="7" t="s">
        <v>378</v>
      </c>
      <c r="C53" s="8">
        <v>45406</v>
      </c>
      <c r="D53" s="7" t="s">
        <v>379</v>
      </c>
      <c r="E53" s="9">
        <v>45411</v>
      </c>
      <c r="F53" s="9" t="str">
        <f t="shared" si="0"/>
        <v>Valid</v>
      </c>
      <c r="G53" s="10">
        <f t="shared" si="1"/>
        <v>5</v>
      </c>
      <c r="H53" s="10" t="str">
        <f t="shared" si="2"/>
        <v>Valid</v>
      </c>
      <c r="I53" s="6" t="s">
        <v>380</v>
      </c>
      <c r="J53" s="6" t="s">
        <v>92</v>
      </c>
      <c r="K53" s="6" t="s">
        <v>92</v>
      </c>
      <c r="L53" s="6" t="s">
        <v>128</v>
      </c>
      <c r="M53" s="7" t="str">
        <f t="shared" si="3"/>
        <v>Corporate</v>
      </c>
      <c r="N53" s="6" t="s">
        <v>82</v>
      </c>
      <c r="O53" s="7" t="str">
        <f t="shared" si="4"/>
        <v>South</v>
      </c>
      <c r="P53" s="6" t="s">
        <v>83</v>
      </c>
      <c r="Q53" s="6" t="s">
        <v>84</v>
      </c>
      <c r="R53" s="6" t="s">
        <v>50</v>
      </c>
      <c r="S53" s="7" t="str">
        <f t="shared" si="5"/>
        <v>Office Supplies</v>
      </c>
      <c r="T53" s="6" t="s">
        <v>74</v>
      </c>
      <c r="U53" s="6" t="s">
        <v>381</v>
      </c>
      <c r="V53" s="6" t="s">
        <v>87</v>
      </c>
      <c r="W53" s="7" t="str">
        <f t="shared" si="6"/>
        <v>Standard Class</v>
      </c>
      <c r="X53" s="6">
        <v>6</v>
      </c>
      <c r="Y53" s="6">
        <v>1528.08</v>
      </c>
      <c r="Z53" s="6">
        <v>0</v>
      </c>
      <c r="AA53" s="6">
        <f t="shared" si="8"/>
        <v>0</v>
      </c>
      <c r="AB53" s="6" t="str">
        <f t="shared" si="9"/>
        <v>Valid</v>
      </c>
      <c r="AC53" s="6">
        <v>9168.48</v>
      </c>
      <c r="AD53" s="6" t="str">
        <f>IF(OR(AO53="Cancelled",AM53="Failed"),"Exclude from Completed Sales","Include in Completed Sales")</f>
        <v>Include in Completed Sales</v>
      </c>
      <c r="AE53" s="6">
        <f t="shared" si="10"/>
        <v>9168.48</v>
      </c>
      <c r="AF53" s="6" t="str">
        <f>IF(TRIM(AM53)="Refunded","Refunded","")</f>
        <v/>
      </c>
      <c r="AG53" s="6">
        <v>7439.77</v>
      </c>
      <c r="AH53" s="6">
        <v>1728.71</v>
      </c>
      <c r="AI53" s="6">
        <f t="shared" si="11"/>
        <v>1728.7099999999991</v>
      </c>
      <c r="AJ53" s="11">
        <f t="shared" si="12"/>
        <v>0.18854924698532355</v>
      </c>
      <c r="AK53" s="11" t="str">
        <f t="shared" si="13"/>
        <v>April</v>
      </c>
      <c r="AL53" s="12">
        <f t="shared" si="14"/>
        <v>2024</v>
      </c>
      <c r="AM53" s="6" t="s">
        <v>54</v>
      </c>
      <c r="AN53" s="6" t="s">
        <v>55</v>
      </c>
      <c r="AO53" s="6" t="str">
        <f t="shared" si="7"/>
        <v>Completed</v>
      </c>
    </row>
    <row r="54" spans="1:41">
      <c r="A54" s="6" t="s">
        <v>382</v>
      </c>
      <c r="B54" s="7" t="s">
        <v>383</v>
      </c>
      <c r="C54" s="8">
        <v>45591</v>
      </c>
      <c r="D54" s="7" t="s">
        <v>384</v>
      </c>
      <c r="E54" s="9">
        <v>45593</v>
      </c>
      <c r="F54" s="9" t="str">
        <f t="shared" si="0"/>
        <v>Valid</v>
      </c>
      <c r="G54" s="10">
        <f t="shared" si="1"/>
        <v>2</v>
      </c>
      <c r="H54" s="10" t="str">
        <f t="shared" si="2"/>
        <v>Valid</v>
      </c>
      <c r="I54" s="6" t="s">
        <v>385</v>
      </c>
      <c r="J54" s="6" t="s">
        <v>386</v>
      </c>
      <c r="K54" s="6" t="s">
        <v>386</v>
      </c>
      <c r="L54" s="6" t="s">
        <v>61</v>
      </c>
      <c r="M54" s="7" t="str">
        <f t="shared" si="3"/>
        <v>Small Business</v>
      </c>
      <c r="N54" s="6" t="s">
        <v>47</v>
      </c>
      <c r="O54" s="7" t="str">
        <f t="shared" si="4"/>
        <v>North</v>
      </c>
      <c r="P54" s="6" t="s">
        <v>48</v>
      </c>
      <c r="Q54" s="6" t="s">
        <v>49</v>
      </c>
      <c r="R54" s="6" t="s">
        <v>65</v>
      </c>
      <c r="S54" s="7" t="str">
        <f t="shared" si="5"/>
        <v>Furniture</v>
      </c>
      <c r="T54" s="6" t="s">
        <v>96</v>
      </c>
      <c r="U54" s="6" t="s">
        <v>387</v>
      </c>
      <c r="V54" s="6" t="s">
        <v>76</v>
      </c>
      <c r="W54" s="7" t="str">
        <f t="shared" si="6"/>
        <v>First Class</v>
      </c>
      <c r="X54" s="6">
        <v>9</v>
      </c>
      <c r="Y54" s="6">
        <v>1399.63</v>
      </c>
      <c r="Z54" s="6">
        <v>0</v>
      </c>
      <c r="AA54" s="6">
        <f t="shared" si="8"/>
        <v>0</v>
      </c>
      <c r="AB54" s="6" t="str">
        <f t="shared" si="9"/>
        <v>Valid</v>
      </c>
      <c r="AC54" s="6">
        <v>12596.67</v>
      </c>
      <c r="AD54" s="6" t="str">
        <f>IF(OR(AO54="Cancelled",AM54="Failed"),"Exclude from Completed Sales","Include in Completed Sales")</f>
        <v>Exclude from Completed Sales</v>
      </c>
      <c r="AE54" s="6">
        <f t="shared" si="10"/>
        <v>12596.670000000002</v>
      </c>
      <c r="AF54" s="6" t="str">
        <f>IF(TRIM(AM54)="Refunded","Refunded","")</f>
        <v/>
      </c>
      <c r="AG54" s="6">
        <v>10603.29</v>
      </c>
      <c r="AH54" s="6">
        <v>1993.38</v>
      </c>
      <c r="AI54" s="6">
        <f t="shared" si="11"/>
        <v>1993.380000000001</v>
      </c>
      <c r="AJ54" s="11">
        <f t="shared" si="12"/>
        <v>0.15824658421630483</v>
      </c>
      <c r="AK54" s="11" t="str">
        <f t="shared" si="13"/>
        <v>October</v>
      </c>
      <c r="AL54" s="12">
        <f t="shared" si="14"/>
        <v>2024</v>
      </c>
      <c r="AM54" s="6" t="s">
        <v>220</v>
      </c>
      <c r="AN54" s="6" t="s">
        <v>98</v>
      </c>
      <c r="AO54" s="6" t="str">
        <f t="shared" si="7"/>
        <v>Cancelled</v>
      </c>
    </row>
    <row r="55" spans="1:41">
      <c r="A55" s="6" t="s">
        <v>388</v>
      </c>
      <c r="B55" s="7" t="s">
        <v>389</v>
      </c>
      <c r="C55" s="8">
        <v>45747</v>
      </c>
      <c r="D55" s="7" t="s">
        <v>390</v>
      </c>
      <c r="E55" s="9">
        <v>45747</v>
      </c>
      <c r="F55" s="9" t="str">
        <f t="shared" si="0"/>
        <v>Valid</v>
      </c>
      <c r="G55" s="10">
        <f t="shared" si="1"/>
        <v>0</v>
      </c>
      <c r="H55" s="10" t="str">
        <f t="shared" si="2"/>
        <v>Valid</v>
      </c>
      <c r="I55" s="6" t="s">
        <v>391</v>
      </c>
      <c r="J55" s="6" t="s">
        <v>386</v>
      </c>
      <c r="K55" s="6" t="s">
        <v>386</v>
      </c>
      <c r="L55" s="6" t="s">
        <v>135</v>
      </c>
      <c r="M55" s="7" t="str">
        <f t="shared" si="3"/>
        <v>Home Office</v>
      </c>
      <c r="N55" s="6" t="s">
        <v>93</v>
      </c>
      <c r="O55" s="7" t="str">
        <f t="shared" si="4"/>
        <v>West</v>
      </c>
      <c r="P55" s="6" t="s">
        <v>255</v>
      </c>
      <c r="Q55" s="6" t="s">
        <v>256</v>
      </c>
      <c r="R55" s="6" t="s">
        <v>50</v>
      </c>
      <c r="S55" s="7" t="str">
        <f t="shared" si="5"/>
        <v>Office Supplies</v>
      </c>
      <c r="T55" s="6" t="s">
        <v>176</v>
      </c>
      <c r="U55" s="6" t="s">
        <v>392</v>
      </c>
      <c r="V55" s="6" t="s">
        <v>76</v>
      </c>
      <c r="W55" s="7" t="str">
        <f t="shared" si="6"/>
        <v>First Class</v>
      </c>
      <c r="X55" s="6">
        <v>5</v>
      </c>
      <c r="Y55" s="6">
        <v>1207.47</v>
      </c>
      <c r="Z55" s="6">
        <v>0.15</v>
      </c>
      <c r="AA55" s="6">
        <f t="shared" si="8"/>
        <v>0.15</v>
      </c>
      <c r="AB55" s="6" t="str">
        <f t="shared" si="9"/>
        <v>Valid</v>
      </c>
      <c r="AC55" s="6">
        <v>5131.75</v>
      </c>
      <c r="AD55" s="6" t="str">
        <f>IF(OR(AO55="Cancelled",AM55="Failed"),"Exclude from Completed Sales","Include in Completed Sales")</f>
        <v>Include in Completed Sales</v>
      </c>
      <c r="AE55" s="6">
        <f t="shared" si="10"/>
        <v>5131.7475000000004</v>
      </c>
      <c r="AF55" s="6" t="str">
        <f>IF(TRIM(AM55)="Refunded","Refunded","")</f>
        <v/>
      </c>
      <c r="AG55" s="6">
        <v>2838.68</v>
      </c>
      <c r="AH55" s="6">
        <v>2293.0700000000002</v>
      </c>
      <c r="AI55" s="6">
        <f t="shared" si="11"/>
        <v>2293.0675000000006</v>
      </c>
      <c r="AJ55" s="11">
        <f t="shared" si="12"/>
        <v>0.44683950252813498</v>
      </c>
      <c r="AK55" s="11" t="str">
        <f t="shared" si="13"/>
        <v>March</v>
      </c>
      <c r="AL55" s="12">
        <f t="shared" si="14"/>
        <v>2025</v>
      </c>
      <c r="AM55" s="6" t="s">
        <v>54</v>
      </c>
      <c r="AN55" s="6" t="s">
        <v>55</v>
      </c>
      <c r="AO55" s="6" t="str">
        <f t="shared" si="7"/>
        <v>Completed</v>
      </c>
    </row>
    <row r="56" spans="1:41">
      <c r="A56" s="6" t="s">
        <v>393</v>
      </c>
      <c r="B56" s="7" t="s">
        <v>394</v>
      </c>
      <c r="C56" s="8">
        <v>45807</v>
      </c>
      <c r="D56" s="7" t="s">
        <v>395</v>
      </c>
      <c r="E56" s="9">
        <v>45810</v>
      </c>
      <c r="F56" s="9" t="str">
        <f t="shared" si="0"/>
        <v>Valid</v>
      </c>
      <c r="G56" s="10">
        <f t="shared" si="1"/>
        <v>3</v>
      </c>
      <c r="H56" s="10" t="str">
        <f t="shared" si="2"/>
        <v>Valid</v>
      </c>
      <c r="I56" s="6" t="s">
        <v>396</v>
      </c>
      <c r="J56" s="6" t="s">
        <v>81</v>
      </c>
      <c r="K56" s="6" t="s">
        <v>81</v>
      </c>
      <c r="L56" s="6" t="s">
        <v>128</v>
      </c>
      <c r="M56" s="7" t="str">
        <f t="shared" si="3"/>
        <v>Corporate</v>
      </c>
      <c r="N56" s="6" t="s">
        <v>82</v>
      </c>
      <c r="O56" s="7" t="str">
        <f t="shared" si="4"/>
        <v>South</v>
      </c>
      <c r="P56" s="6" t="s">
        <v>359</v>
      </c>
      <c r="Q56" s="6" t="s">
        <v>360</v>
      </c>
      <c r="R56" s="6" t="s">
        <v>50</v>
      </c>
      <c r="S56" s="7" t="str">
        <f t="shared" si="5"/>
        <v>Office Supplies</v>
      </c>
      <c r="T56" s="6" t="s">
        <v>129</v>
      </c>
      <c r="U56" s="6" t="s">
        <v>397</v>
      </c>
      <c r="V56" s="6" t="s">
        <v>68</v>
      </c>
      <c r="W56" s="7" t="str">
        <f t="shared" si="6"/>
        <v>Same Day</v>
      </c>
      <c r="X56" s="6">
        <v>8</v>
      </c>
      <c r="Y56" s="6">
        <v>474.37</v>
      </c>
      <c r="Z56" s="6">
        <v>0.1</v>
      </c>
      <c r="AA56" s="6">
        <f t="shared" si="8"/>
        <v>0.1</v>
      </c>
      <c r="AB56" s="6" t="str">
        <f t="shared" si="9"/>
        <v>Valid</v>
      </c>
      <c r="AC56" s="6">
        <v>3415.46</v>
      </c>
      <c r="AD56" s="6" t="str">
        <f>IF(OR(AO56="Cancelled",AM56="Failed"),"Exclude from Completed Sales","Include in Completed Sales")</f>
        <v>Exclude from Completed Sales</v>
      </c>
      <c r="AE56" s="6">
        <f t="shared" si="10"/>
        <v>3415.4639999999999</v>
      </c>
      <c r="AF56" s="6" t="str">
        <f>IF(TRIM(AM56)="Refunded","Refunded","")</f>
        <v/>
      </c>
      <c r="AG56" s="6">
        <v>1993.23</v>
      </c>
      <c r="AH56" s="6">
        <v>1422.23</v>
      </c>
      <c r="AI56" s="6">
        <f t="shared" si="11"/>
        <v>1422.2339999999999</v>
      </c>
      <c r="AJ56" s="11">
        <f t="shared" si="12"/>
        <v>0.4164101861416194</v>
      </c>
      <c r="AK56" s="11" t="str">
        <f t="shared" si="13"/>
        <v>May</v>
      </c>
      <c r="AL56" s="12">
        <f t="shared" si="14"/>
        <v>2025</v>
      </c>
      <c r="AM56" s="6" t="s">
        <v>220</v>
      </c>
      <c r="AN56" s="6" t="s">
        <v>98</v>
      </c>
      <c r="AO56" s="6" t="str">
        <f t="shared" si="7"/>
        <v>Cancelled</v>
      </c>
    </row>
    <row r="57" spans="1:41">
      <c r="A57" s="6" t="s">
        <v>398</v>
      </c>
      <c r="B57" s="7" t="s">
        <v>399</v>
      </c>
      <c r="C57" s="8">
        <v>45839</v>
      </c>
      <c r="D57" s="7" t="s">
        <v>400</v>
      </c>
      <c r="E57" s="9">
        <v>45841</v>
      </c>
      <c r="F57" s="9" t="str">
        <f t="shared" si="0"/>
        <v>Valid</v>
      </c>
      <c r="G57" s="10">
        <f t="shared" si="1"/>
        <v>2</v>
      </c>
      <c r="H57" s="10" t="str">
        <f t="shared" si="2"/>
        <v>Valid</v>
      </c>
      <c r="I57" s="6" t="s">
        <v>401</v>
      </c>
      <c r="J57" s="6" t="s">
        <v>60</v>
      </c>
      <c r="K57" s="6" t="s">
        <v>60</v>
      </c>
      <c r="L57" s="6" t="s">
        <v>61</v>
      </c>
      <c r="M57" s="7" t="str">
        <f t="shared" si="3"/>
        <v>Small Business</v>
      </c>
      <c r="N57" s="6" t="s">
        <v>82</v>
      </c>
      <c r="O57" s="7" t="str">
        <f t="shared" si="4"/>
        <v>South</v>
      </c>
      <c r="P57" s="6" t="s">
        <v>120</v>
      </c>
      <c r="Q57" s="6" t="s">
        <v>121</v>
      </c>
      <c r="R57" s="6" t="s">
        <v>106</v>
      </c>
      <c r="S57" s="7" t="str">
        <f t="shared" si="5"/>
        <v>Technology</v>
      </c>
      <c r="T57" s="6" t="s">
        <v>402</v>
      </c>
      <c r="U57" s="6" t="s">
        <v>403</v>
      </c>
      <c r="V57" s="6" t="s">
        <v>68</v>
      </c>
      <c r="W57" s="7" t="str">
        <f t="shared" si="6"/>
        <v>Same Day</v>
      </c>
      <c r="X57" s="6">
        <v>3</v>
      </c>
      <c r="Y57" s="6">
        <v>1516.24</v>
      </c>
      <c r="Z57" s="6">
        <v>0.25</v>
      </c>
      <c r="AA57" s="6">
        <f t="shared" si="8"/>
        <v>0.25</v>
      </c>
      <c r="AB57" s="6" t="str">
        <f t="shared" si="9"/>
        <v>Valid</v>
      </c>
      <c r="AC57" s="6">
        <v>3411.54</v>
      </c>
      <c r="AD57" s="6" t="str">
        <f>IF(OR(AO57="Cancelled",AM57="Failed"),"Exclude from Completed Sales","Include in Completed Sales")</f>
        <v>Include in Completed Sales</v>
      </c>
      <c r="AE57" s="6">
        <f t="shared" si="10"/>
        <v>3411.54</v>
      </c>
      <c r="AF57" s="6" t="str">
        <f>IF(TRIM(AM57)="Refunded","Refunded","")</f>
        <v/>
      </c>
      <c r="AG57" s="6">
        <v>2803.13</v>
      </c>
      <c r="AH57" s="6">
        <v>608.41</v>
      </c>
      <c r="AI57" s="6">
        <f t="shared" si="11"/>
        <v>608.40999999999985</v>
      </c>
      <c r="AJ57" s="11">
        <f t="shared" si="12"/>
        <v>0.17833881472883209</v>
      </c>
      <c r="AK57" s="11" t="str">
        <f t="shared" si="13"/>
        <v>July</v>
      </c>
      <c r="AL57" s="12">
        <f t="shared" si="14"/>
        <v>2025</v>
      </c>
      <c r="AM57" s="6" t="s">
        <v>54</v>
      </c>
      <c r="AN57" s="6" t="s">
        <v>55</v>
      </c>
      <c r="AO57" s="6" t="str">
        <f t="shared" si="7"/>
        <v>Completed</v>
      </c>
    </row>
    <row r="58" spans="1:41">
      <c r="A58" s="6" t="s">
        <v>404</v>
      </c>
      <c r="B58" s="7" t="s">
        <v>405</v>
      </c>
      <c r="C58" s="8">
        <v>45662</v>
      </c>
      <c r="D58" s="7" t="s">
        <v>406</v>
      </c>
      <c r="E58" s="9">
        <v>45663</v>
      </c>
      <c r="F58" s="9" t="str">
        <f t="shared" si="0"/>
        <v>Valid</v>
      </c>
      <c r="G58" s="10">
        <f t="shared" si="1"/>
        <v>1</v>
      </c>
      <c r="H58" s="10" t="str">
        <f t="shared" si="2"/>
        <v>Valid</v>
      </c>
      <c r="I58" s="6" t="s">
        <v>407</v>
      </c>
      <c r="J58" s="6" t="s">
        <v>45</v>
      </c>
      <c r="K58" s="6" t="s">
        <v>45</v>
      </c>
      <c r="L58" s="6" t="s">
        <v>46</v>
      </c>
      <c r="M58" s="7" t="str">
        <f t="shared" si="3"/>
        <v>Consumer</v>
      </c>
      <c r="N58" s="6" t="s">
        <v>82</v>
      </c>
      <c r="O58" s="7" t="str">
        <f t="shared" si="4"/>
        <v>South</v>
      </c>
      <c r="P58" s="6" t="s">
        <v>249</v>
      </c>
      <c r="Q58" s="6" t="s">
        <v>250</v>
      </c>
      <c r="R58" s="6" t="s">
        <v>50</v>
      </c>
      <c r="S58" s="7" t="str">
        <f t="shared" si="5"/>
        <v>Office Supplies</v>
      </c>
      <c r="T58" s="6" t="s">
        <v>218</v>
      </c>
      <c r="U58" s="6" t="s">
        <v>408</v>
      </c>
      <c r="V58" s="6" t="s">
        <v>53</v>
      </c>
      <c r="W58" s="7" t="str">
        <f t="shared" si="6"/>
        <v>Second Class</v>
      </c>
      <c r="X58" s="6">
        <v>3</v>
      </c>
      <c r="Y58" s="6">
        <v>3155.61</v>
      </c>
      <c r="Z58" s="6">
        <v>0</v>
      </c>
      <c r="AA58" s="6">
        <f t="shared" si="8"/>
        <v>0</v>
      </c>
      <c r="AB58" s="6" t="str">
        <f t="shared" si="9"/>
        <v>Valid</v>
      </c>
      <c r="AC58" s="6">
        <v>9466.83</v>
      </c>
      <c r="AD58" s="6" t="str">
        <f>IF(OR(AO58="Cancelled",AM58="Failed"),"Exclude from Completed Sales","Include in Completed Sales")</f>
        <v>Exclude from Completed Sales</v>
      </c>
      <c r="AE58" s="6">
        <f t="shared" si="10"/>
        <v>9466.83</v>
      </c>
      <c r="AF58" s="6" t="str">
        <f>IF(TRIM(AM58)="Refunded","Refunded","")</f>
        <v>Refunded</v>
      </c>
      <c r="AG58" s="6">
        <v>6557.83</v>
      </c>
      <c r="AH58" s="6">
        <v>2909</v>
      </c>
      <c r="AI58" s="6">
        <f t="shared" si="11"/>
        <v>2909</v>
      </c>
      <c r="AJ58" s="11">
        <f t="shared" si="12"/>
        <v>0.30728343067320318</v>
      </c>
      <c r="AK58" s="11" t="str">
        <f t="shared" si="13"/>
        <v>January</v>
      </c>
      <c r="AL58" s="12">
        <f t="shared" si="14"/>
        <v>2025</v>
      </c>
      <c r="AM58" s="6" t="s">
        <v>144</v>
      </c>
      <c r="AN58" s="6" t="s">
        <v>98</v>
      </c>
      <c r="AO58" s="6" t="str">
        <f t="shared" si="7"/>
        <v>Cancelled</v>
      </c>
    </row>
    <row r="59" spans="1:41">
      <c r="A59" s="6" t="s">
        <v>409</v>
      </c>
      <c r="B59" s="7" t="s">
        <v>410</v>
      </c>
      <c r="C59" s="8">
        <v>45329</v>
      </c>
      <c r="D59" s="7" t="s">
        <v>411</v>
      </c>
      <c r="E59" s="9">
        <v>45337</v>
      </c>
      <c r="F59" s="9" t="str">
        <f t="shared" si="0"/>
        <v>Valid</v>
      </c>
      <c r="G59" s="10">
        <f t="shared" si="1"/>
        <v>8</v>
      </c>
      <c r="H59" s="10" t="str">
        <f t="shared" si="2"/>
        <v>Valid</v>
      </c>
      <c r="I59" s="6" t="s">
        <v>412</v>
      </c>
      <c r="J59" s="6" t="s">
        <v>162</v>
      </c>
      <c r="K59" s="6" t="s">
        <v>162</v>
      </c>
      <c r="L59" s="6" t="s">
        <v>46</v>
      </c>
      <c r="M59" s="7" t="str">
        <f t="shared" si="3"/>
        <v>Consumer</v>
      </c>
      <c r="N59" s="6" t="s">
        <v>93</v>
      </c>
      <c r="O59" s="7" t="str">
        <f t="shared" si="4"/>
        <v>West</v>
      </c>
      <c r="P59" s="6" t="s">
        <v>269</v>
      </c>
      <c r="Q59" s="6" t="s">
        <v>270</v>
      </c>
      <c r="R59" s="6" t="s">
        <v>65</v>
      </c>
      <c r="S59" s="7" t="str">
        <f t="shared" si="5"/>
        <v>Furniture</v>
      </c>
      <c r="T59" s="6" t="s">
        <v>96</v>
      </c>
      <c r="U59" s="6" t="s">
        <v>413</v>
      </c>
      <c r="V59" s="6" t="s">
        <v>68</v>
      </c>
      <c r="W59" s="7" t="str">
        <f t="shared" si="6"/>
        <v>Same Day</v>
      </c>
      <c r="X59" s="6">
        <v>5</v>
      </c>
      <c r="Y59" s="6">
        <v>255.87</v>
      </c>
      <c r="Z59" s="6">
        <v>0</v>
      </c>
      <c r="AA59" s="6">
        <f t="shared" si="8"/>
        <v>0</v>
      </c>
      <c r="AB59" s="6" t="str">
        <f t="shared" si="9"/>
        <v>Valid</v>
      </c>
      <c r="AC59" s="6">
        <v>1279.3499999999999</v>
      </c>
      <c r="AD59" s="6" t="str">
        <f>IF(OR(AO59="Cancelled",AM59="Failed"),"Exclude from Completed Sales","Include in Completed Sales")</f>
        <v>Include in Completed Sales</v>
      </c>
      <c r="AE59" s="6">
        <f t="shared" si="10"/>
        <v>1279.3499999999999</v>
      </c>
      <c r="AF59" s="6" t="str">
        <f>IF(TRIM(AM59)="Refunded","Refunded","")</f>
        <v/>
      </c>
      <c r="AG59" s="6">
        <v>1091.54</v>
      </c>
      <c r="AH59" s="6">
        <v>187.81</v>
      </c>
      <c r="AI59" s="6">
        <f t="shared" si="11"/>
        <v>187.80999999999995</v>
      </c>
      <c r="AJ59" s="11">
        <f t="shared" si="12"/>
        <v>0.14680110993864068</v>
      </c>
      <c r="AK59" s="11" t="str">
        <f t="shared" si="13"/>
        <v>February</v>
      </c>
      <c r="AL59" s="12">
        <f t="shared" si="14"/>
        <v>2024</v>
      </c>
      <c r="AM59" s="6" t="s">
        <v>54</v>
      </c>
      <c r="AN59" s="6" t="s">
        <v>55</v>
      </c>
      <c r="AO59" s="6" t="str">
        <f t="shared" si="7"/>
        <v>Completed</v>
      </c>
    </row>
    <row r="60" spans="1:41">
      <c r="A60" s="6" t="s">
        <v>414</v>
      </c>
      <c r="B60" s="7" t="s">
        <v>415</v>
      </c>
      <c r="C60" s="8">
        <v>45536</v>
      </c>
      <c r="D60" s="7" t="s">
        <v>416</v>
      </c>
      <c r="E60" s="9">
        <v>45542</v>
      </c>
      <c r="F60" s="9" t="str">
        <f t="shared" si="0"/>
        <v>Valid</v>
      </c>
      <c r="G60" s="10">
        <f t="shared" si="1"/>
        <v>6</v>
      </c>
      <c r="H60" s="10" t="str">
        <f t="shared" si="2"/>
        <v>Valid</v>
      </c>
      <c r="I60" s="6" t="s">
        <v>417</v>
      </c>
      <c r="J60" s="6" t="s">
        <v>73</v>
      </c>
      <c r="K60" s="6" t="s">
        <v>73</v>
      </c>
      <c r="L60" s="6" t="s">
        <v>135</v>
      </c>
      <c r="M60" s="7" t="str">
        <f t="shared" si="3"/>
        <v>Home Office</v>
      </c>
      <c r="N60" s="6" t="s">
        <v>47</v>
      </c>
      <c r="O60" s="7" t="str">
        <f t="shared" si="4"/>
        <v>North</v>
      </c>
      <c r="P60" s="6" t="s">
        <v>48</v>
      </c>
      <c r="Q60" s="6" t="s">
        <v>49</v>
      </c>
      <c r="R60" s="6" t="s">
        <v>50</v>
      </c>
      <c r="S60" s="7" t="str">
        <f t="shared" si="5"/>
        <v>Office Supplies</v>
      </c>
      <c r="T60" s="6" t="s">
        <v>176</v>
      </c>
      <c r="U60" s="6" t="s">
        <v>418</v>
      </c>
      <c r="V60" s="6"/>
      <c r="W60" s="7" t="str">
        <f t="shared" si="6"/>
        <v>Unknown</v>
      </c>
      <c r="X60" s="6">
        <v>9</v>
      </c>
      <c r="Y60" s="6">
        <v>1389.48</v>
      </c>
      <c r="Z60" s="6">
        <v>0.1</v>
      </c>
      <c r="AA60" s="6">
        <f t="shared" si="8"/>
        <v>0.1</v>
      </c>
      <c r="AB60" s="6" t="str">
        <f t="shared" si="9"/>
        <v>Valid</v>
      </c>
      <c r="AC60" s="6">
        <v>11254.79</v>
      </c>
      <c r="AD60" s="6" t="str">
        <f>IF(OR(AO60="Cancelled",AM60="Failed"),"Exclude from Completed Sales","Include in Completed Sales")</f>
        <v>Include in Completed Sales</v>
      </c>
      <c r="AE60" s="6">
        <f t="shared" si="10"/>
        <v>11254.788</v>
      </c>
      <c r="AF60" s="6" t="str">
        <f>IF(TRIM(AM60)="Refunded","Refunded","")</f>
        <v/>
      </c>
      <c r="AG60" s="6">
        <v>6578.06</v>
      </c>
      <c r="AH60" s="6">
        <v>4676.7299999999996</v>
      </c>
      <c r="AI60" s="6">
        <f t="shared" si="11"/>
        <v>4676.7280000000001</v>
      </c>
      <c r="AJ60" s="11">
        <f t="shared" si="12"/>
        <v>0.41553230500654476</v>
      </c>
      <c r="AK60" s="11" t="str">
        <f t="shared" si="13"/>
        <v>September</v>
      </c>
      <c r="AL60" s="12">
        <f t="shared" si="14"/>
        <v>2024</v>
      </c>
      <c r="AM60" s="6" t="s">
        <v>157</v>
      </c>
      <c r="AN60" s="6" t="s">
        <v>145</v>
      </c>
      <c r="AO60" s="6" t="str">
        <f t="shared" si="7"/>
        <v>Returned</v>
      </c>
    </row>
    <row r="61" spans="1:41">
      <c r="A61" s="6" t="s">
        <v>419</v>
      </c>
      <c r="B61" s="7" t="s">
        <v>420</v>
      </c>
      <c r="C61" s="8">
        <v>45493</v>
      </c>
      <c r="D61" s="7" t="s">
        <v>421</v>
      </c>
      <c r="E61" s="9">
        <v>45498</v>
      </c>
      <c r="F61" s="9" t="str">
        <f t="shared" si="0"/>
        <v>Valid</v>
      </c>
      <c r="G61" s="10">
        <f t="shared" si="1"/>
        <v>5</v>
      </c>
      <c r="H61" s="10" t="str">
        <f t="shared" si="2"/>
        <v>Valid</v>
      </c>
      <c r="I61" s="6" t="s">
        <v>422</v>
      </c>
      <c r="J61" s="6" t="s">
        <v>162</v>
      </c>
      <c r="K61" s="6" t="s">
        <v>162</v>
      </c>
      <c r="L61" s="6" t="s">
        <v>128</v>
      </c>
      <c r="M61" s="7" t="str">
        <f t="shared" si="3"/>
        <v>Corporate</v>
      </c>
      <c r="N61" s="6" t="s">
        <v>62</v>
      </c>
      <c r="O61" s="7" t="str">
        <f t="shared" si="4"/>
        <v>East</v>
      </c>
      <c r="P61" s="6" t="s">
        <v>236</v>
      </c>
      <c r="Q61" s="6" t="s">
        <v>237</v>
      </c>
      <c r="R61" s="6" t="s">
        <v>50</v>
      </c>
      <c r="S61" s="7" t="str">
        <f t="shared" si="5"/>
        <v>Office Supplies</v>
      </c>
      <c r="T61" s="6" t="s">
        <v>129</v>
      </c>
      <c r="U61" s="6" t="s">
        <v>423</v>
      </c>
      <c r="V61" s="6" t="s">
        <v>68</v>
      </c>
      <c r="W61" s="7" t="str">
        <f t="shared" si="6"/>
        <v>Same Day</v>
      </c>
      <c r="X61" s="6">
        <v>5</v>
      </c>
      <c r="Y61" s="6">
        <v>4133.8500000000004</v>
      </c>
      <c r="Z61" s="6">
        <v>0.2</v>
      </c>
      <c r="AA61" s="6">
        <f t="shared" si="8"/>
        <v>0.2</v>
      </c>
      <c r="AB61" s="6" t="str">
        <f t="shared" si="9"/>
        <v>Valid</v>
      </c>
      <c r="AC61" s="6">
        <v>16535.400000000001</v>
      </c>
      <c r="AD61" s="6" t="str">
        <f>IF(OR(AO61="Cancelled",AM61="Failed"),"Exclude from Completed Sales","Include in Completed Sales")</f>
        <v>Exclude from Completed Sales</v>
      </c>
      <c r="AE61" s="6">
        <f t="shared" si="10"/>
        <v>16535.400000000001</v>
      </c>
      <c r="AF61" s="6" t="str">
        <f>IF(TRIM(AM61)="Refunded","Refunded","")</f>
        <v/>
      </c>
      <c r="AG61" s="6">
        <v>12990.21</v>
      </c>
      <c r="AH61" s="6">
        <v>3545.19</v>
      </c>
      <c r="AI61" s="6">
        <f t="shared" si="11"/>
        <v>3545.1900000000023</v>
      </c>
      <c r="AJ61" s="11">
        <f t="shared" si="12"/>
        <v>0.21440001451431487</v>
      </c>
      <c r="AK61" s="11" t="str">
        <f t="shared" si="13"/>
        <v>July</v>
      </c>
      <c r="AL61" s="12">
        <f t="shared" si="14"/>
        <v>2024</v>
      </c>
      <c r="AM61" s="6" t="s">
        <v>54</v>
      </c>
      <c r="AN61" s="6" t="s">
        <v>98</v>
      </c>
      <c r="AO61" s="6" t="str">
        <f t="shared" si="7"/>
        <v>Cancelled</v>
      </c>
    </row>
    <row r="62" spans="1:41">
      <c r="A62" s="6" t="s">
        <v>424</v>
      </c>
      <c r="B62" s="7" t="s">
        <v>425</v>
      </c>
      <c r="C62" s="8">
        <v>45486</v>
      </c>
      <c r="D62" s="7" t="s">
        <v>426</v>
      </c>
      <c r="E62" s="9">
        <v>45492</v>
      </c>
      <c r="F62" s="9" t="str">
        <f t="shared" si="0"/>
        <v>Valid</v>
      </c>
      <c r="G62" s="10">
        <f t="shared" si="1"/>
        <v>6</v>
      </c>
      <c r="H62" s="10" t="str">
        <f t="shared" si="2"/>
        <v>Valid</v>
      </c>
      <c r="I62" s="6" t="s">
        <v>427</v>
      </c>
      <c r="J62" s="6" t="s">
        <v>92</v>
      </c>
      <c r="K62" s="6" t="s">
        <v>92</v>
      </c>
      <c r="L62" s="6" t="s">
        <v>128</v>
      </c>
      <c r="M62" s="7" t="str">
        <f t="shared" si="3"/>
        <v>Corporate</v>
      </c>
      <c r="N62" s="6" t="s">
        <v>62</v>
      </c>
      <c r="O62" s="7" t="str">
        <f t="shared" si="4"/>
        <v>East</v>
      </c>
      <c r="P62" s="6" t="s">
        <v>236</v>
      </c>
      <c r="Q62" s="6" t="s">
        <v>237</v>
      </c>
      <c r="R62" s="6" t="s">
        <v>50</v>
      </c>
      <c r="S62" s="7" t="str">
        <f t="shared" si="5"/>
        <v>Office Supplies</v>
      </c>
      <c r="T62" s="6" t="s">
        <v>129</v>
      </c>
      <c r="U62" s="6" t="s">
        <v>428</v>
      </c>
      <c r="V62" s="6" t="s">
        <v>68</v>
      </c>
      <c r="W62" s="7" t="str">
        <f t="shared" si="6"/>
        <v>Same Day</v>
      </c>
      <c r="X62" s="6">
        <v>3</v>
      </c>
      <c r="Y62" s="6">
        <v>275.76</v>
      </c>
      <c r="Z62" s="6">
        <v>0.2</v>
      </c>
      <c r="AA62" s="6">
        <f t="shared" si="8"/>
        <v>0.2</v>
      </c>
      <c r="AB62" s="6" t="str">
        <f t="shared" si="9"/>
        <v>Valid</v>
      </c>
      <c r="AC62" s="6">
        <v>661.82</v>
      </c>
      <c r="AD62" s="6" t="str">
        <f>IF(OR(AO62="Cancelled",AM62="Failed"),"Exclude from Completed Sales","Include in Completed Sales")</f>
        <v>Exclude from Completed Sales</v>
      </c>
      <c r="AE62" s="6">
        <f t="shared" si="10"/>
        <v>661.82400000000007</v>
      </c>
      <c r="AF62" s="6" t="str">
        <f>IF(TRIM(AM62)="Refunded","Refunded","")</f>
        <v>Refunded</v>
      </c>
      <c r="AG62" s="6">
        <v>481.47</v>
      </c>
      <c r="AH62" s="6">
        <v>180.35</v>
      </c>
      <c r="AI62" s="6">
        <f t="shared" si="11"/>
        <v>180.35400000000004</v>
      </c>
      <c r="AJ62" s="11">
        <f t="shared" si="12"/>
        <v>0.27251051639106472</v>
      </c>
      <c r="AK62" s="11" t="str">
        <f t="shared" si="13"/>
        <v>July</v>
      </c>
      <c r="AL62" s="12">
        <f t="shared" si="14"/>
        <v>2024</v>
      </c>
      <c r="AM62" s="6" t="s">
        <v>144</v>
      </c>
      <c r="AN62" s="6" t="s">
        <v>98</v>
      </c>
      <c r="AO62" s="6" t="str">
        <f t="shared" si="7"/>
        <v>Cancelled</v>
      </c>
    </row>
    <row r="63" spans="1:41">
      <c r="A63" s="6" t="s">
        <v>429</v>
      </c>
      <c r="B63" s="7" t="s">
        <v>430</v>
      </c>
      <c r="C63" s="8">
        <v>45398</v>
      </c>
      <c r="D63" s="7" t="s">
        <v>431</v>
      </c>
      <c r="E63" s="9">
        <v>45398</v>
      </c>
      <c r="F63" s="9" t="str">
        <f t="shared" si="0"/>
        <v>Valid</v>
      </c>
      <c r="G63" s="10">
        <f t="shared" si="1"/>
        <v>0</v>
      </c>
      <c r="H63" s="10" t="str">
        <f t="shared" si="2"/>
        <v>Valid</v>
      </c>
      <c r="I63" s="6" t="s">
        <v>432</v>
      </c>
      <c r="J63" s="6" t="s">
        <v>103</v>
      </c>
      <c r="K63" s="6" t="s">
        <v>103</v>
      </c>
      <c r="L63" s="6" t="s">
        <v>135</v>
      </c>
      <c r="M63" s="7" t="str">
        <f t="shared" si="3"/>
        <v>Home Office</v>
      </c>
      <c r="N63" s="6" t="s">
        <v>62</v>
      </c>
      <c r="O63" s="7" t="str">
        <f t="shared" si="4"/>
        <v>East</v>
      </c>
      <c r="P63" s="6" t="s">
        <v>206</v>
      </c>
      <c r="Q63" s="6" t="s">
        <v>207</v>
      </c>
      <c r="R63" s="6" t="s">
        <v>65</v>
      </c>
      <c r="S63" s="7" t="str">
        <f t="shared" si="5"/>
        <v>Furniture</v>
      </c>
      <c r="T63" s="6" t="s">
        <v>224</v>
      </c>
      <c r="U63" s="6" t="s">
        <v>433</v>
      </c>
      <c r="V63" s="6" t="s">
        <v>87</v>
      </c>
      <c r="W63" s="7" t="str">
        <f t="shared" si="6"/>
        <v>Standard Class</v>
      </c>
      <c r="X63" s="6">
        <v>1</v>
      </c>
      <c r="Y63" s="6">
        <v>949.59</v>
      </c>
      <c r="Z63" s="6">
        <v>0</v>
      </c>
      <c r="AA63" s="6">
        <f t="shared" si="8"/>
        <v>0</v>
      </c>
      <c r="AB63" s="6" t="str">
        <f t="shared" si="9"/>
        <v>Valid</v>
      </c>
      <c r="AC63" s="6">
        <v>949.59</v>
      </c>
      <c r="AD63" s="6" t="str">
        <f>IF(OR(AO63="Cancelled",AM63="Failed"),"Exclude from Completed Sales","Include in Completed Sales")</f>
        <v>Include in Completed Sales</v>
      </c>
      <c r="AE63" s="6">
        <f t="shared" si="10"/>
        <v>949.59</v>
      </c>
      <c r="AF63" s="6" t="str">
        <f>IF(TRIM(AM63)="Refunded","Refunded","")</f>
        <v/>
      </c>
      <c r="AG63" s="6">
        <v>751.25</v>
      </c>
      <c r="AH63" s="6">
        <v>198.34</v>
      </c>
      <c r="AI63" s="6">
        <f t="shared" si="11"/>
        <v>198.34000000000003</v>
      </c>
      <c r="AJ63" s="11">
        <f t="shared" si="12"/>
        <v>0.20886909087079689</v>
      </c>
      <c r="AK63" s="11" t="str">
        <f t="shared" si="13"/>
        <v>April</v>
      </c>
      <c r="AL63" s="12">
        <f t="shared" si="14"/>
        <v>2024</v>
      </c>
      <c r="AM63" s="6" t="s">
        <v>54</v>
      </c>
      <c r="AN63" s="6" t="s">
        <v>55</v>
      </c>
      <c r="AO63" s="6" t="str">
        <f t="shared" si="7"/>
        <v>Completed</v>
      </c>
    </row>
    <row r="64" spans="1:41">
      <c r="A64" s="6" t="s">
        <v>434</v>
      </c>
      <c r="B64" s="7" t="s">
        <v>435</v>
      </c>
      <c r="C64" s="8">
        <v>45595</v>
      </c>
      <c r="D64" s="7" t="s">
        <v>436</v>
      </c>
      <c r="E64" s="9">
        <v>45598</v>
      </c>
      <c r="F64" s="9" t="str">
        <f t="shared" si="0"/>
        <v>Valid</v>
      </c>
      <c r="G64" s="10">
        <f t="shared" si="1"/>
        <v>3</v>
      </c>
      <c r="H64" s="10" t="str">
        <f t="shared" si="2"/>
        <v>Valid</v>
      </c>
      <c r="I64" s="6" t="s">
        <v>437</v>
      </c>
      <c r="J64" s="6" t="s">
        <v>188</v>
      </c>
      <c r="K64" s="6" t="s">
        <v>188</v>
      </c>
      <c r="L64" s="6" t="s">
        <v>135</v>
      </c>
      <c r="M64" s="7" t="str">
        <f t="shared" si="3"/>
        <v>Home Office</v>
      </c>
      <c r="N64" s="6" t="s">
        <v>47</v>
      </c>
      <c r="O64" s="7" t="str">
        <f t="shared" si="4"/>
        <v>North</v>
      </c>
      <c r="P64" s="6" t="s">
        <v>48</v>
      </c>
      <c r="Q64" s="6" t="s">
        <v>49</v>
      </c>
      <c r="R64" s="6" t="s">
        <v>106</v>
      </c>
      <c r="S64" s="7" t="str">
        <f t="shared" si="5"/>
        <v>Technology</v>
      </c>
      <c r="T64" s="6" t="s">
        <v>243</v>
      </c>
      <c r="U64" s="6" t="s">
        <v>438</v>
      </c>
      <c r="V64" s="6" t="s">
        <v>87</v>
      </c>
      <c r="W64" s="7" t="str">
        <f t="shared" si="6"/>
        <v>Standard Class</v>
      </c>
      <c r="X64" s="6">
        <v>9</v>
      </c>
      <c r="Y64" s="6">
        <v>3042.29</v>
      </c>
      <c r="Z64" s="6">
        <v>0.2</v>
      </c>
      <c r="AA64" s="6">
        <f t="shared" si="8"/>
        <v>0.2</v>
      </c>
      <c r="AB64" s="6" t="str">
        <f t="shared" si="9"/>
        <v>Valid</v>
      </c>
      <c r="AC64" s="6">
        <v>21904.49</v>
      </c>
      <c r="AD64" s="6" t="str">
        <f>IF(OR(AO64="Cancelled",AM64="Failed"),"Exclude from Completed Sales","Include in Completed Sales")</f>
        <v>Include in Completed Sales</v>
      </c>
      <c r="AE64" s="6">
        <f t="shared" si="10"/>
        <v>21904.488000000001</v>
      </c>
      <c r="AF64" s="6" t="str">
        <f>IF(TRIM(AM64)="Refunded","Refunded","")</f>
        <v/>
      </c>
      <c r="AG64" s="6">
        <v>13570.55</v>
      </c>
      <c r="AH64" s="6">
        <v>8333.94</v>
      </c>
      <c r="AI64" s="6">
        <f t="shared" si="11"/>
        <v>8333.9380000000019</v>
      </c>
      <c r="AJ64" s="11">
        <f t="shared" si="12"/>
        <v>0.38046714445003244</v>
      </c>
      <c r="AK64" s="11" t="str">
        <f t="shared" si="13"/>
        <v>October</v>
      </c>
      <c r="AL64" s="12">
        <f t="shared" si="14"/>
        <v>2024</v>
      </c>
      <c r="AM64" s="6" t="s">
        <v>54</v>
      </c>
      <c r="AN64" s="6" t="s">
        <v>55</v>
      </c>
      <c r="AO64" s="6" t="str">
        <f t="shared" si="7"/>
        <v>Completed</v>
      </c>
    </row>
    <row r="65" spans="1:41">
      <c r="A65" s="6" t="s">
        <v>439</v>
      </c>
      <c r="B65" s="7" t="s">
        <v>440</v>
      </c>
      <c r="C65" s="8">
        <v>45316</v>
      </c>
      <c r="D65" s="7" t="s">
        <v>441</v>
      </c>
      <c r="E65" s="9">
        <v>45323</v>
      </c>
      <c r="F65" s="9" t="str">
        <f t="shared" si="0"/>
        <v>Valid</v>
      </c>
      <c r="G65" s="10">
        <f t="shared" si="1"/>
        <v>7</v>
      </c>
      <c r="H65" s="10" t="str">
        <f t="shared" si="2"/>
        <v>Valid</v>
      </c>
      <c r="I65" s="6" t="s">
        <v>442</v>
      </c>
      <c r="J65" s="6" t="s">
        <v>188</v>
      </c>
      <c r="K65" s="6" t="s">
        <v>188</v>
      </c>
      <c r="L65" s="6" t="s">
        <v>135</v>
      </c>
      <c r="M65" s="7" t="str">
        <f t="shared" si="3"/>
        <v>Home Office</v>
      </c>
      <c r="N65" s="6" t="s">
        <v>47</v>
      </c>
      <c r="O65" s="7" t="str">
        <f t="shared" si="4"/>
        <v>North</v>
      </c>
      <c r="P65" s="6" t="s">
        <v>343</v>
      </c>
      <c r="Q65" s="6" t="s">
        <v>344</v>
      </c>
      <c r="R65" s="6" t="s">
        <v>50</v>
      </c>
      <c r="S65" s="7" t="str">
        <f t="shared" si="5"/>
        <v>Office Supplies</v>
      </c>
      <c r="T65" s="6" t="s">
        <v>218</v>
      </c>
      <c r="U65" s="6" t="s">
        <v>443</v>
      </c>
      <c r="V65" s="6" t="s">
        <v>68</v>
      </c>
      <c r="W65" s="7" t="str">
        <f t="shared" si="6"/>
        <v>Same Day</v>
      </c>
      <c r="X65" s="6">
        <v>2</v>
      </c>
      <c r="Y65" s="6">
        <v>2832.77</v>
      </c>
      <c r="Z65" s="6">
        <v>0.15</v>
      </c>
      <c r="AA65" s="6">
        <f t="shared" si="8"/>
        <v>0.15</v>
      </c>
      <c r="AB65" s="6" t="str">
        <f t="shared" si="9"/>
        <v>Valid</v>
      </c>
      <c r="AC65" s="6">
        <v>4815.71</v>
      </c>
      <c r="AD65" s="6" t="str">
        <f>IF(OR(AO65="Cancelled",AM65="Failed"),"Exclude from Completed Sales","Include in Completed Sales")</f>
        <v>Include in Completed Sales</v>
      </c>
      <c r="AE65" s="6">
        <f t="shared" si="10"/>
        <v>4815.7089999999998</v>
      </c>
      <c r="AF65" s="6" t="str">
        <f>IF(TRIM(AM65)="Refunded","Refunded","")</f>
        <v/>
      </c>
      <c r="AG65" s="6">
        <v>3027.75</v>
      </c>
      <c r="AH65" s="6">
        <v>1917.47</v>
      </c>
      <c r="AI65" s="6">
        <f t="shared" si="11"/>
        <v>1787.9589999999998</v>
      </c>
      <c r="AJ65" s="11">
        <f t="shared" si="12"/>
        <v>0.37127637903369992</v>
      </c>
      <c r="AK65" s="11" t="str">
        <f t="shared" si="13"/>
        <v>January</v>
      </c>
      <c r="AL65" s="12">
        <f t="shared" si="14"/>
        <v>2024</v>
      </c>
      <c r="AM65" s="6" t="s">
        <v>54</v>
      </c>
      <c r="AN65" s="6" t="s">
        <v>55</v>
      </c>
      <c r="AO65" s="6" t="str">
        <f t="shared" si="7"/>
        <v>Completed</v>
      </c>
    </row>
    <row r="66" spans="1:41">
      <c r="A66" s="6" t="s">
        <v>444</v>
      </c>
      <c r="B66" s="7" t="s">
        <v>445</v>
      </c>
      <c r="C66" s="8">
        <v>45649</v>
      </c>
      <c r="D66" s="7" t="s">
        <v>446</v>
      </c>
      <c r="E66" s="9">
        <v>45655</v>
      </c>
      <c r="F66" s="9" t="str">
        <f t="shared" ref="F66:F129" si="15">IF(E66&lt;C66,"Invalid Shipping Record","Valid")</f>
        <v>Valid</v>
      </c>
      <c r="G66" s="10">
        <f t="shared" ref="G66:G129" si="16">E66-C66</f>
        <v>6</v>
      </c>
      <c r="H66" s="10" t="str">
        <f t="shared" ref="H66:H129" si="17">IF(OR(C66="",E66=""),"Missing Date",IF(OR(NOT(ISNUMBER(C66)),NOT(ISNUMBER(E66))),"Invalid Date",IF(E66&lt;C66,"Invalid Shipping Record","Valid")))</f>
        <v>Valid</v>
      </c>
      <c r="I66" s="6" t="s">
        <v>447</v>
      </c>
      <c r="J66" s="6" t="s">
        <v>182</v>
      </c>
      <c r="K66" s="6" t="s">
        <v>182</v>
      </c>
      <c r="L66" s="6" t="s">
        <v>128</v>
      </c>
      <c r="M66" s="7" t="str">
        <f t="shared" ref="M66:M129" si="18">PROPER(TRIM(L66))</f>
        <v>Corporate</v>
      </c>
      <c r="N66" s="6" t="s">
        <v>62</v>
      </c>
      <c r="O66" s="7" t="str">
        <f t="shared" ref="O66:O129" si="19">IF(TRIM(N66)="","Unknown",PROPER(TRIM(N66)))</f>
        <v>East</v>
      </c>
      <c r="P66" s="6" t="s">
        <v>331</v>
      </c>
      <c r="Q66" s="6" t="s">
        <v>332</v>
      </c>
      <c r="R66" s="6" t="s">
        <v>50</v>
      </c>
      <c r="S66" s="7" t="str">
        <f t="shared" ref="S66:S129" si="20">PROPER(TRIM(R66))</f>
        <v>Office Supplies</v>
      </c>
      <c r="T66" s="6" t="s">
        <v>51</v>
      </c>
      <c r="U66" s="6" t="s">
        <v>448</v>
      </c>
      <c r="V66" s="6" t="s">
        <v>76</v>
      </c>
      <c r="W66" s="7" t="str">
        <f t="shared" ref="W66:W129" si="21">IF(TRIM(V66)="","Unknown",PROPER(TRIM(V66)))</f>
        <v>First Class</v>
      </c>
      <c r="X66" s="6">
        <v>7</v>
      </c>
      <c r="Y66" s="6">
        <v>447.84</v>
      </c>
      <c r="Z66" s="6">
        <v>0</v>
      </c>
      <c r="AA66" s="6">
        <f t="shared" si="8"/>
        <v>0</v>
      </c>
      <c r="AB66" s="6" t="str">
        <f t="shared" si="9"/>
        <v>Valid</v>
      </c>
      <c r="AC66" s="6">
        <v>3134.88</v>
      </c>
      <c r="AD66" s="6" t="str">
        <f>IF(OR(AO66="Cancelled",AM66="Failed"),"Exclude from Completed Sales","Include in Completed Sales")</f>
        <v>Include in Completed Sales</v>
      </c>
      <c r="AE66" s="6">
        <f t="shared" si="10"/>
        <v>3134.8799999999997</v>
      </c>
      <c r="AF66" s="6" t="str">
        <f>IF(TRIM(AM66)="Refunded","Refunded","")</f>
        <v>Refunded</v>
      </c>
      <c r="AG66" s="6">
        <v>2367.63</v>
      </c>
      <c r="AH66" s="6">
        <v>767.25</v>
      </c>
      <c r="AI66" s="6">
        <f t="shared" si="11"/>
        <v>767.24999999999955</v>
      </c>
      <c r="AJ66" s="11">
        <f t="shared" si="12"/>
        <v>0.24474621038125849</v>
      </c>
      <c r="AK66" s="11" t="str">
        <f t="shared" si="13"/>
        <v>December</v>
      </c>
      <c r="AL66" s="12">
        <f t="shared" si="14"/>
        <v>2024</v>
      </c>
      <c r="AM66" s="6" t="s">
        <v>144</v>
      </c>
      <c r="AN66" s="6" t="s">
        <v>145</v>
      </c>
      <c r="AO66" s="6" t="str">
        <f t="shared" ref="AO66:AO129" si="22">PROPER(TRIM(AN66))</f>
        <v>Returned</v>
      </c>
    </row>
    <row r="67" spans="1:41">
      <c r="A67" s="6" t="s">
        <v>449</v>
      </c>
      <c r="B67" s="7" t="s">
        <v>450</v>
      </c>
      <c r="C67" s="8">
        <v>45404</v>
      </c>
      <c r="D67" s="7" t="s">
        <v>451</v>
      </c>
      <c r="E67" s="9">
        <v>45409</v>
      </c>
      <c r="F67" s="9" t="str">
        <f t="shared" si="15"/>
        <v>Valid</v>
      </c>
      <c r="G67" s="10">
        <f t="shared" si="16"/>
        <v>5</v>
      </c>
      <c r="H67" s="10" t="str">
        <f t="shared" si="17"/>
        <v>Valid</v>
      </c>
      <c r="I67" s="6" t="s">
        <v>452</v>
      </c>
      <c r="J67" s="6" t="s">
        <v>60</v>
      </c>
      <c r="K67" s="6" t="s">
        <v>60</v>
      </c>
      <c r="L67" s="6" t="s">
        <v>135</v>
      </c>
      <c r="M67" s="7" t="str">
        <f t="shared" si="18"/>
        <v>Home Office</v>
      </c>
      <c r="N67" s="6" t="s">
        <v>93</v>
      </c>
      <c r="O67" s="7" t="str">
        <f t="shared" si="19"/>
        <v>West</v>
      </c>
      <c r="P67" s="6" t="s">
        <v>94</v>
      </c>
      <c r="Q67" s="6" t="s">
        <v>95</v>
      </c>
      <c r="R67" s="6" t="s">
        <v>50</v>
      </c>
      <c r="S67" s="7" t="str">
        <f t="shared" si="20"/>
        <v>Office Supplies</v>
      </c>
      <c r="T67" s="6" t="s">
        <v>51</v>
      </c>
      <c r="U67" s="6" t="s">
        <v>453</v>
      </c>
      <c r="V67" s="6" t="s">
        <v>53</v>
      </c>
      <c r="W67" s="7" t="str">
        <f t="shared" si="21"/>
        <v>Second Class</v>
      </c>
      <c r="X67" s="6">
        <v>1</v>
      </c>
      <c r="Y67" s="6">
        <v>4280.1899999999996</v>
      </c>
      <c r="Z67" s="6">
        <v>0.05</v>
      </c>
      <c r="AA67" s="6">
        <f t="shared" ref="AA67:AA130" si="23">IF(Z67="",0,Z67)</f>
        <v>0.05</v>
      </c>
      <c r="AB67" s="6" t="str">
        <f t="shared" ref="AB67:AB130" si="24">IF(AA67&lt;0,"Invalid - Negative Discount",IF(AA67&gt;1,"Invalid - Discount Above Limit","Valid"))</f>
        <v>Valid</v>
      </c>
      <c r="AC67" s="6">
        <v>4066.18</v>
      </c>
      <c r="AD67" s="6" t="str">
        <f>IF(OR(AO67="Cancelled",AM67="Failed"),"Exclude from Completed Sales","Include in Completed Sales")</f>
        <v>Include in Completed Sales</v>
      </c>
      <c r="AE67" s="6">
        <f t="shared" ref="AE67:AE130" si="25">X67*Y67*(1-AA67)</f>
        <v>4066.1804999999995</v>
      </c>
      <c r="AF67" s="6" t="str">
        <f t="shared" ref="AF67:AF130" si="26">IF(TRIM(AM67)="Refunded","Refunded","")</f>
        <v/>
      </c>
      <c r="AG67" s="6">
        <v>2628.92</v>
      </c>
      <c r="AH67" s="6">
        <v>1437.26</v>
      </c>
      <c r="AI67" s="6">
        <f t="shared" ref="AI67:AI130" si="27">AE67-AG67</f>
        <v>1437.2604999999994</v>
      </c>
      <c r="AJ67" s="11">
        <f t="shared" ref="AJ67:AJ130" si="28">IF(AE67=0,0,AI67/AE67)</f>
        <v>0.35346696980126674</v>
      </c>
      <c r="AK67" s="11" t="str">
        <f t="shared" ref="AK67:AK130" si="29">TEXT(C67,"mmmm")</f>
        <v>April</v>
      </c>
      <c r="AL67" s="12">
        <f t="shared" ref="AL67:AL130" si="30">YEAR(C67)</f>
        <v>2024</v>
      </c>
      <c r="AM67" s="6" t="s">
        <v>54</v>
      </c>
      <c r="AN67" s="6" t="s">
        <v>55</v>
      </c>
      <c r="AO67" s="6" t="str">
        <f t="shared" si="22"/>
        <v>Completed</v>
      </c>
    </row>
    <row r="68" spans="1:41">
      <c r="A68" s="6" t="s">
        <v>454</v>
      </c>
      <c r="B68" s="7" t="s">
        <v>455</v>
      </c>
      <c r="C68" s="8">
        <v>45897</v>
      </c>
      <c r="D68" s="7" t="s">
        <v>456</v>
      </c>
      <c r="E68" s="9">
        <v>45901</v>
      </c>
      <c r="F68" s="9" t="str">
        <f t="shared" si="15"/>
        <v>Valid</v>
      </c>
      <c r="G68" s="10">
        <f t="shared" si="16"/>
        <v>4</v>
      </c>
      <c r="H68" s="10" t="str">
        <f t="shared" si="17"/>
        <v>Valid</v>
      </c>
      <c r="I68" s="6" t="s">
        <v>457</v>
      </c>
      <c r="J68" s="6" t="s">
        <v>45</v>
      </c>
      <c r="K68" s="6" t="s">
        <v>45</v>
      </c>
      <c r="L68" s="6" t="s">
        <v>61</v>
      </c>
      <c r="M68" s="7" t="str">
        <f t="shared" si="18"/>
        <v>Small Business</v>
      </c>
      <c r="N68" s="6" t="s">
        <v>82</v>
      </c>
      <c r="O68" s="7" t="str">
        <f t="shared" si="19"/>
        <v>South</v>
      </c>
      <c r="P68" s="6" t="s">
        <v>359</v>
      </c>
      <c r="Q68" s="6" t="s">
        <v>360</v>
      </c>
      <c r="R68" s="6" t="s">
        <v>106</v>
      </c>
      <c r="S68" s="7" t="str">
        <f t="shared" si="20"/>
        <v>Technology</v>
      </c>
      <c r="T68" s="6" t="s">
        <v>107</v>
      </c>
      <c r="U68" s="6" t="s">
        <v>458</v>
      </c>
      <c r="V68" s="6" t="s">
        <v>68</v>
      </c>
      <c r="W68" s="7" t="str">
        <f t="shared" si="21"/>
        <v>Same Day</v>
      </c>
      <c r="X68" s="6">
        <v>7</v>
      </c>
      <c r="Y68" s="6">
        <v>1057.46</v>
      </c>
      <c r="Z68" s="6">
        <v>0.05</v>
      </c>
      <c r="AA68" s="6">
        <f t="shared" si="23"/>
        <v>0.05</v>
      </c>
      <c r="AB68" s="6" t="str">
        <f t="shared" si="24"/>
        <v>Valid</v>
      </c>
      <c r="AC68" s="6">
        <v>7032.11</v>
      </c>
      <c r="AD68" s="6" t="str">
        <f>IF(OR(AO68="Cancelled",AM68="Failed"),"Exclude from Completed Sales","Include in Completed Sales")</f>
        <v>Include in Completed Sales</v>
      </c>
      <c r="AE68" s="6">
        <f t="shared" si="25"/>
        <v>7032.1089999999995</v>
      </c>
      <c r="AF68" s="6" t="str">
        <f t="shared" si="26"/>
        <v/>
      </c>
      <c r="AG68" s="6">
        <v>4610.34</v>
      </c>
      <c r="AH68" s="6">
        <v>2421.77</v>
      </c>
      <c r="AI68" s="6">
        <f t="shared" si="27"/>
        <v>2421.7689999999993</v>
      </c>
      <c r="AJ68" s="11">
        <f t="shared" si="28"/>
        <v>0.34438729547565311</v>
      </c>
      <c r="AK68" s="11" t="str">
        <f t="shared" si="29"/>
        <v>August</v>
      </c>
      <c r="AL68" s="12">
        <f t="shared" si="30"/>
        <v>2025</v>
      </c>
      <c r="AM68" s="6" t="s">
        <v>54</v>
      </c>
      <c r="AN68" s="6" t="s">
        <v>55</v>
      </c>
      <c r="AO68" s="6" t="str">
        <f t="shared" si="22"/>
        <v>Completed</v>
      </c>
    </row>
    <row r="69" spans="1:41">
      <c r="A69" s="6" t="s">
        <v>459</v>
      </c>
      <c r="B69" s="7" t="s">
        <v>460</v>
      </c>
      <c r="C69" s="8">
        <v>45691</v>
      </c>
      <c r="D69" s="7" t="s">
        <v>461</v>
      </c>
      <c r="E69" s="9">
        <v>45695</v>
      </c>
      <c r="F69" s="9" t="str">
        <f t="shared" si="15"/>
        <v>Valid</v>
      </c>
      <c r="G69" s="10">
        <f t="shared" si="16"/>
        <v>4</v>
      </c>
      <c r="H69" s="10" t="str">
        <f t="shared" si="17"/>
        <v>Valid</v>
      </c>
      <c r="I69" s="6" t="s">
        <v>462</v>
      </c>
      <c r="J69" s="6" t="s">
        <v>386</v>
      </c>
      <c r="K69" s="6" t="s">
        <v>386</v>
      </c>
      <c r="L69" s="6" t="s">
        <v>46</v>
      </c>
      <c r="M69" s="7" t="str">
        <f t="shared" si="18"/>
        <v>Consumer</v>
      </c>
      <c r="N69" s="6" t="s">
        <v>47</v>
      </c>
      <c r="O69" s="7" t="str">
        <f t="shared" si="19"/>
        <v>North</v>
      </c>
      <c r="P69" s="6" t="s">
        <v>343</v>
      </c>
      <c r="Q69" s="6" t="s">
        <v>344</v>
      </c>
      <c r="R69" s="6" t="s">
        <v>50</v>
      </c>
      <c r="S69" s="7" t="str">
        <f t="shared" si="20"/>
        <v>Office Supplies</v>
      </c>
      <c r="T69" s="6" t="s">
        <v>51</v>
      </c>
      <c r="U69" s="6" t="s">
        <v>463</v>
      </c>
      <c r="V69" s="6" t="s">
        <v>76</v>
      </c>
      <c r="W69" s="7" t="str">
        <f t="shared" si="21"/>
        <v>First Class</v>
      </c>
      <c r="X69" s="6">
        <v>7</v>
      </c>
      <c r="Y69" s="6">
        <v>3609.34</v>
      </c>
      <c r="Z69" s="6">
        <v>0.05</v>
      </c>
      <c r="AA69" s="6">
        <f t="shared" si="23"/>
        <v>0.05</v>
      </c>
      <c r="AB69" s="6" t="str">
        <f t="shared" si="24"/>
        <v>Valid</v>
      </c>
      <c r="AC69" s="6">
        <v>24002.11</v>
      </c>
      <c r="AD69" s="6" t="str">
        <f>IF(OR(AO69="Cancelled",AM69="Failed"),"Exclude from Completed Sales","Include in Completed Sales")</f>
        <v>Include in Completed Sales</v>
      </c>
      <c r="AE69" s="6">
        <f t="shared" si="25"/>
        <v>24002.111000000001</v>
      </c>
      <c r="AF69" s="6" t="str">
        <f t="shared" si="26"/>
        <v/>
      </c>
      <c r="AG69" s="6">
        <v>18707.57</v>
      </c>
      <c r="AH69" s="6">
        <v>5294.54</v>
      </c>
      <c r="AI69" s="6">
        <f t="shared" si="27"/>
        <v>5294.5410000000011</v>
      </c>
      <c r="AJ69" s="11">
        <f t="shared" si="28"/>
        <v>0.2205864725815159</v>
      </c>
      <c r="AK69" s="11" t="str">
        <f t="shared" si="29"/>
        <v>February</v>
      </c>
      <c r="AL69" s="12">
        <f t="shared" si="30"/>
        <v>2025</v>
      </c>
      <c r="AM69" s="6" t="s">
        <v>54</v>
      </c>
      <c r="AN69" s="6" t="s">
        <v>55</v>
      </c>
      <c r="AO69" s="6" t="str">
        <f t="shared" si="22"/>
        <v>Completed</v>
      </c>
    </row>
    <row r="70" spans="1:41">
      <c r="A70" s="6" t="s">
        <v>464</v>
      </c>
      <c r="B70" s="7" t="s">
        <v>125</v>
      </c>
      <c r="C70" s="8">
        <v>45606</v>
      </c>
      <c r="D70" s="7" t="s">
        <v>465</v>
      </c>
      <c r="E70" s="9">
        <v>45609</v>
      </c>
      <c r="F70" s="9" t="str">
        <f t="shared" si="15"/>
        <v>Valid</v>
      </c>
      <c r="G70" s="10">
        <f t="shared" si="16"/>
        <v>3</v>
      </c>
      <c r="H70" s="10" t="str">
        <f t="shared" si="17"/>
        <v>Valid</v>
      </c>
      <c r="I70" s="6" t="s">
        <v>466</v>
      </c>
      <c r="J70" s="6" t="s">
        <v>73</v>
      </c>
      <c r="K70" s="6" t="s">
        <v>73</v>
      </c>
      <c r="L70" s="6" t="s">
        <v>128</v>
      </c>
      <c r="M70" s="7" t="str">
        <f t="shared" si="18"/>
        <v>Corporate</v>
      </c>
      <c r="N70" s="6" t="s">
        <v>62</v>
      </c>
      <c r="O70" s="7" t="str">
        <f t="shared" si="19"/>
        <v>East</v>
      </c>
      <c r="P70" s="6" t="s">
        <v>331</v>
      </c>
      <c r="Q70" s="6" t="s">
        <v>332</v>
      </c>
      <c r="R70" s="6" t="s">
        <v>50</v>
      </c>
      <c r="S70" s="7" t="str">
        <f t="shared" si="20"/>
        <v>Office Supplies</v>
      </c>
      <c r="T70" s="6" t="s">
        <v>176</v>
      </c>
      <c r="U70" s="6" t="s">
        <v>467</v>
      </c>
      <c r="V70" s="6" t="s">
        <v>53</v>
      </c>
      <c r="W70" s="7" t="str">
        <f t="shared" si="21"/>
        <v>Second Class</v>
      </c>
      <c r="X70" s="6">
        <v>9</v>
      </c>
      <c r="Y70" s="6">
        <v>2211.12</v>
      </c>
      <c r="Z70" s="6">
        <v>0</v>
      </c>
      <c r="AA70" s="6">
        <f t="shared" si="23"/>
        <v>0</v>
      </c>
      <c r="AB70" s="6" t="str">
        <f t="shared" si="24"/>
        <v>Valid</v>
      </c>
      <c r="AC70" s="6">
        <v>19900.080000000002</v>
      </c>
      <c r="AD70" s="6" t="str">
        <f>IF(OR(AO70="Cancelled",AM70="Failed"),"Exclude from Completed Sales","Include in Completed Sales")</f>
        <v>Exclude from Completed Sales</v>
      </c>
      <c r="AE70" s="6">
        <f t="shared" si="25"/>
        <v>19900.079999999998</v>
      </c>
      <c r="AF70" s="6" t="str">
        <f t="shared" si="26"/>
        <v/>
      </c>
      <c r="AG70" s="6">
        <v>10962.66</v>
      </c>
      <c r="AH70" s="6">
        <v>8937.42</v>
      </c>
      <c r="AI70" s="6">
        <f t="shared" si="27"/>
        <v>8937.4199999999983</v>
      </c>
      <c r="AJ70" s="11">
        <f t="shared" si="28"/>
        <v>0.44911477742803041</v>
      </c>
      <c r="AK70" s="11" t="str">
        <f t="shared" si="29"/>
        <v>November</v>
      </c>
      <c r="AL70" s="12">
        <f t="shared" si="30"/>
        <v>2024</v>
      </c>
      <c r="AM70" s="6" t="s">
        <v>220</v>
      </c>
      <c r="AN70" s="6" t="s">
        <v>145</v>
      </c>
      <c r="AO70" s="6" t="str">
        <f t="shared" si="22"/>
        <v>Returned</v>
      </c>
    </row>
    <row r="71" spans="1:41">
      <c r="A71" s="6" t="s">
        <v>468</v>
      </c>
      <c r="B71" s="7" t="s">
        <v>469</v>
      </c>
      <c r="C71" s="8">
        <v>45391</v>
      </c>
      <c r="D71" s="7" t="s">
        <v>470</v>
      </c>
      <c r="E71" s="9">
        <v>45396</v>
      </c>
      <c r="F71" s="9" t="str">
        <f t="shared" si="15"/>
        <v>Valid</v>
      </c>
      <c r="G71" s="10">
        <f t="shared" si="16"/>
        <v>5</v>
      </c>
      <c r="H71" s="10" t="str">
        <f t="shared" si="17"/>
        <v>Valid</v>
      </c>
      <c r="I71" s="6" t="s">
        <v>471</v>
      </c>
      <c r="J71" s="6" t="s">
        <v>113</v>
      </c>
      <c r="K71" s="6" t="s">
        <v>113</v>
      </c>
      <c r="L71" s="6" t="s">
        <v>61</v>
      </c>
      <c r="M71" s="7" t="str">
        <f t="shared" si="18"/>
        <v>Small Business</v>
      </c>
      <c r="N71" s="6" t="s">
        <v>93</v>
      </c>
      <c r="O71" s="7" t="str">
        <f t="shared" si="19"/>
        <v>West</v>
      </c>
      <c r="P71" s="6" t="s">
        <v>255</v>
      </c>
      <c r="Q71" s="6" t="s">
        <v>256</v>
      </c>
      <c r="R71" s="6" t="s">
        <v>106</v>
      </c>
      <c r="S71" s="7" t="str">
        <f t="shared" si="20"/>
        <v>Technology</v>
      </c>
      <c r="T71" s="6" t="s">
        <v>402</v>
      </c>
      <c r="U71" s="6" t="s">
        <v>472</v>
      </c>
      <c r="V71" s="6" t="s">
        <v>68</v>
      </c>
      <c r="W71" s="7" t="str">
        <f t="shared" si="21"/>
        <v>Same Day</v>
      </c>
      <c r="X71" s="6">
        <v>7</v>
      </c>
      <c r="Y71" s="6">
        <v>3417.09</v>
      </c>
      <c r="Z71" s="6">
        <v>0.1</v>
      </c>
      <c r="AA71" s="6">
        <f t="shared" si="23"/>
        <v>0.1</v>
      </c>
      <c r="AB71" s="6" t="str">
        <f t="shared" si="24"/>
        <v>Valid</v>
      </c>
      <c r="AC71" s="6">
        <v>21527.67</v>
      </c>
      <c r="AD71" s="6" t="str">
        <f>IF(OR(AO71="Cancelled",AM71="Failed"),"Exclude from Completed Sales","Include in Completed Sales")</f>
        <v>Include in Completed Sales</v>
      </c>
      <c r="AE71" s="6">
        <f t="shared" si="25"/>
        <v>21527.667000000001</v>
      </c>
      <c r="AF71" s="6" t="str">
        <f t="shared" si="26"/>
        <v>Refunded</v>
      </c>
      <c r="AG71" s="6">
        <v>18287.580000000002</v>
      </c>
      <c r="AH71" s="6">
        <v>3240.09</v>
      </c>
      <c r="AI71" s="6">
        <f t="shared" si="27"/>
        <v>3240.0869999999995</v>
      </c>
      <c r="AJ71" s="11">
        <f t="shared" si="28"/>
        <v>0.15050804158202555</v>
      </c>
      <c r="AK71" s="11" t="str">
        <f t="shared" si="29"/>
        <v>April</v>
      </c>
      <c r="AL71" s="12">
        <f t="shared" si="30"/>
        <v>2024</v>
      </c>
      <c r="AM71" s="6" t="s">
        <v>144</v>
      </c>
      <c r="AN71" s="6" t="s">
        <v>145</v>
      </c>
      <c r="AO71" s="6" t="str">
        <f t="shared" si="22"/>
        <v>Returned</v>
      </c>
    </row>
    <row r="72" spans="1:41">
      <c r="A72" s="6" t="s">
        <v>473</v>
      </c>
      <c r="B72" s="7" t="s">
        <v>474</v>
      </c>
      <c r="C72" s="8">
        <v>45891</v>
      </c>
      <c r="D72" s="7" t="s">
        <v>475</v>
      </c>
      <c r="E72" s="9">
        <v>45896</v>
      </c>
      <c r="F72" s="9" t="str">
        <f t="shared" si="15"/>
        <v>Valid</v>
      </c>
      <c r="G72" s="10">
        <f t="shared" si="16"/>
        <v>5</v>
      </c>
      <c r="H72" s="10" t="str">
        <f t="shared" si="17"/>
        <v>Valid</v>
      </c>
      <c r="I72" s="6" t="s">
        <v>476</v>
      </c>
      <c r="J72" s="6" t="s">
        <v>45</v>
      </c>
      <c r="K72" s="6" t="s">
        <v>45</v>
      </c>
      <c r="L72" s="6" t="s">
        <v>128</v>
      </c>
      <c r="M72" s="7" t="str">
        <f t="shared" si="18"/>
        <v>Corporate</v>
      </c>
      <c r="N72" s="6" t="s">
        <v>82</v>
      </c>
      <c r="O72" s="7" t="str">
        <f t="shared" si="19"/>
        <v>South</v>
      </c>
      <c r="P72" s="6" t="s">
        <v>120</v>
      </c>
      <c r="Q72" s="6" t="s">
        <v>121</v>
      </c>
      <c r="R72" s="6" t="s">
        <v>106</v>
      </c>
      <c r="S72" s="7" t="str">
        <f t="shared" si="20"/>
        <v>Technology</v>
      </c>
      <c r="T72" s="6" t="s">
        <v>243</v>
      </c>
      <c r="U72" s="6" t="s">
        <v>477</v>
      </c>
      <c r="V72" s="6" t="s">
        <v>76</v>
      </c>
      <c r="W72" s="7" t="str">
        <f t="shared" si="21"/>
        <v>First Class</v>
      </c>
      <c r="X72" s="6">
        <v>2</v>
      </c>
      <c r="Y72" s="6">
        <v>905.87</v>
      </c>
      <c r="Z72" s="6">
        <v>0.15</v>
      </c>
      <c r="AA72" s="6">
        <f t="shared" si="23"/>
        <v>0.15</v>
      </c>
      <c r="AB72" s="6" t="str">
        <f t="shared" si="24"/>
        <v>Valid</v>
      </c>
      <c r="AC72" s="6">
        <v>1539.98</v>
      </c>
      <c r="AD72" s="6" t="str">
        <f>IF(OR(AO72="Cancelled",AM72="Failed"),"Exclude from Completed Sales","Include in Completed Sales")</f>
        <v>Include in Completed Sales</v>
      </c>
      <c r="AE72" s="6">
        <f t="shared" si="25"/>
        <v>1539.979</v>
      </c>
      <c r="AF72" s="6" t="str">
        <f t="shared" si="26"/>
        <v/>
      </c>
      <c r="AG72" s="6">
        <v>1070.2</v>
      </c>
      <c r="AH72" s="6">
        <v>469.78</v>
      </c>
      <c r="AI72" s="6">
        <f t="shared" si="27"/>
        <v>469.779</v>
      </c>
      <c r="AJ72" s="11">
        <f t="shared" si="28"/>
        <v>0.30505545854846072</v>
      </c>
      <c r="AK72" s="11" t="str">
        <f t="shared" si="29"/>
        <v>August</v>
      </c>
      <c r="AL72" s="12">
        <f t="shared" si="30"/>
        <v>2025</v>
      </c>
      <c r="AM72" s="6" t="s">
        <v>54</v>
      </c>
      <c r="AN72" s="6" t="s">
        <v>55</v>
      </c>
      <c r="AO72" s="6" t="str">
        <f t="shared" si="22"/>
        <v>Completed</v>
      </c>
    </row>
    <row r="73" spans="1:41">
      <c r="A73" s="6" t="s">
        <v>478</v>
      </c>
      <c r="B73" s="7" t="s">
        <v>111</v>
      </c>
      <c r="C73" s="8">
        <v>45763</v>
      </c>
      <c r="D73" s="7" t="s">
        <v>479</v>
      </c>
      <c r="E73" s="9">
        <v>45770</v>
      </c>
      <c r="F73" s="9" t="str">
        <f t="shared" si="15"/>
        <v>Valid</v>
      </c>
      <c r="G73" s="10">
        <f t="shared" si="16"/>
        <v>7</v>
      </c>
      <c r="H73" s="10" t="str">
        <f t="shared" si="17"/>
        <v>Valid</v>
      </c>
      <c r="I73" s="6" t="s">
        <v>480</v>
      </c>
      <c r="J73" s="6" t="s">
        <v>60</v>
      </c>
      <c r="K73" s="6" t="s">
        <v>60</v>
      </c>
      <c r="L73" s="6" t="s">
        <v>61</v>
      </c>
      <c r="M73" s="7" t="str">
        <f t="shared" si="18"/>
        <v>Small Business</v>
      </c>
      <c r="N73" s="6" t="s">
        <v>93</v>
      </c>
      <c r="O73" s="7" t="str">
        <f t="shared" si="19"/>
        <v>West</v>
      </c>
      <c r="P73" s="6" t="s">
        <v>269</v>
      </c>
      <c r="Q73" s="6" t="s">
        <v>270</v>
      </c>
      <c r="R73" s="6" t="s">
        <v>106</v>
      </c>
      <c r="S73" s="7" t="str">
        <f t="shared" si="20"/>
        <v>Technology</v>
      </c>
      <c r="T73" s="6" t="s">
        <v>402</v>
      </c>
      <c r="U73" s="6" t="s">
        <v>481</v>
      </c>
      <c r="V73" s="6" t="s">
        <v>87</v>
      </c>
      <c r="W73" s="7" t="str">
        <f t="shared" si="21"/>
        <v>Standard Class</v>
      </c>
      <c r="X73" s="6">
        <v>6</v>
      </c>
      <c r="Y73" s="6">
        <v>2027.32</v>
      </c>
      <c r="Z73" s="6">
        <v>0.1</v>
      </c>
      <c r="AA73" s="6">
        <f t="shared" si="23"/>
        <v>0.1</v>
      </c>
      <c r="AB73" s="6" t="str">
        <f t="shared" si="24"/>
        <v>Valid</v>
      </c>
      <c r="AC73" s="6">
        <v>10947.53</v>
      </c>
      <c r="AD73" s="6" t="str">
        <f>IF(OR(AO73="Cancelled",AM73="Failed"),"Exclude from Completed Sales","Include in Completed Sales")</f>
        <v>Include in Completed Sales</v>
      </c>
      <c r="AE73" s="6">
        <f t="shared" si="25"/>
        <v>10947.528</v>
      </c>
      <c r="AF73" s="6" t="str">
        <f t="shared" si="26"/>
        <v/>
      </c>
      <c r="AG73" s="6">
        <v>6447.36</v>
      </c>
      <c r="AH73" s="6">
        <v>4500.17</v>
      </c>
      <c r="AI73" s="6">
        <f t="shared" si="27"/>
        <v>4500.1680000000006</v>
      </c>
      <c r="AJ73" s="11">
        <f t="shared" si="28"/>
        <v>0.41106704636882413</v>
      </c>
      <c r="AK73" s="11" t="str">
        <f t="shared" si="29"/>
        <v>April</v>
      </c>
      <c r="AL73" s="12">
        <f t="shared" si="30"/>
        <v>2025</v>
      </c>
      <c r="AM73" s="6" t="s">
        <v>54</v>
      </c>
      <c r="AN73" s="6" t="s">
        <v>55</v>
      </c>
      <c r="AO73" s="6" t="str">
        <f t="shared" si="22"/>
        <v>Completed</v>
      </c>
    </row>
    <row r="74" spans="1:41">
      <c r="A74" s="6" t="s">
        <v>482</v>
      </c>
      <c r="B74" s="7" t="s">
        <v>483</v>
      </c>
      <c r="C74" s="8">
        <v>45333</v>
      </c>
      <c r="D74" s="7" t="s">
        <v>484</v>
      </c>
      <c r="E74" s="9">
        <v>45329</v>
      </c>
      <c r="F74" s="9" t="str">
        <f t="shared" si="15"/>
        <v>Invalid Shipping Record</v>
      </c>
      <c r="G74" s="10">
        <f t="shared" si="16"/>
        <v>-4</v>
      </c>
      <c r="H74" s="10" t="str">
        <f t="shared" si="17"/>
        <v>Invalid Shipping Record</v>
      </c>
      <c r="I74" s="6" t="s">
        <v>485</v>
      </c>
      <c r="J74" s="6" t="s">
        <v>45</v>
      </c>
      <c r="K74" s="6" t="s">
        <v>45</v>
      </c>
      <c r="L74" s="6" t="s">
        <v>135</v>
      </c>
      <c r="M74" s="7" t="str">
        <f t="shared" si="18"/>
        <v>Home Office</v>
      </c>
      <c r="N74" s="6" t="s">
        <v>82</v>
      </c>
      <c r="O74" s="7" t="str">
        <f t="shared" si="19"/>
        <v>South</v>
      </c>
      <c r="P74" s="6" t="s">
        <v>359</v>
      </c>
      <c r="Q74" s="6" t="s">
        <v>360</v>
      </c>
      <c r="R74" s="6" t="s">
        <v>65</v>
      </c>
      <c r="S74" s="7" t="str">
        <f t="shared" si="20"/>
        <v>Furniture</v>
      </c>
      <c r="T74" s="6" t="s">
        <v>66</v>
      </c>
      <c r="U74" s="6" t="s">
        <v>486</v>
      </c>
      <c r="V74" s="6" t="s">
        <v>76</v>
      </c>
      <c r="W74" s="7" t="str">
        <f t="shared" si="21"/>
        <v>First Class</v>
      </c>
      <c r="X74" s="6">
        <v>7</v>
      </c>
      <c r="Y74" s="6">
        <v>2287.4699999999998</v>
      </c>
      <c r="Z74" s="6">
        <v>0.15</v>
      </c>
      <c r="AA74" s="6">
        <f t="shared" si="23"/>
        <v>0.15</v>
      </c>
      <c r="AB74" s="6" t="str">
        <f t="shared" si="24"/>
        <v>Valid</v>
      </c>
      <c r="AC74" s="6">
        <v>13610.45</v>
      </c>
      <c r="AD74" s="6" t="str">
        <f>IF(OR(AO74="Cancelled",AM74="Failed"),"Exclude from Completed Sales","Include in Completed Sales")</f>
        <v>Include in Completed Sales</v>
      </c>
      <c r="AE74" s="6">
        <f t="shared" si="25"/>
        <v>13610.446499999998</v>
      </c>
      <c r="AF74" s="6" t="str">
        <f t="shared" si="26"/>
        <v/>
      </c>
      <c r="AG74" s="6">
        <v>10039.049999999999</v>
      </c>
      <c r="AH74" s="6">
        <v>3571.4</v>
      </c>
      <c r="AI74" s="6">
        <f t="shared" si="27"/>
        <v>3571.3964999999989</v>
      </c>
      <c r="AJ74" s="11">
        <f t="shared" si="28"/>
        <v>0.26240112695788487</v>
      </c>
      <c r="AK74" s="11" t="str">
        <f t="shared" si="29"/>
        <v>February</v>
      </c>
      <c r="AL74" s="12">
        <f t="shared" si="30"/>
        <v>2024</v>
      </c>
      <c r="AM74" s="6" t="s">
        <v>54</v>
      </c>
      <c r="AN74" s="6" t="s">
        <v>55</v>
      </c>
      <c r="AO74" s="6" t="str">
        <f t="shared" si="22"/>
        <v>Completed</v>
      </c>
    </row>
    <row r="75" spans="1:41">
      <c r="A75" s="6" t="s">
        <v>487</v>
      </c>
      <c r="B75" s="7" t="s">
        <v>488</v>
      </c>
      <c r="C75" s="8">
        <v>45745</v>
      </c>
      <c r="D75" s="7" t="s">
        <v>489</v>
      </c>
      <c r="E75" s="9">
        <v>45750</v>
      </c>
      <c r="F75" s="9" t="str">
        <f t="shared" si="15"/>
        <v>Valid</v>
      </c>
      <c r="G75" s="10">
        <f t="shared" si="16"/>
        <v>5</v>
      </c>
      <c r="H75" s="10" t="str">
        <f t="shared" si="17"/>
        <v>Valid</v>
      </c>
      <c r="I75" s="6" t="s">
        <v>490</v>
      </c>
      <c r="J75" s="6" t="s">
        <v>188</v>
      </c>
      <c r="K75" s="6" t="s">
        <v>188</v>
      </c>
      <c r="L75" s="6" t="s">
        <v>128</v>
      </c>
      <c r="M75" s="7" t="str">
        <f t="shared" si="18"/>
        <v>Corporate</v>
      </c>
      <c r="N75" s="6" t="s">
        <v>62</v>
      </c>
      <c r="O75" s="7" t="str">
        <f t="shared" si="19"/>
        <v>East</v>
      </c>
      <c r="P75" s="6" t="s">
        <v>141</v>
      </c>
      <c r="Q75" s="6" t="s">
        <v>142</v>
      </c>
      <c r="R75" s="6" t="s">
        <v>65</v>
      </c>
      <c r="S75" s="7" t="str">
        <f t="shared" si="20"/>
        <v>Furniture</v>
      </c>
      <c r="T75" s="6" t="s">
        <v>224</v>
      </c>
      <c r="U75" s="6" t="s">
        <v>491</v>
      </c>
      <c r="V75" s="6" t="s">
        <v>76</v>
      </c>
      <c r="W75" s="7" t="str">
        <f t="shared" si="21"/>
        <v>First Class</v>
      </c>
      <c r="X75" s="6">
        <v>5</v>
      </c>
      <c r="Y75" s="6">
        <v>1425.74</v>
      </c>
      <c r="Z75" s="6">
        <v>0</v>
      </c>
      <c r="AA75" s="6">
        <f t="shared" si="23"/>
        <v>0</v>
      </c>
      <c r="AB75" s="6" t="str">
        <f t="shared" si="24"/>
        <v>Valid</v>
      </c>
      <c r="AC75" s="6">
        <v>7128.7</v>
      </c>
      <c r="AD75" s="6" t="str">
        <f>IF(OR(AO75="Cancelled",AM75="Failed"),"Exclude from Completed Sales","Include in Completed Sales")</f>
        <v>Include in Completed Sales</v>
      </c>
      <c r="AE75" s="6">
        <f t="shared" si="25"/>
        <v>7128.7</v>
      </c>
      <c r="AF75" s="6" t="str">
        <f t="shared" si="26"/>
        <v/>
      </c>
      <c r="AG75" s="6">
        <v>4382.1499999999996</v>
      </c>
      <c r="AH75" s="6">
        <v>2746.55</v>
      </c>
      <c r="AI75" s="6">
        <f t="shared" si="27"/>
        <v>2746.55</v>
      </c>
      <c r="AJ75" s="11">
        <f t="shared" si="28"/>
        <v>0.38528062620113068</v>
      </c>
      <c r="AK75" s="11" t="str">
        <f t="shared" si="29"/>
        <v>March</v>
      </c>
      <c r="AL75" s="12">
        <f t="shared" si="30"/>
        <v>2025</v>
      </c>
      <c r="AM75" s="6" t="s">
        <v>54</v>
      </c>
      <c r="AN75" s="6" t="s">
        <v>55</v>
      </c>
      <c r="AO75" s="6" t="str">
        <f t="shared" si="22"/>
        <v>Completed</v>
      </c>
    </row>
    <row r="76" spans="1:41">
      <c r="A76" s="6" t="s">
        <v>492</v>
      </c>
      <c r="B76" s="7" t="s">
        <v>493</v>
      </c>
      <c r="C76" s="8">
        <v>45715</v>
      </c>
      <c r="D76" s="7" t="s">
        <v>494</v>
      </c>
      <c r="E76" s="9">
        <v>45717</v>
      </c>
      <c r="F76" s="9" t="str">
        <f t="shared" si="15"/>
        <v>Valid</v>
      </c>
      <c r="G76" s="10">
        <f t="shared" si="16"/>
        <v>2</v>
      </c>
      <c r="H76" s="10" t="str">
        <f t="shared" si="17"/>
        <v>Valid</v>
      </c>
      <c r="I76" s="6" t="s">
        <v>495</v>
      </c>
      <c r="J76" s="6" t="s">
        <v>103</v>
      </c>
      <c r="K76" s="6" t="s">
        <v>103</v>
      </c>
      <c r="L76" s="6" t="s">
        <v>61</v>
      </c>
      <c r="M76" s="7" t="str">
        <f t="shared" si="18"/>
        <v>Small Business</v>
      </c>
      <c r="N76" s="6" t="s">
        <v>62</v>
      </c>
      <c r="O76" s="7" t="str">
        <f t="shared" si="19"/>
        <v>East</v>
      </c>
      <c r="P76" s="6" t="s">
        <v>141</v>
      </c>
      <c r="Q76" s="6" t="s">
        <v>142</v>
      </c>
      <c r="R76" s="6" t="s">
        <v>65</v>
      </c>
      <c r="S76" s="7" t="str">
        <f t="shared" si="20"/>
        <v>Furniture</v>
      </c>
      <c r="T76" s="6" t="s">
        <v>96</v>
      </c>
      <c r="U76" s="6" t="s">
        <v>496</v>
      </c>
      <c r="V76" s="6" t="s">
        <v>87</v>
      </c>
      <c r="W76" s="7" t="str">
        <f t="shared" si="21"/>
        <v>Standard Class</v>
      </c>
      <c r="X76" s="6">
        <v>6</v>
      </c>
      <c r="Y76" s="6">
        <v>551.64</v>
      </c>
      <c r="Z76" s="6">
        <v>0</v>
      </c>
      <c r="AA76" s="6">
        <f t="shared" si="23"/>
        <v>0</v>
      </c>
      <c r="AB76" s="6" t="str">
        <f t="shared" si="24"/>
        <v>Valid</v>
      </c>
      <c r="AC76" s="6">
        <v>3309.84</v>
      </c>
      <c r="AD76" s="6" t="str">
        <f>IF(OR(AO76="Cancelled",AM76="Failed"),"Exclude from Completed Sales","Include in Completed Sales")</f>
        <v>Include in Completed Sales</v>
      </c>
      <c r="AE76" s="6">
        <f t="shared" si="25"/>
        <v>3309.84</v>
      </c>
      <c r="AF76" s="6" t="str">
        <f t="shared" si="26"/>
        <v/>
      </c>
      <c r="AG76" s="6">
        <v>2671.08</v>
      </c>
      <c r="AH76" s="6">
        <v>638.76</v>
      </c>
      <c r="AI76" s="6">
        <f t="shared" si="27"/>
        <v>638.76000000000022</v>
      </c>
      <c r="AJ76" s="11">
        <f t="shared" si="28"/>
        <v>0.19298818069755644</v>
      </c>
      <c r="AK76" s="11" t="str">
        <f t="shared" si="29"/>
        <v>February</v>
      </c>
      <c r="AL76" s="12">
        <f t="shared" si="30"/>
        <v>2025</v>
      </c>
      <c r="AM76" s="6" t="s">
        <v>54</v>
      </c>
      <c r="AN76" s="6" t="s">
        <v>55</v>
      </c>
      <c r="AO76" s="6" t="str">
        <f t="shared" si="22"/>
        <v>Completed</v>
      </c>
    </row>
    <row r="77" spans="1:41">
      <c r="A77" s="6" t="s">
        <v>497</v>
      </c>
      <c r="B77" s="7" t="s">
        <v>498</v>
      </c>
      <c r="C77" s="8">
        <v>45891</v>
      </c>
      <c r="D77" s="7" t="s">
        <v>499</v>
      </c>
      <c r="E77" s="9">
        <v>45896</v>
      </c>
      <c r="F77" s="9" t="str">
        <f t="shared" si="15"/>
        <v>Valid</v>
      </c>
      <c r="G77" s="10">
        <f t="shared" si="16"/>
        <v>5</v>
      </c>
      <c r="H77" s="10" t="str">
        <f t="shared" si="17"/>
        <v>Valid</v>
      </c>
      <c r="I77" s="6" t="s">
        <v>500</v>
      </c>
      <c r="J77" s="6" t="s">
        <v>162</v>
      </c>
      <c r="K77" s="6" t="s">
        <v>162</v>
      </c>
      <c r="L77" s="6" t="s">
        <v>61</v>
      </c>
      <c r="M77" s="7" t="str">
        <f t="shared" si="18"/>
        <v>Small Business</v>
      </c>
      <c r="N77" s="6" t="s">
        <v>62</v>
      </c>
      <c r="O77" s="7" t="str">
        <f t="shared" si="19"/>
        <v>East</v>
      </c>
      <c r="P77" s="6" t="s">
        <v>63</v>
      </c>
      <c r="Q77" s="6" t="s">
        <v>64</v>
      </c>
      <c r="R77" s="6" t="s">
        <v>50</v>
      </c>
      <c r="S77" s="7" t="str">
        <f t="shared" si="20"/>
        <v>Office Supplies</v>
      </c>
      <c r="T77" s="6" t="s">
        <v>129</v>
      </c>
      <c r="U77" s="6" t="s">
        <v>501</v>
      </c>
      <c r="V77" s="6" t="s">
        <v>76</v>
      </c>
      <c r="W77" s="7" t="str">
        <f t="shared" si="21"/>
        <v>First Class</v>
      </c>
      <c r="X77" s="6">
        <v>3</v>
      </c>
      <c r="Y77" s="6">
        <v>3294.82</v>
      </c>
      <c r="Z77" s="6">
        <v>0.2</v>
      </c>
      <c r="AA77" s="6">
        <f t="shared" si="23"/>
        <v>0.2</v>
      </c>
      <c r="AB77" s="6" t="str">
        <f t="shared" si="24"/>
        <v>Valid</v>
      </c>
      <c r="AC77" s="6">
        <v>7907.57</v>
      </c>
      <c r="AD77" s="6" t="str">
        <f>IF(OR(AO77="Cancelled",AM77="Failed"),"Exclude from Completed Sales","Include in Completed Sales")</f>
        <v>Include in Completed Sales</v>
      </c>
      <c r="AE77" s="6">
        <f t="shared" si="25"/>
        <v>7907.5680000000011</v>
      </c>
      <c r="AF77" s="6" t="str">
        <f t="shared" si="26"/>
        <v/>
      </c>
      <c r="AG77" s="6">
        <v>5391.18</v>
      </c>
      <c r="AH77" s="6">
        <v>2516.39</v>
      </c>
      <c r="AI77" s="6">
        <f t="shared" si="27"/>
        <v>2516.3880000000008</v>
      </c>
      <c r="AJ77" s="11">
        <f t="shared" si="28"/>
        <v>0.31822527482533197</v>
      </c>
      <c r="AK77" s="11" t="str">
        <f t="shared" si="29"/>
        <v>August</v>
      </c>
      <c r="AL77" s="12">
        <f t="shared" si="30"/>
        <v>2025</v>
      </c>
      <c r="AM77" s="6" t="s">
        <v>54</v>
      </c>
      <c r="AN77" s="6" t="s">
        <v>55</v>
      </c>
      <c r="AO77" s="6" t="str">
        <f t="shared" si="22"/>
        <v>Completed</v>
      </c>
    </row>
    <row r="78" spans="1:41">
      <c r="A78" s="6" t="s">
        <v>502</v>
      </c>
      <c r="B78" s="7" t="s">
        <v>503</v>
      </c>
      <c r="C78" s="8">
        <v>45599</v>
      </c>
      <c r="D78" s="7" t="s">
        <v>504</v>
      </c>
      <c r="E78" s="9">
        <v>45607</v>
      </c>
      <c r="F78" s="9" t="str">
        <f t="shared" si="15"/>
        <v>Valid</v>
      </c>
      <c r="G78" s="10">
        <f t="shared" si="16"/>
        <v>8</v>
      </c>
      <c r="H78" s="10" t="str">
        <f t="shared" si="17"/>
        <v>Valid</v>
      </c>
      <c r="I78" s="6" t="s">
        <v>505</v>
      </c>
      <c r="J78" s="6" t="s">
        <v>92</v>
      </c>
      <c r="K78" s="6" t="s">
        <v>92</v>
      </c>
      <c r="L78" s="6" t="s">
        <v>128</v>
      </c>
      <c r="M78" s="7" t="str">
        <f t="shared" si="18"/>
        <v>Corporate</v>
      </c>
      <c r="N78" s="6" t="s">
        <v>62</v>
      </c>
      <c r="O78" s="7" t="str">
        <f t="shared" si="19"/>
        <v>East</v>
      </c>
      <c r="P78" s="6" t="s">
        <v>331</v>
      </c>
      <c r="Q78" s="6" t="s">
        <v>332</v>
      </c>
      <c r="R78" s="6" t="s">
        <v>50</v>
      </c>
      <c r="S78" s="7" t="str">
        <f t="shared" si="20"/>
        <v>Office Supplies</v>
      </c>
      <c r="T78" s="6" t="s">
        <v>129</v>
      </c>
      <c r="U78" s="6" t="s">
        <v>506</v>
      </c>
      <c r="V78" s="6" t="s">
        <v>53</v>
      </c>
      <c r="W78" s="7" t="str">
        <f t="shared" si="21"/>
        <v>Second Class</v>
      </c>
      <c r="X78" s="6">
        <v>3</v>
      </c>
      <c r="Y78" s="6">
        <v>3406.27</v>
      </c>
      <c r="Z78" s="6">
        <v>0</v>
      </c>
      <c r="AA78" s="6">
        <f t="shared" si="23"/>
        <v>0</v>
      </c>
      <c r="AB78" s="6" t="str">
        <f t="shared" si="24"/>
        <v>Valid</v>
      </c>
      <c r="AC78" s="6">
        <v>10218.81</v>
      </c>
      <c r="AD78" s="6" t="str">
        <f>IF(OR(AO78="Cancelled",AM78="Failed"),"Exclude from Completed Sales","Include in Completed Sales")</f>
        <v>Include in Completed Sales</v>
      </c>
      <c r="AE78" s="6">
        <f t="shared" si="25"/>
        <v>10218.81</v>
      </c>
      <c r="AF78" s="6" t="str">
        <f t="shared" si="26"/>
        <v/>
      </c>
      <c r="AG78" s="6">
        <v>7616.97</v>
      </c>
      <c r="AH78" s="6">
        <v>2601.84</v>
      </c>
      <c r="AI78" s="6">
        <f t="shared" si="27"/>
        <v>2601.8399999999992</v>
      </c>
      <c r="AJ78" s="11">
        <f t="shared" si="28"/>
        <v>0.2546128169522674</v>
      </c>
      <c r="AK78" s="11" t="str">
        <f t="shared" si="29"/>
        <v>November</v>
      </c>
      <c r="AL78" s="12">
        <f t="shared" si="30"/>
        <v>2024</v>
      </c>
      <c r="AM78" s="6" t="s">
        <v>54</v>
      </c>
      <c r="AN78" s="6" t="s">
        <v>55</v>
      </c>
      <c r="AO78" s="6" t="str">
        <f t="shared" si="22"/>
        <v>Completed</v>
      </c>
    </row>
    <row r="79" spans="1:41">
      <c r="A79" s="6" t="s">
        <v>507</v>
      </c>
      <c r="B79" s="7" t="s">
        <v>508</v>
      </c>
      <c r="C79" s="8">
        <v>45846</v>
      </c>
      <c r="D79" s="7" t="s">
        <v>509</v>
      </c>
      <c r="E79" s="9">
        <v>45850</v>
      </c>
      <c r="F79" s="9" t="str">
        <f t="shared" si="15"/>
        <v>Valid</v>
      </c>
      <c r="G79" s="10">
        <f t="shared" si="16"/>
        <v>4</v>
      </c>
      <c r="H79" s="10" t="str">
        <f t="shared" si="17"/>
        <v>Valid</v>
      </c>
      <c r="I79" s="6" t="s">
        <v>510</v>
      </c>
      <c r="J79" s="6" t="s">
        <v>200</v>
      </c>
      <c r="K79" s="6" t="s">
        <v>200</v>
      </c>
      <c r="L79" s="6" t="s">
        <v>135</v>
      </c>
      <c r="M79" s="7" t="str">
        <f t="shared" si="18"/>
        <v>Home Office</v>
      </c>
      <c r="N79" s="6" t="s">
        <v>47</v>
      </c>
      <c r="O79" s="7" t="str">
        <f t="shared" si="19"/>
        <v>North</v>
      </c>
      <c r="P79" s="6" t="s">
        <v>194</v>
      </c>
      <c r="Q79" s="6" t="s">
        <v>195</v>
      </c>
      <c r="R79" s="6" t="s">
        <v>65</v>
      </c>
      <c r="S79" s="7" t="str">
        <f t="shared" si="20"/>
        <v>Furniture</v>
      </c>
      <c r="T79" s="6" t="s">
        <v>85</v>
      </c>
      <c r="U79" s="6" t="s">
        <v>511</v>
      </c>
      <c r="V79" s="6" t="s">
        <v>87</v>
      </c>
      <c r="W79" s="7" t="str">
        <f t="shared" si="21"/>
        <v>Standard Class</v>
      </c>
      <c r="X79" s="6">
        <v>1</v>
      </c>
      <c r="Y79" s="6">
        <v>2582.1999999999998</v>
      </c>
      <c r="Z79" s="6">
        <v>0.15</v>
      </c>
      <c r="AA79" s="6">
        <f t="shared" si="23"/>
        <v>0.15</v>
      </c>
      <c r="AB79" s="6" t="str">
        <f t="shared" si="24"/>
        <v>Valid</v>
      </c>
      <c r="AC79" s="6">
        <v>2194.87</v>
      </c>
      <c r="AD79" s="6" t="str">
        <f>IF(OR(AO79="Cancelled",AM79="Failed"),"Exclude from Completed Sales","Include in Completed Sales")</f>
        <v>Exclude from Completed Sales</v>
      </c>
      <c r="AE79" s="6">
        <f t="shared" si="25"/>
        <v>2194.87</v>
      </c>
      <c r="AF79" s="6" t="str">
        <f t="shared" si="26"/>
        <v>Refunded</v>
      </c>
      <c r="AG79" s="6">
        <v>1223.17</v>
      </c>
      <c r="AH79" s="6">
        <v>971.7</v>
      </c>
      <c r="AI79" s="6">
        <f t="shared" si="27"/>
        <v>971.69999999999982</v>
      </c>
      <c r="AJ79" s="11">
        <f t="shared" si="28"/>
        <v>0.44271414707932583</v>
      </c>
      <c r="AK79" s="11" t="str">
        <f t="shared" si="29"/>
        <v>July</v>
      </c>
      <c r="AL79" s="12">
        <f t="shared" si="30"/>
        <v>2025</v>
      </c>
      <c r="AM79" s="6" t="s">
        <v>144</v>
      </c>
      <c r="AN79" s="6" t="s">
        <v>98</v>
      </c>
      <c r="AO79" s="6" t="str">
        <f t="shared" si="22"/>
        <v>Cancelled</v>
      </c>
    </row>
    <row r="80" spans="1:41">
      <c r="A80" s="6" t="s">
        <v>512</v>
      </c>
      <c r="B80" s="7" t="s">
        <v>513</v>
      </c>
      <c r="C80" s="8">
        <v>45854</v>
      </c>
      <c r="D80" s="7" t="s">
        <v>514</v>
      </c>
      <c r="E80" s="9">
        <v>45859</v>
      </c>
      <c r="F80" s="9" t="str">
        <f t="shared" si="15"/>
        <v>Valid</v>
      </c>
      <c r="G80" s="10">
        <f t="shared" si="16"/>
        <v>5</v>
      </c>
      <c r="H80" s="10" t="str">
        <f t="shared" si="17"/>
        <v>Valid</v>
      </c>
      <c r="I80" s="6" t="s">
        <v>515</v>
      </c>
      <c r="J80" s="6" t="s">
        <v>188</v>
      </c>
      <c r="K80" s="6" t="s">
        <v>188</v>
      </c>
      <c r="L80" s="6" t="s">
        <v>128</v>
      </c>
      <c r="M80" s="7" t="str">
        <f t="shared" si="18"/>
        <v>Corporate</v>
      </c>
      <c r="N80" s="6" t="s">
        <v>62</v>
      </c>
      <c r="O80" s="7" t="str">
        <f t="shared" si="19"/>
        <v>East</v>
      </c>
      <c r="P80" s="6" t="s">
        <v>141</v>
      </c>
      <c r="Q80" s="6" t="s">
        <v>142</v>
      </c>
      <c r="R80" s="6" t="s">
        <v>65</v>
      </c>
      <c r="S80" s="7" t="str">
        <f t="shared" si="20"/>
        <v>Furniture</v>
      </c>
      <c r="T80" s="6" t="s">
        <v>66</v>
      </c>
      <c r="U80" s="6" t="s">
        <v>516</v>
      </c>
      <c r="V80" s="6" t="s">
        <v>76</v>
      </c>
      <c r="W80" s="7" t="str">
        <f t="shared" si="21"/>
        <v>First Class</v>
      </c>
      <c r="X80" s="6">
        <v>5</v>
      </c>
      <c r="Y80" s="6">
        <v>2129.5100000000002</v>
      </c>
      <c r="Z80" s="6">
        <v>0.15</v>
      </c>
      <c r="AA80" s="6">
        <f t="shared" si="23"/>
        <v>0.15</v>
      </c>
      <c r="AB80" s="6" t="str">
        <f t="shared" si="24"/>
        <v>Valid</v>
      </c>
      <c r="AC80" s="6">
        <v>9050.42</v>
      </c>
      <c r="AD80" s="6" t="str">
        <f>IF(OR(AO80="Cancelled",AM80="Failed"),"Exclude from Completed Sales","Include in Completed Sales")</f>
        <v>Include in Completed Sales</v>
      </c>
      <c r="AE80" s="6">
        <f t="shared" si="25"/>
        <v>9050.4175000000014</v>
      </c>
      <c r="AF80" s="6" t="str">
        <f t="shared" si="26"/>
        <v/>
      </c>
      <c r="AG80" s="6">
        <v>6778.85</v>
      </c>
      <c r="AH80" s="6">
        <v>2271.5700000000002</v>
      </c>
      <c r="AI80" s="6">
        <f t="shared" si="27"/>
        <v>2271.567500000001</v>
      </c>
      <c r="AJ80" s="11">
        <f t="shared" si="28"/>
        <v>0.25099035486484472</v>
      </c>
      <c r="AK80" s="11" t="str">
        <f t="shared" si="29"/>
        <v>July</v>
      </c>
      <c r="AL80" s="12">
        <f t="shared" si="30"/>
        <v>2025</v>
      </c>
      <c r="AM80" s="6" t="s">
        <v>54</v>
      </c>
      <c r="AN80" s="6" t="s">
        <v>55</v>
      </c>
      <c r="AO80" s="6" t="str">
        <f t="shared" si="22"/>
        <v>Completed</v>
      </c>
    </row>
    <row r="81" spans="1:41">
      <c r="A81" s="6" t="s">
        <v>517</v>
      </c>
      <c r="B81" s="7" t="s">
        <v>518</v>
      </c>
      <c r="C81" s="8">
        <v>45927</v>
      </c>
      <c r="D81" s="7" t="s">
        <v>519</v>
      </c>
      <c r="E81" s="9">
        <v>45933</v>
      </c>
      <c r="F81" s="9" t="str">
        <f t="shared" si="15"/>
        <v>Valid</v>
      </c>
      <c r="G81" s="10">
        <f t="shared" si="16"/>
        <v>6</v>
      </c>
      <c r="H81" s="10" t="str">
        <f t="shared" si="17"/>
        <v>Valid</v>
      </c>
      <c r="I81" s="6" t="s">
        <v>520</v>
      </c>
      <c r="J81" s="6" t="s">
        <v>230</v>
      </c>
      <c r="K81" s="6" t="s">
        <v>230</v>
      </c>
      <c r="L81" s="6" t="s">
        <v>135</v>
      </c>
      <c r="M81" s="7" t="str">
        <f t="shared" si="18"/>
        <v>Home Office</v>
      </c>
      <c r="N81" s="6" t="s">
        <v>82</v>
      </c>
      <c r="O81" s="7" t="str">
        <f t="shared" si="19"/>
        <v>South</v>
      </c>
      <c r="P81" s="6" t="s">
        <v>359</v>
      </c>
      <c r="Q81" s="6" t="s">
        <v>360</v>
      </c>
      <c r="R81" s="6" t="s">
        <v>65</v>
      </c>
      <c r="S81" s="7" t="str">
        <f t="shared" si="20"/>
        <v>Furniture</v>
      </c>
      <c r="T81" s="6" t="s">
        <v>96</v>
      </c>
      <c r="U81" s="6" t="s">
        <v>521</v>
      </c>
      <c r="V81" s="6" t="s">
        <v>68</v>
      </c>
      <c r="W81" s="7" t="str">
        <f t="shared" si="21"/>
        <v>Same Day</v>
      </c>
      <c r="X81" s="6">
        <v>9</v>
      </c>
      <c r="Y81" s="6">
        <v>4131.5200000000004</v>
      </c>
      <c r="Z81" s="6">
        <v>0.1</v>
      </c>
      <c r="AA81" s="6">
        <f t="shared" si="23"/>
        <v>0.1</v>
      </c>
      <c r="AB81" s="6" t="str">
        <f t="shared" si="24"/>
        <v>Valid</v>
      </c>
      <c r="AC81" s="6">
        <v>33465.31</v>
      </c>
      <c r="AD81" s="6" t="str">
        <f>IF(OR(AO81="Cancelled",AM81="Failed"),"Exclude from Completed Sales","Include in Completed Sales")</f>
        <v>Include in Completed Sales</v>
      </c>
      <c r="AE81" s="6">
        <f t="shared" si="25"/>
        <v>33465.312000000005</v>
      </c>
      <c r="AF81" s="6" t="str">
        <f t="shared" si="26"/>
        <v/>
      </c>
      <c r="AG81" s="6">
        <v>24781.26</v>
      </c>
      <c r="AH81" s="6">
        <v>8684.0499999999993</v>
      </c>
      <c r="AI81" s="6">
        <f t="shared" si="27"/>
        <v>8684.052000000007</v>
      </c>
      <c r="AJ81" s="11">
        <f t="shared" si="28"/>
        <v>0.25949412932411942</v>
      </c>
      <c r="AK81" s="11" t="str">
        <f t="shared" si="29"/>
        <v>September</v>
      </c>
      <c r="AL81" s="12">
        <f t="shared" si="30"/>
        <v>2025</v>
      </c>
      <c r="AM81" s="6" t="s">
        <v>54</v>
      </c>
      <c r="AN81" s="6" t="s">
        <v>55</v>
      </c>
      <c r="AO81" s="6" t="str">
        <f t="shared" si="22"/>
        <v>Completed</v>
      </c>
    </row>
    <row r="82" spans="1:41">
      <c r="A82" s="6" t="s">
        <v>522</v>
      </c>
      <c r="B82" s="7" t="s">
        <v>523</v>
      </c>
      <c r="C82" s="8">
        <v>45514</v>
      </c>
      <c r="D82" s="7" t="s">
        <v>524</v>
      </c>
      <c r="E82" s="9">
        <v>45518</v>
      </c>
      <c r="F82" s="9" t="str">
        <f t="shared" si="15"/>
        <v>Valid</v>
      </c>
      <c r="G82" s="10">
        <f t="shared" si="16"/>
        <v>4</v>
      </c>
      <c r="H82" s="10" t="str">
        <f t="shared" si="17"/>
        <v>Valid</v>
      </c>
      <c r="I82" s="6" t="s">
        <v>525</v>
      </c>
      <c r="J82" s="6" t="s">
        <v>182</v>
      </c>
      <c r="K82" s="6" t="s">
        <v>182</v>
      </c>
      <c r="L82" s="6" t="s">
        <v>61</v>
      </c>
      <c r="M82" s="7" t="str">
        <f t="shared" si="18"/>
        <v>Small Business</v>
      </c>
      <c r="N82" s="6" t="s">
        <v>47</v>
      </c>
      <c r="O82" s="7" t="str">
        <f t="shared" si="19"/>
        <v>North</v>
      </c>
      <c r="P82" s="6" t="s">
        <v>526</v>
      </c>
      <c r="Q82" s="6" t="s">
        <v>527</v>
      </c>
      <c r="R82" s="6" t="s">
        <v>50</v>
      </c>
      <c r="S82" s="7" t="str">
        <f t="shared" si="20"/>
        <v>Office Supplies</v>
      </c>
      <c r="T82" s="6" t="s">
        <v>176</v>
      </c>
      <c r="U82" s="6" t="s">
        <v>528</v>
      </c>
      <c r="V82" s="6" t="s">
        <v>53</v>
      </c>
      <c r="W82" s="7" t="str">
        <f t="shared" si="21"/>
        <v>Second Class</v>
      </c>
      <c r="X82" s="6">
        <v>4</v>
      </c>
      <c r="Y82" s="6">
        <v>1182.32</v>
      </c>
      <c r="Z82" s="6">
        <v>0.1</v>
      </c>
      <c r="AA82" s="6">
        <f t="shared" si="23"/>
        <v>0.1</v>
      </c>
      <c r="AB82" s="6" t="str">
        <f t="shared" si="24"/>
        <v>Valid</v>
      </c>
      <c r="AC82" s="6">
        <v>4256.3500000000004</v>
      </c>
      <c r="AD82" s="6" t="str">
        <f>IF(OR(AO82="Cancelled",AM82="Failed"),"Exclude from Completed Sales","Include in Completed Sales")</f>
        <v>Include in Completed Sales</v>
      </c>
      <c r="AE82" s="6">
        <f t="shared" si="25"/>
        <v>4256.3519999999999</v>
      </c>
      <c r="AF82" s="6" t="str">
        <f t="shared" si="26"/>
        <v/>
      </c>
      <c r="AG82" s="6">
        <v>2495.33</v>
      </c>
      <c r="AH82" s="6">
        <v>1761.02</v>
      </c>
      <c r="AI82" s="6">
        <f t="shared" si="27"/>
        <v>1761.0219999999999</v>
      </c>
      <c r="AJ82" s="11">
        <f t="shared" si="28"/>
        <v>0.41373974708858663</v>
      </c>
      <c r="AK82" s="11" t="str">
        <f t="shared" si="29"/>
        <v>August</v>
      </c>
      <c r="AL82" s="12">
        <f t="shared" si="30"/>
        <v>2024</v>
      </c>
      <c r="AM82" s="6" t="s">
        <v>157</v>
      </c>
      <c r="AN82" s="6" t="s">
        <v>145</v>
      </c>
      <c r="AO82" s="6" t="str">
        <f t="shared" si="22"/>
        <v>Returned</v>
      </c>
    </row>
    <row r="83" spans="1:41">
      <c r="A83" s="6" t="s">
        <v>529</v>
      </c>
      <c r="B83" s="7" t="s">
        <v>530</v>
      </c>
      <c r="C83" s="8">
        <v>45732</v>
      </c>
      <c r="D83" s="7" t="s">
        <v>531</v>
      </c>
      <c r="E83" s="9">
        <v>45733</v>
      </c>
      <c r="F83" s="9" t="str">
        <f t="shared" si="15"/>
        <v>Valid</v>
      </c>
      <c r="G83" s="10">
        <f t="shared" si="16"/>
        <v>1</v>
      </c>
      <c r="H83" s="10" t="str">
        <f t="shared" si="17"/>
        <v>Valid</v>
      </c>
      <c r="I83" s="6" t="s">
        <v>532</v>
      </c>
      <c r="J83" s="6" t="s">
        <v>45</v>
      </c>
      <c r="K83" s="6" t="s">
        <v>45</v>
      </c>
      <c r="L83" s="6" t="s">
        <v>135</v>
      </c>
      <c r="M83" s="7" t="str">
        <f t="shared" si="18"/>
        <v>Home Office</v>
      </c>
      <c r="N83" s="6" t="s">
        <v>93</v>
      </c>
      <c r="O83" s="7" t="str">
        <f t="shared" si="19"/>
        <v>West</v>
      </c>
      <c r="P83" s="6" t="s">
        <v>269</v>
      </c>
      <c r="Q83" s="6" t="s">
        <v>270</v>
      </c>
      <c r="R83" s="6" t="s">
        <v>50</v>
      </c>
      <c r="S83" s="7" t="str">
        <f t="shared" si="20"/>
        <v>Office Supplies</v>
      </c>
      <c r="T83" s="6" t="s">
        <v>129</v>
      </c>
      <c r="U83" s="6" t="s">
        <v>533</v>
      </c>
      <c r="V83" s="6" t="s">
        <v>68</v>
      </c>
      <c r="W83" s="7" t="str">
        <f t="shared" si="21"/>
        <v>Same Day</v>
      </c>
      <c r="X83" s="6">
        <v>3</v>
      </c>
      <c r="Y83" s="6">
        <v>1841.91</v>
      </c>
      <c r="Z83" s="6">
        <v>0</v>
      </c>
      <c r="AA83" s="6">
        <f t="shared" si="23"/>
        <v>0</v>
      </c>
      <c r="AB83" s="6" t="str">
        <f t="shared" si="24"/>
        <v>Valid</v>
      </c>
      <c r="AC83" s="6">
        <v>5525.73</v>
      </c>
      <c r="AD83" s="6" t="str">
        <f>IF(OR(AO83="Cancelled",AM83="Failed"),"Exclude from Completed Sales","Include in Completed Sales")</f>
        <v>Include in Completed Sales</v>
      </c>
      <c r="AE83" s="6">
        <f t="shared" si="25"/>
        <v>5525.7300000000005</v>
      </c>
      <c r="AF83" s="6" t="str">
        <f t="shared" si="26"/>
        <v/>
      </c>
      <c r="AG83" s="6">
        <v>3093.42</v>
      </c>
      <c r="AH83" s="6">
        <v>2432.31</v>
      </c>
      <c r="AI83" s="6">
        <f t="shared" si="27"/>
        <v>2432.3100000000004</v>
      </c>
      <c r="AJ83" s="11">
        <f t="shared" si="28"/>
        <v>0.44017894468242208</v>
      </c>
      <c r="AK83" s="11" t="str">
        <f t="shared" si="29"/>
        <v>March</v>
      </c>
      <c r="AL83" s="12">
        <f t="shared" si="30"/>
        <v>2025</v>
      </c>
      <c r="AM83" s="6" t="s">
        <v>54</v>
      </c>
      <c r="AN83" s="6" t="s">
        <v>55</v>
      </c>
      <c r="AO83" s="6" t="str">
        <f t="shared" si="22"/>
        <v>Completed</v>
      </c>
    </row>
    <row r="84" spans="1:41">
      <c r="A84" s="6" t="s">
        <v>534</v>
      </c>
      <c r="B84" s="7" t="s">
        <v>535</v>
      </c>
      <c r="C84" s="8">
        <v>45507</v>
      </c>
      <c r="D84" s="7" t="s">
        <v>536</v>
      </c>
      <c r="E84" s="9">
        <v>45508</v>
      </c>
      <c r="F84" s="9" t="str">
        <f t="shared" si="15"/>
        <v>Valid</v>
      </c>
      <c r="G84" s="10">
        <f t="shared" si="16"/>
        <v>1</v>
      </c>
      <c r="H84" s="10" t="str">
        <f t="shared" si="17"/>
        <v>Valid</v>
      </c>
      <c r="I84" s="6" t="s">
        <v>537</v>
      </c>
      <c r="J84" s="6" t="s">
        <v>81</v>
      </c>
      <c r="K84" s="6" t="s">
        <v>81</v>
      </c>
      <c r="L84" s="6" t="s">
        <v>46</v>
      </c>
      <c r="M84" s="7" t="str">
        <f t="shared" si="18"/>
        <v>Consumer</v>
      </c>
      <c r="N84" s="6" t="s">
        <v>47</v>
      </c>
      <c r="O84" s="7" t="str">
        <f t="shared" si="19"/>
        <v>North</v>
      </c>
      <c r="P84" s="6" t="s">
        <v>194</v>
      </c>
      <c r="Q84" s="6" t="s">
        <v>195</v>
      </c>
      <c r="R84" s="6" t="s">
        <v>106</v>
      </c>
      <c r="S84" s="7" t="str">
        <f t="shared" si="20"/>
        <v>Technology</v>
      </c>
      <c r="T84" s="6" t="s">
        <v>114</v>
      </c>
      <c r="U84" s="6" t="s">
        <v>538</v>
      </c>
      <c r="V84" s="6" t="s">
        <v>53</v>
      </c>
      <c r="W84" s="7" t="str">
        <f t="shared" si="21"/>
        <v>Second Class</v>
      </c>
      <c r="X84" s="6">
        <v>6</v>
      </c>
      <c r="Y84" s="6">
        <v>1001.73</v>
      </c>
      <c r="Z84" s="6">
        <v>0</v>
      </c>
      <c r="AA84" s="6">
        <f t="shared" si="23"/>
        <v>0</v>
      </c>
      <c r="AB84" s="6" t="str">
        <f t="shared" si="24"/>
        <v>Valid</v>
      </c>
      <c r="AC84" s="6">
        <v>6010.38</v>
      </c>
      <c r="AD84" s="6" t="str">
        <f>IF(OR(AO84="Cancelled",AM84="Failed"),"Exclude from Completed Sales","Include in Completed Sales")</f>
        <v>Exclude from Completed Sales</v>
      </c>
      <c r="AE84" s="6">
        <f t="shared" si="25"/>
        <v>6010.38</v>
      </c>
      <c r="AF84" s="6" t="str">
        <f t="shared" si="26"/>
        <v/>
      </c>
      <c r="AG84" s="6">
        <v>3762.85</v>
      </c>
      <c r="AH84" s="6">
        <v>2247.5300000000002</v>
      </c>
      <c r="AI84" s="6">
        <f t="shared" si="27"/>
        <v>2247.5300000000002</v>
      </c>
      <c r="AJ84" s="11">
        <f t="shared" si="28"/>
        <v>0.37394141468592673</v>
      </c>
      <c r="AK84" s="11" t="str">
        <f t="shared" si="29"/>
        <v>August</v>
      </c>
      <c r="AL84" s="12">
        <f t="shared" si="30"/>
        <v>2024</v>
      </c>
      <c r="AM84" s="6" t="s">
        <v>220</v>
      </c>
      <c r="AN84" s="6" t="s">
        <v>145</v>
      </c>
      <c r="AO84" s="6" t="str">
        <f t="shared" si="22"/>
        <v>Returned</v>
      </c>
    </row>
    <row r="85" spans="1:41">
      <c r="A85" s="6" t="s">
        <v>539</v>
      </c>
      <c r="B85" s="7" t="s">
        <v>383</v>
      </c>
      <c r="C85" s="8">
        <v>45591</v>
      </c>
      <c r="D85" s="7" t="s">
        <v>540</v>
      </c>
      <c r="E85" s="9">
        <v>45594</v>
      </c>
      <c r="F85" s="9" t="str">
        <f t="shared" si="15"/>
        <v>Valid</v>
      </c>
      <c r="G85" s="10">
        <f t="shared" si="16"/>
        <v>3</v>
      </c>
      <c r="H85" s="10" t="str">
        <f t="shared" si="17"/>
        <v>Valid</v>
      </c>
      <c r="I85" s="6" t="s">
        <v>541</v>
      </c>
      <c r="J85" s="6" t="s">
        <v>127</v>
      </c>
      <c r="K85" s="6" t="s">
        <v>127</v>
      </c>
      <c r="L85" s="6" t="s">
        <v>135</v>
      </c>
      <c r="M85" s="7" t="str">
        <f t="shared" si="18"/>
        <v>Home Office</v>
      </c>
      <c r="N85" s="6" t="s">
        <v>93</v>
      </c>
      <c r="O85" s="7" t="str">
        <f t="shared" si="19"/>
        <v>West</v>
      </c>
      <c r="P85" s="6" t="s">
        <v>94</v>
      </c>
      <c r="Q85" s="6" t="s">
        <v>95</v>
      </c>
      <c r="R85" s="6" t="s">
        <v>65</v>
      </c>
      <c r="S85" s="7" t="str">
        <f t="shared" si="20"/>
        <v>Furniture</v>
      </c>
      <c r="T85" s="6" t="s">
        <v>66</v>
      </c>
      <c r="U85" s="6" t="s">
        <v>542</v>
      </c>
      <c r="V85" s="6" t="s">
        <v>53</v>
      </c>
      <c r="W85" s="7" t="str">
        <f t="shared" si="21"/>
        <v>Second Class</v>
      </c>
      <c r="X85" s="6">
        <v>9</v>
      </c>
      <c r="Y85" s="6">
        <v>131.74</v>
      </c>
      <c r="Z85" s="6">
        <v>0.2</v>
      </c>
      <c r="AA85" s="6">
        <f t="shared" si="23"/>
        <v>0.2</v>
      </c>
      <c r="AB85" s="6" t="str">
        <f t="shared" si="24"/>
        <v>Valid</v>
      </c>
      <c r="AC85" s="6">
        <v>948.53</v>
      </c>
      <c r="AD85" s="6" t="str">
        <f>IF(OR(AO85="Cancelled",AM85="Failed"),"Exclude from Completed Sales","Include in Completed Sales")</f>
        <v>Include in Completed Sales</v>
      </c>
      <c r="AE85" s="6">
        <f t="shared" si="25"/>
        <v>948.52800000000013</v>
      </c>
      <c r="AF85" s="6" t="str">
        <f t="shared" si="26"/>
        <v/>
      </c>
      <c r="AG85" s="6">
        <v>674.62</v>
      </c>
      <c r="AH85" s="6">
        <v>273.91000000000003</v>
      </c>
      <c r="AI85" s="6">
        <f t="shared" si="27"/>
        <v>273.90800000000013</v>
      </c>
      <c r="AJ85" s="11">
        <f t="shared" si="28"/>
        <v>0.28877165460587362</v>
      </c>
      <c r="AK85" s="11" t="str">
        <f t="shared" si="29"/>
        <v>October</v>
      </c>
      <c r="AL85" s="12">
        <f t="shared" si="30"/>
        <v>2024</v>
      </c>
      <c r="AM85" s="6" t="s">
        <v>54</v>
      </c>
      <c r="AN85" s="6" t="s">
        <v>55</v>
      </c>
      <c r="AO85" s="6" t="str">
        <f t="shared" si="22"/>
        <v>Completed</v>
      </c>
    </row>
    <row r="86" spans="1:41">
      <c r="A86" s="6" t="s">
        <v>543</v>
      </c>
      <c r="B86" s="7" t="s">
        <v>544</v>
      </c>
      <c r="C86" s="8">
        <v>45566</v>
      </c>
      <c r="D86" s="7" t="s">
        <v>545</v>
      </c>
      <c r="E86" s="9">
        <v>45568</v>
      </c>
      <c r="F86" s="9" t="str">
        <f t="shared" si="15"/>
        <v>Valid</v>
      </c>
      <c r="G86" s="10">
        <f t="shared" si="16"/>
        <v>2</v>
      </c>
      <c r="H86" s="10" t="str">
        <f t="shared" si="17"/>
        <v>Valid</v>
      </c>
      <c r="I86" s="6" t="s">
        <v>546</v>
      </c>
      <c r="J86" s="6" t="s">
        <v>200</v>
      </c>
      <c r="K86" s="6" t="s">
        <v>200</v>
      </c>
      <c r="L86" s="6" t="s">
        <v>128</v>
      </c>
      <c r="M86" s="7" t="str">
        <f t="shared" si="18"/>
        <v>Corporate</v>
      </c>
      <c r="N86" s="6" t="s">
        <v>82</v>
      </c>
      <c r="O86" s="7" t="str">
        <f t="shared" si="19"/>
        <v>South</v>
      </c>
      <c r="P86" s="6" t="s">
        <v>359</v>
      </c>
      <c r="Q86" s="6" t="s">
        <v>360</v>
      </c>
      <c r="R86" s="6" t="s">
        <v>106</v>
      </c>
      <c r="S86" s="7" t="str">
        <f t="shared" si="20"/>
        <v>Technology</v>
      </c>
      <c r="T86" s="6" t="s">
        <v>243</v>
      </c>
      <c r="U86" s="6" t="s">
        <v>547</v>
      </c>
      <c r="V86" s="6" t="s">
        <v>53</v>
      </c>
      <c r="W86" s="7" t="str">
        <f t="shared" si="21"/>
        <v>Second Class</v>
      </c>
      <c r="X86" s="6">
        <v>6</v>
      </c>
      <c r="Y86" s="6">
        <v>570.28</v>
      </c>
      <c r="Z86" s="6">
        <v>0.2</v>
      </c>
      <c r="AA86" s="6">
        <f t="shared" si="23"/>
        <v>0.2</v>
      </c>
      <c r="AB86" s="6" t="str">
        <f t="shared" si="24"/>
        <v>Valid</v>
      </c>
      <c r="AC86" s="6">
        <v>2737.34</v>
      </c>
      <c r="AD86" s="6" t="str">
        <f>IF(OR(AO86="Cancelled",AM86="Failed"),"Exclude from Completed Sales","Include in Completed Sales")</f>
        <v>Include in Completed Sales</v>
      </c>
      <c r="AE86" s="6">
        <f t="shared" si="25"/>
        <v>2737.3440000000001</v>
      </c>
      <c r="AF86" s="6" t="str">
        <f t="shared" si="26"/>
        <v/>
      </c>
      <c r="AG86" s="6">
        <v>2085.44</v>
      </c>
      <c r="AH86" s="6">
        <v>651.9</v>
      </c>
      <c r="AI86" s="6">
        <f t="shared" si="27"/>
        <v>651.904</v>
      </c>
      <c r="AJ86" s="11">
        <f t="shared" si="28"/>
        <v>0.23815201889130486</v>
      </c>
      <c r="AK86" s="11" t="str">
        <f t="shared" si="29"/>
        <v>October</v>
      </c>
      <c r="AL86" s="12">
        <f t="shared" si="30"/>
        <v>2024</v>
      </c>
      <c r="AM86" s="6" t="s">
        <v>54</v>
      </c>
      <c r="AN86" s="6" t="s">
        <v>55</v>
      </c>
      <c r="AO86" s="6" t="str">
        <f t="shared" si="22"/>
        <v>Completed</v>
      </c>
    </row>
    <row r="87" spans="1:41">
      <c r="A87" s="6" t="s">
        <v>548</v>
      </c>
      <c r="B87" s="7" t="s">
        <v>549</v>
      </c>
      <c r="C87" s="8">
        <v>45503</v>
      </c>
      <c r="D87" s="7" t="s">
        <v>550</v>
      </c>
      <c r="E87" s="9">
        <v>45509</v>
      </c>
      <c r="F87" s="9" t="str">
        <f t="shared" si="15"/>
        <v>Valid</v>
      </c>
      <c r="G87" s="10">
        <f t="shared" si="16"/>
        <v>6</v>
      </c>
      <c r="H87" s="10" t="str">
        <f t="shared" si="17"/>
        <v>Valid</v>
      </c>
      <c r="I87" s="6" t="s">
        <v>551</v>
      </c>
      <c r="J87" s="6" t="s">
        <v>386</v>
      </c>
      <c r="K87" s="6" t="s">
        <v>386</v>
      </c>
      <c r="L87" s="6" t="s">
        <v>128</v>
      </c>
      <c r="M87" s="7" t="str">
        <f t="shared" si="18"/>
        <v>Corporate</v>
      </c>
      <c r="N87" s="6" t="s">
        <v>47</v>
      </c>
      <c r="O87" s="7" t="str">
        <f t="shared" si="19"/>
        <v>North</v>
      </c>
      <c r="P87" s="6" t="s">
        <v>526</v>
      </c>
      <c r="Q87" s="6" t="s">
        <v>527</v>
      </c>
      <c r="R87" s="6" t="s">
        <v>50</v>
      </c>
      <c r="S87" s="7" t="str">
        <f t="shared" si="20"/>
        <v>Office Supplies</v>
      </c>
      <c r="T87" s="6" t="s">
        <v>218</v>
      </c>
      <c r="U87" s="6" t="s">
        <v>552</v>
      </c>
      <c r="V87" s="6" t="s">
        <v>87</v>
      </c>
      <c r="W87" s="7" t="str">
        <f t="shared" si="21"/>
        <v>Standard Class</v>
      </c>
      <c r="X87" s="6">
        <v>1</v>
      </c>
      <c r="Y87" s="6">
        <v>608.64</v>
      </c>
      <c r="Z87" s="6">
        <v>0</v>
      </c>
      <c r="AA87" s="6">
        <f t="shared" si="23"/>
        <v>0</v>
      </c>
      <c r="AB87" s="6" t="str">
        <f t="shared" si="24"/>
        <v>Valid</v>
      </c>
      <c r="AC87" s="6">
        <v>608.64</v>
      </c>
      <c r="AD87" s="6" t="str">
        <f>IF(OR(AO87="Cancelled",AM87="Failed"),"Exclude from Completed Sales","Include in Completed Sales")</f>
        <v>Exclude from Completed Sales</v>
      </c>
      <c r="AE87" s="6">
        <f t="shared" si="25"/>
        <v>608.64</v>
      </c>
      <c r="AF87" s="6" t="str">
        <f t="shared" si="26"/>
        <v/>
      </c>
      <c r="AG87" s="6">
        <v>343.99</v>
      </c>
      <c r="AH87" s="6">
        <v>264.64999999999998</v>
      </c>
      <c r="AI87" s="6">
        <f t="shared" si="27"/>
        <v>264.64999999999998</v>
      </c>
      <c r="AJ87" s="11">
        <f t="shared" si="28"/>
        <v>0.43482189800210302</v>
      </c>
      <c r="AK87" s="11" t="str">
        <f t="shared" si="29"/>
        <v>July</v>
      </c>
      <c r="AL87" s="12">
        <f t="shared" si="30"/>
        <v>2024</v>
      </c>
      <c r="AM87" s="6" t="s">
        <v>54</v>
      </c>
      <c r="AN87" s="6" t="s">
        <v>98</v>
      </c>
      <c r="AO87" s="6" t="str">
        <f t="shared" si="22"/>
        <v>Cancelled</v>
      </c>
    </row>
    <row r="88" spans="1:41">
      <c r="A88" s="6" t="s">
        <v>553</v>
      </c>
      <c r="B88" s="7" t="s">
        <v>554</v>
      </c>
      <c r="C88" s="8">
        <v>45474</v>
      </c>
      <c r="D88" s="7" t="s">
        <v>554</v>
      </c>
      <c r="E88" s="9">
        <v>45474</v>
      </c>
      <c r="F88" s="9" t="str">
        <f t="shared" si="15"/>
        <v>Valid</v>
      </c>
      <c r="G88" s="10">
        <f t="shared" si="16"/>
        <v>0</v>
      </c>
      <c r="H88" s="10" t="str">
        <f t="shared" si="17"/>
        <v>Valid</v>
      </c>
      <c r="I88" s="6" t="s">
        <v>555</v>
      </c>
      <c r="J88" s="6" t="s">
        <v>92</v>
      </c>
      <c r="K88" s="6" t="s">
        <v>92</v>
      </c>
      <c r="L88" s="6" t="s">
        <v>61</v>
      </c>
      <c r="M88" s="7" t="str">
        <f t="shared" si="18"/>
        <v>Small Business</v>
      </c>
      <c r="N88" s="6" t="s">
        <v>47</v>
      </c>
      <c r="O88" s="7" t="str">
        <f t="shared" si="19"/>
        <v>North</v>
      </c>
      <c r="P88" s="6" t="s">
        <v>526</v>
      </c>
      <c r="Q88" s="6" t="s">
        <v>527</v>
      </c>
      <c r="R88" s="6" t="s">
        <v>106</v>
      </c>
      <c r="S88" s="7" t="str">
        <f t="shared" si="20"/>
        <v>Technology</v>
      </c>
      <c r="T88" s="6" t="s">
        <v>114</v>
      </c>
      <c r="U88" s="6" t="s">
        <v>556</v>
      </c>
      <c r="V88" s="6" t="s">
        <v>53</v>
      </c>
      <c r="W88" s="7" t="str">
        <f t="shared" si="21"/>
        <v>Second Class</v>
      </c>
      <c r="X88" s="6">
        <v>3</v>
      </c>
      <c r="Y88" s="6">
        <v>885.28</v>
      </c>
      <c r="Z88" s="6">
        <v>0.1</v>
      </c>
      <c r="AA88" s="6">
        <f t="shared" si="23"/>
        <v>0.1</v>
      </c>
      <c r="AB88" s="6" t="str">
        <f t="shared" si="24"/>
        <v>Valid</v>
      </c>
      <c r="AC88" s="6">
        <v>2390.2600000000002</v>
      </c>
      <c r="AD88" s="6" t="str">
        <f>IF(OR(AO88="Cancelled",AM88="Failed"),"Exclude from Completed Sales","Include in Completed Sales")</f>
        <v>Exclude from Completed Sales</v>
      </c>
      <c r="AE88" s="6">
        <f t="shared" si="25"/>
        <v>2390.2560000000003</v>
      </c>
      <c r="AF88" s="6" t="str">
        <f t="shared" si="26"/>
        <v>Refunded</v>
      </c>
      <c r="AG88" s="6">
        <v>1495.94</v>
      </c>
      <c r="AH88" s="6">
        <v>894.32</v>
      </c>
      <c r="AI88" s="6">
        <f t="shared" si="27"/>
        <v>894.31600000000026</v>
      </c>
      <c r="AJ88" s="11">
        <f t="shared" si="28"/>
        <v>0.37415071858411825</v>
      </c>
      <c r="AK88" s="11" t="str">
        <f t="shared" si="29"/>
        <v>July</v>
      </c>
      <c r="AL88" s="12">
        <f t="shared" si="30"/>
        <v>2024</v>
      </c>
      <c r="AM88" s="6" t="s">
        <v>144</v>
      </c>
      <c r="AN88" s="6" t="s">
        <v>98</v>
      </c>
      <c r="AO88" s="6" t="str">
        <f t="shared" si="22"/>
        <v>Cancelled</v>
      </c>
    </row>
    <row r="89" spans="1:41">
      <c r="A89" s="6" t="s">
        <v>557</v>
      </c>
      <c r="B89" s="7" t="s">
        <v>558</v>
      </c>
      <c r="C89" s="8">
        <v>45506</v>
      </c>
      <c r="D89" s="7" t="s">
        <v>535</v>
      </c>
      <c r="E89" s="9">
        <v>45507</v>
      </c>
      <c r="F89" s="9" t="str">
        <f t="shared" si="15"/>
        <v>Valid</v>
      </c>
      <c r="G89" s="10">
        <f t="shared" si="16"/>
        <v>1</v>
      </c>
      <c r="H89" s="10" t="str">
        <f t="shared" si="17"/>
        <v>Valid</v>
      </c>
      <c r="I89" s="6" t="s">
        <v>559</v>
      </c>
      <c r="J89" s="6" t="s">
        <v>103</v>
      </c>
      <c r="K89" s="6" t="s">
        <v>103</v>
      </c>
      <c r="L89" s="6" t="s">
        <v>46</v>
      </c>
      <c r="M89" s="7" t="str">
        <f t="shared" si="18"/>
        <v>Consumer</v>
      </c>
      <c r="N89" s="6" t="s">
        <v>62</v>
      </c>
      <c r="O89" s="7" t="str">
        <f t="shared" si="19"/>
        <v>East</v>
      </c>
      <c r="P89" s="6" t="s">
        <v>236</v>
      </c>
      <c r="Q89" s="6" t="s">
        <v>237</v>
      </c>
      <c r="R89" s="6" t="s">
        <v>50</v>
      </c>
      <c r="S89" s="7" t="str">
        <f t="shared" si="20"/>
        <v>Office Supplies</v>
      </c>
      <c r="T89" s="6" t="s">
        <v>218</v>
      </c>
      <c r="U89" s="6" t="s">
        <v>560</v>
      </c>
      <c r="V89" s="6" t="s">
        <v>87</v>
      </c>
      <c r="W89" s="7" t="str">
        <f t="shared" si="21"/>
        <v>Standard Class</v>
      </c>
      <c r="X89" s="6">
        <v>7</v>
      </c>
      <c r="Y89" s="6">
        <v>3345.22</v>
      </c>
      <c r="Z89" s="6">
        <v>0</v>
      </c>
      <c r="AA89" s="6">
        <f t="shared" si="23"/>
        <v>0</v>
      </c>
      <c r="AB89" s="6" t="str">
        <f t="shared" si="24"/>
        <v>Valid</v>
      </c>
      <c r="AC89" s="6">
        <v>23416.54</v>
      </c>
      <c r="AD89" s="6" t="str">
        <f>IF(OR(AO89="Cancelled",AM89="Failed"),"Exclude from Completed Sales","Include in Completed Sales")</f>
        <v>Include in Completed Sales</v>
      </c>
      <c r="AE89" s="6">
        <f t="shared" si="25"/>
        <v>23416.539999999997</v>
      </c>
      <c r="AF89" s="6" t="str">
        <f t="shared" si="26"/>
        <v/>
      </c>
      <c r="AG89" s="6">
        <v>15490.89</v>
      </c>
      <c r="AH89" s="6">
        <v>7925.65</v>
      </c>
      <c r="AI89" s="6">
        <f t="shared" si="27"/>
        <v>7925.6499999999978</v>
      </c>
      <c r="AJ89" s="11">
        <f t="shared" si="28"/>
        <v>0.33846375254414185</v>
      </c>
      <c r="AK89" s="11" t="str">
        <f t="shared" si="29"/>
        <v>August</v>
      </c>
      <c r="AL89" s="12">
        <f t="shared" si="30"/>
        <v>2024</v>
      </c>
      <c r="AM89" s="6" t="s">
        <v>54</v>
      </c>
      <c r="AN89" s="6" t="s">
        <v>55</v>
      </c>
      <c r="AO89" s="6" t="str">
        <f t="shared" si="22"/>
        <v>Completed</v>
      </c>
    </row>
    <row r="90" spans="1:41">
      <c r="A90" s="6" t="s">
        <v>561</v>
      </c>
      <c r="B90" s="7" t="s">
        <v>562</v>
      </c>
      <c r="C90" s="8">
        <v>45375</v>
      </c>
      <c r="D90" s="7" t="s">
        <v>563</v>
      </c>
      <c r="E90" s="9">
        <v>45378</v>
      </c>
      <c r="F90" s="9" t="str">
        <f t="shared" si="15"/>
        <v>Valid</v>
      </c>
      <c r="G90" s="10">
        <f t="shared" si="16"/>
        <v>3</v>
      </c>
      <c r="H90" s="10" t="str">
        <f t="shared" si="17"/>
        <v>Valid</v>
      </c>
      <c r="I90" s="6" t="s">
        <v>564</v>
      </c>
      <c r="J90" s="6" t="s">
        <v>200</v>
      </c>
      <c r="K90" s="6" t="s">
        <v>200</v>
      </c>
      <c r="L90" s="6" t="s">
        <v>61</v>
      </c>
      <c r="M90" s="7" t="str">
        <f t="shared" si="18"/>
        <v>Small Business</v>
      </c>
      <c r="N90" s="6" t="s">
        <v>93</v>
      </c>
      <c r="O90" s="7" t="str">
        <f t="shared" si="19"/>
        <v>West</v>
      </c>
      <c r="P90" s="6" t="s">
        <v>94</v>
      </c>
      <c r="Q90" s="6" t="s">
        <v>95</v>
      </c>
      <c r="R90" s="6" t="s">
        <v>65</v>
      </c>
      <c r="S90" s="7" t="str">
        <f t="shared" si="20"/>
        <v>Furniture</v>
      </c>
      <c r="T90" s="6" t="s">
        <v>224</v>
      </c>
      <c r="U90" s="6" t="s">
        <v>565</v>
      </c>
      <c r="V90" s="6" t="s">
        <v>87</v>
      </c>
      <c r="W90" s="7" t="str">
        <f t="shared" si="21"/>
        <v>Standard Class</v>
      </c>
      <c r="X90" s="6">
        <v>2</v>
      </c>
      <c r="Y90" s="6">
        <v>3284.75</v>
      </c>
      <c r="Z90" s="6">
        <v>0.05</v>
      </c>
      <c r="AA90" s="6">
        <f t="shared" si="23"/>
        <v>0.05</v>
      </c>
      <c r="AB90" s="6" t="str">
        <f t="shared" si="24"/>
        <v>Valid</v>
      </c>
      <c r="AC90" s="6">
        <v>6241.02</v>
      </c>
      <c r="AD90" s="6" t="str">
        <f>IF(OR(AO90="Cancelled",AM90="Failed"),"Exclude from Completed Sales","Include in Completed Sales")</f>
        <v>Include in Completed Sales</v>
      </c>
      <c r="AE90" s="6">
        <f t="shared" si="25"/>
        <v>6241.0249999999996</v>
      </c>
      <c r="AF90" s="6" t="str">
        <f t="shared" si="26"/>
        <v/>
      </c>
      <c r="AG90" s="6">
        <v>5345.88</v>
      </c>
      <c r="AH90" s="6">
        <v>895.14</v>
      </c>
      <c r="AI90" s="6">
        <f t="shared" si="27"/>
        <v>895.14499999999953</v>
      </c>
      <c r="AJ90" s="11">
        <f t="shared" si="28"/>
        <v>0.14342916427990587</v>
      </c>
      <c r="AK90" s="11" t="str">
        <f t="shared" si="29"/>
        <v>March</v>
      </c>
      <c r="AL90" s="12">
        <f t="shared" si="30"/>
        <v>2024</v>
      </c>
      <c r="AM90" s="6" t="s">
        <v>54</v>
      </c>
      <c r="AN90" s="6" t="s">
        <v>55</v>
      </c>
      <c r="AO90" s="6" t="str">
        <f t="shared" si="22"/>
        <v>Completed</v>
      </c>
    </row>
    <row r="91" spans="1:41">
      <c r="A91" s="6" t="s">
        <v>566</v>
      </c>
      <c r="B91" s="7" t="s">
        <v>58</v>
      </c>
      <c r="C91" s="8">
        <v>45540</v>
      </c>
      <c r="D91" s="7" t="s">
        <v>58</v>
      </c>
      <c r="E91" s="9">
        <v>45540</v>
      </c>
      <c r="F91" s="9" t="str">
        <f t="shared" si="15"/>
        <v>Valid</v>
      </c>
      <c r="G91" s="10">
        <f t="shared" si="16"/>
        <v>0</v>
      </c>
      <c r="H91" s="10" t="str">
        <f t="shared" si="17"/>
        <v>Valid</v>
      </c>
      <c r="I91" s="6" t="s">
        <v>567</v>
      </c>
      <c r="J91" s="6" t="s">
        <v>386</v>
      </c>
      <c r="K91" s="6" t="s">
        <v>386</v>
      </c>
      <c r="L91" s="6" t="s">
        <v>46</v>
      </c>
      <c r="M91" s="7" t="str">
        <f t="shared" si="18"/>
        <v>Consumer</v>
      </c>
      <c r="N91" s="6" t="s">
        <v>82</v>
      </c>
      <c r="O91" s="7" t="str">
        <f t="shared" si="19"/>
        <v>South</v>
      </c>
      <c r="P91" s="6" t="s">
        <v>120</v>
      </c>
      <c r="Q91" s="6" t="s">
        <v>121</v>
      </c>
      <c r="R91" s="6" t="s">
        <v>65</v>
      </c>
      <c r="S91" s="7" t="str">
        <f t="shared" si="20"/>
        <v>Furniture</v>
      </c>
      <c r="T91" s="6" t="s">
        <v>224</v>
      </c>
      <c r="U91" s="6" t="s">
        <v>568</v>
      </c>
      <c r="V91" s="6" t="s">
        <v>87</v>
      </c>
      <c r="W91" s="7" t="str">
        <f t="shared" si="21"/>
        <v>Standard Class</v>
      </c>
      <c r="X91" s="6">
        <v>7</v>
      </c>
      <c r="Y91" s="6">
        <v>3761.09</v>
      </c>
      <c r="Z91" s="6">
        <v>0.2</v>
      </c>
      <c r="AA91" s="6">
        <f t="shared" si="23"/>
        <v>0.2</v>
      </c>
      <c r="AB91" s="6" t="str">
        <f t="shared" si="24"/>
        <v>Valid</v>
      </c>
      <c r="AC91" s="6">
        <v>21062.1</v>
      </c>
      <c r="AD91" s="6" t="str">
        <f>IF(OR(AO91="Cancelled",AM91="Failed"),"Exclude from Completed Sales","Include in Completed Sales")</f>
        <v>Exclude from Completed Sales</v>
      </c>
      <c r="AE91" s="6">
        <f t="shared" si="25"/>
        <v>21062.104000000003</v>
      </c>
      <c r="AF91" s="6" t="str">
        <f t="shared" si="26"/>
        <v/>
      </c>
      <c r="AG91" s="6">
        <v>12057.13</v>
      </c>
      <c r="AH91" s="6">
        <v>9004.9699999999993</v>
      </c>
      <c r="AI91" s="6">
        <f t="shared" si="27"/>
        <v>9004.9740000000038</v>
      </c>
      <c r="AJ91" s="11">
        <f t="shared" si="28"/>
        <v>0.42754389589947911</v>
      </c>
      <c r="AK91" s="11" t="str">
        <f t="shared" si="29"/>
        <v>September</v>
      </c>
      <c r="AL91" s="12">
        <f t="shared" si="30"/>
        <v>2024</v>
      </c>
      <c r="AM91" s="6" t="s">
        <v>157</v>
      </c>
      <c r="AN91" s="6" t="s">
        <v>98</v>
      </c>
      <c r="AO91" s="6" t="str">
        <f t="shared" si="22"/>
        <v>Cancelled</v>
      </c>
    </row>
    <row r="92" spans="1:41">
      <c r="A92" s="6" t="s">
        <v>569</v>
      </c>
      <c r="B92" s="7" t="s">
        <v>570</v>
      </c>
      <c r="C92" s="8">
        <v>45893</v>
      </c>
      <c r="D92" s="7" t="s">
        <v>89</v>
      </c>
      <c r="E92" s="9">
        <v>45898</v>
      </c>
      <c r="F92" s="9" t="str">
        <f t="shared" si="15"/>
        <v>Valid</v>
      </c>
      <c r="G92" s="10">
        <f t="shared" si="16"/>
        <v>5</v>
      </c>
      <c r="H92" s="10" t="str">
        <f t="shared" si="17"/>
        <v>Valid</v>
      </c>
      <c r="I92" s="6" t="s">
        <v>571</v>
      </c>
      <c r="J92" s="6" t="s">
        <v>182</v>
      </c>
      <c r="K92" s="6" t="s">
        <v>182</v>
      </c>
      <c r="L92" s="6" t="s">
        <v>61</v>
      </c>
      <c r="M92" s="7" t="str">
        <f t="shared" si="18"/>
        <v>Small Business</v>
      </c>
      <c r="N92" s="6" t="s">
        <v>62</v>
      </c>
      <c r="O92" s="7" t="str">
        <f t="shared" si="19"/>
        <v>East</v>
      </c>
      <c r="P92" s="6" t="s">
        <v>206</v>
      </c>
      <c r="Q92" s="6" t="s">
        <v>207</v>
      </c>
      <c r="R92" s="6" t="s">
        <v>106</v>
      </c>
      <c r="S92" s="7" t="str">
        <f t="shared" si="20"/>
        <v>Technology</v>
      </c>
      <c r="T92" s="6" t="s">
        <v>114</v>
      </c>
      <c r="U92" s="6" t="s">
        <v>572</v>
      </c>
      <c r="V92" s="6" t="s">
        <v>76</v>
      </c>
      <c r="W92" s="7" t="str">
        <f t="shared" si="21"/>
        <v>First Class</v>
      </c>
      <c r="X92" s="6">
        <v>3</v>
      </c>
      <c r="Y92" s="6">
        <v>3703.96</v>
      </c>
      <c r="Z92" s="6">
        <v>0.15</v>
      </c>
      <c r="AA92" s="6">
        <f t="shared" si="23"/>
        <v>0.15</v>
      </c>
      <c r="AB92" s="6" t="str">
        <f t="shared" si="24"/>
        <v>Valid</v>
      </c>
      <c r="AC92" s="6">
        <v>9445.1</v>
      </c>
      <c r="AD92" s="6" t="str">
        <f>IF(OR(AO92="Cancelled",AM92="Failed"),"Exclude from Completed Sales","Include in Completed Sales")</f>
        <v>Include in Completed Sales</v>
      </c>
      <c r="AE92" s="6">
        <f t="shared" si="25"/>
        <v>9445.098</v>
      </c>
      <c r="AF92" s="6" t="str">
        <f t="shared" si="26"/>
        <v/>
      </c>
      <c r="AG92" s="6">
        <v>5586.28</v>
      </c>
      <c r="AH92" s="6">
        <v>3858.82</v>
      </c>
      <c r="AI92" s="6">
        <f t="shared" si="27"/>
        <v>3858.8180000000002</v>
      </c>
      <c r="AJ92" s="11">
        <f t="shared" si="28"/>
        <v>0.40855245758170006</v>
      </c>
      <c r="AK92" s="11" t="str">
        <f t="shared" si="29"/>
        <v>August</v>
      </c>
      <c r="AL92" s="12">
        <f t="shared" si="30"/>
        <v>2025</v>
      </c>
      <c r="AM92" s="6" t="s">
        <v>54</v>
      </c>
      <c r="AN92" s="6" t="s">
        <v>55</v>
      </c>
      <c r="AO92" s="6" t="str">
        <f t="shared" si="22"/>
        <v>Completed</v>
      </c>
    </row>
    <row r="93" spans="1:41">
      <c r="A93" s="6" t="s">
        <v>573</v>
      </c>
      <c r="B93" s="7" t="s">
        <v>574</v>
      </c>
      <c r="C93" s="8">
        <v>45718</v>
      </c>
      <c r="D93" s="7" t="s">
        <v>575</v>
      </c>
      <c r="E93" s="9">
        <v>45724</v>
      </c>
      <c r="F93" s="9" t="str">
        <f t="shared" si="15"/>
        <v>Valid</v>
      </c>
      <c r="G93" s="10">
        <f t="shared" si="16"/>
        <v>6</v>
      </c>
      <c r="H93" s="10" t="str">
        <f t="shared" si="17"/>
        <v>Valid</v>
      </c>
      <c r="I93" s="6" t="s">
        <v>576</v>
      </c>
      <c r="J93" s="6" t="s">
        <v>188</v>
      </c>
      <c r="K93" s="6" t="s">
        <v>188</v>
      </c>
      <c r="L93" s="6" t="s">
        <v>128</v>
      </c>
      <c r="M93" s="7" t="str">
        <f t="shared" si="18"/>
        <v>Corporate</v>
      </c>
      <c r="N93" s="6" t="s">
        <v>93</v>
      </c>
      <c r="O93" s="7" t="str">
        <f t="shared" si="19"/>
        <v>West</v>
      </c>
      <c r="P93" s="6" t="s">
        <v>104</v>
      </c>
      <c r="Q93" s="6" t="s">
        <v>105</v>
      </c>
      <c r="R93" s="6" t="s">
        <v>106</v>
      </c>
      <c r="S93" s="7" t="str">
        <f t="shared" si="20"/>
        <v>Technology</v>
      </c>
      <c r="T93" s="6" t="s">
        <v>114</v>
      </c>
      <c r="U93" s="6" t="s">
        <v>577</v>
      </c>
      <c r="V93" s="6" t="s">
        <v>53</v>
      </c>
      <c r="W93" s="7" t="str">
        <f t="shared" si="21"/>
        <v>Second Class</v>
      </c>
      <c r="X93" s="6">
        <v>9</v>
      </c>
      <c r="Y93" s="6">
        <v>269.68</v>
      </c>
      <c r="Z93" s="6">
        <v>0</v>
      </c>
      <c r="AA93" s="6">
        <f t="shared" si="23"/>
        <v>0</v>
      </c>
      <c r="AB93" s="6" t="str">
        <f t="shared" si="24"/>
        <v>Valid</v>
      </c>
      <c r="AC93" s="6">
        <v>2427.12</v>
      </c>
      <c r="AD93" s="6" t="str">
        <f>IF(OR(AO93="Cancelled",AM93="Failed"),"Exclude from Completed Sales","Include in Completed Sales")</f>
        <v>Include in Completed Sales</v>
      </c>
      <c r="AE93" s="6">
        <f t="shared" si="25"/>
        <v>2427.12</v>
      </c>
      <c r="AF93" s="6" t="str">
        <f t="shared" si="26"/>
        <v/>
      </c>
      <c r="AG93" s="6">
        <v>1538.35</v>
      </c>
      <c r="AH93" s="6">
        <v>804.53</v>
      </c>
      <c r="AI93" s="6">
        <f t="shared" si="27"/>
        <v>888.77</v>
      </c>
      <c r="AJ93" s="11">
        <f t="shared" si="28"/>
        <v>0.36618296581957216</v>
      </c>
      <c r="AK93" s="11" t="str">
        <f t="shared" si="29"/>
        <v>March</v>
      </c>
      <c r="AL93" s="12">
        <f t="shared" si="30"/>
        <v>2025</v>
      </c>
      <c r="AM93" s="6" t="s">
        <v>54</v>
      </c>
      <c r="AN93" s="6" t="s">
        <v>55</v>
      </c>
      <c r="AO93" s="6" t="str">
        <f t="shared" si="22"/>
        <v>Completed</v>
      </c>
    </row>
    <row r="94" spans="1:41">
      <c r="A94" s="6" t="s">
        <v>578</v>
      </c>
      <c r="B94" s="7" t="s">
        <v>204</v>
      </c>
      <c r="C94" s="8">
        <v>45680</v>
      </c>
      <c r="D94" s="7" t="s">
        <v>579</v>
      </c>
      <c r="E94" s="9">
        <v>45683</v>
      </c>
      <c r="F94" s="9" t="str">
        <f t="shared" si="15"/>
        <v>Valid</v>
      </c>
      <c r="G94" s="10">
        <f t="shared" si="16"/>
        <v>3</v>
      </c>
      <c r="H94" s="10" t="str">
        <f t="shared" si="17"/>
        <v>Valid</v>
      </c>
      <c r="I94" s="6" t="s">
        <v>580</v>
      </c>
      <c r="J94" s="6" t="s">
        <v>182</v>
      </c>
      <c r="K94" s="6" t="s">
        <v>182</v>
      </c>
      <c r="L94" s="6" t="s">
        <v>46</v>
      </c>
      <c r="M94" s="7" t="str">
        <f t="shared" si="18"/>
        <v>Consumer</v>
      </c>
      <c r="N94" s="6" t="s">
        <v>93</v>
      </c>
      <c r="O94" s="7" t="str">
        <f t="shared" si="19"/>
        <v>West</v>
      </c>
      <c r="P94" s="6" t="s">
        <v>104</v>
      </c>
      <c r="Q94" s="6" t="s">
        <v>105</v>
      </c>
      <c r="R94" s="6" t="s">
        <v>50</v>
      </c>
      <c r="S94" s="7" t="str">
        <f t="shared" si="20"/>
        <v>Office Supplies</v>
      </c>
      <c r="T94" s="6" t="s">
        <v>51</v>
      </c>
      <c r="U94" s="6" t="s">
        <v>581</v>
      </c>
      <c r="V94" s="6" t="s">
        <v>87</v>
      </c>
      <c r="W94" s="7" t="str">
        <f t="shared" si="21"/>
        <v>Standard Class</v>
      </c>
      <c r="X94" s="6">
        <v>9</v>
      </c>
      <c r="Y94" s="6">
        <v>4458.26</v>
      </c>
      <c r="Z94" s="6">
        <v>0.1</v>
      </c>
      <c r="AA94" s="6">
        <f t="shared" si="23"/>
        <v>0.1</v>
      </c>
      <c r="AB94" s="6" t="str">
        <f t="shared" si="24"/>
        <v>Valid</v>
      </c>
      <c r="AC94" s="6">
        <v>36111.910000000003</v>
      </c>
      <c r="AD94" s="6" t="str">
        <f>IF(OR(AO94="Cancelled",AM94="Failed"),"Exclude from Completed Sales","Include in Completed Sales")</f>
        <v>Include in Completed Sales</v>
      </c>
      <c r="AE94" s="6">
        <f t="shared" si="25"/>
        <v>36111.906000000003</v>
      </c>
      <c r="AF94" s="6" t="str">
        <f t="shared" si="26"/>
        <v/>
      </c>
      <c r="AG94" s="6">
        <v>29194.5</v>
      </c>
      <c r="AH94" s="6">
        <v>6917.41</v>
      </c>
      <c r="AI94" s="6">
        <f t="shared" si="27"/>
        <v>6917.4060000000027</v>
      </c>
      <c r="AJ94" s="11">
        <f t="shared" si="28"/>
        <v>0.19155471882320479</v>
      </c>
      <c r="AK94" s="11" t="str">
        <f t="shared" si="29"/>
        <v>January</v>
      </c>
      <c r="AL94" s="12">
        <f t="shared" si="30"/>
        <v>2025</v>
      </c>
      <c r="AM94" s="6" t="s">
        <v>54</v>
      </c>
      <c r="AN94" s="6" t="s">
        <v>55</v>
      </c>
      <c r="AO94" s="6" t="str">
        <f t="shared" si="22"/>
        <v>Completed</v>
      </c>
    </row>
    <row r="95" spans="1:41">
      <c r="A95" s="6" t="s">
        <v>582</v>
      </c>
      <c r="B95" s="7" t="s">
        <v>185</v>
      </c>
      <c r="C95" s="8">
        <v>45298</v>
      </c>
      <c r="D95" s="7" t="s">
        <v>583</v>
      </c>
      <c r="E95" s="9">
        <v>45304</v>
      </c>
      <c r="F95" s="9" t="str">
        <f t="shared" si="15"/>
        <v>Valid</v>
      </c>
      <c r="G95" s="10">
        <f t="shared" si="16"/>
        <v>6</v>
      </c>
      <c r="H95" s="10" t="str">
        <f t="shared" si="17"/>
        <v>Valid</v>
      </c>
      <c r="I95" s="6" t="s">
        <v>584</v>
      </c>
      <c r="J95" s="6" t="s">
        <v>200</v>
      </c>
      <c r="K95" s="6" t="s">
        <v>200</v>
      </c>
      <c r="L95" s="6" t="s">
        <v>128</v>
      </c>
      <c r="M95" s="7" t="str">
        <f t="shared" si="18"/>
        <v>Corporate</v>
      </c>
      <c r="N95" s="6" t="s">
        <v>47</v>
      </c>
      <c r="O95" s="7" t="str">
        <f t="shared" si="19"/>
        <v>North</v>
      </c>
      <c r="P95" s="6" t="s">
        <v>194</v>
      </c>
      <c r="Q95" s="6" t="s">
        <v>195</v>
      </c>
      <c r="R95" s="6" t="s">
        <v>50</v>
      </c>
      <c r="S95" s="7" t="str">
        <f t="shared" si="20"/>
        <v>Office Supplies</v>
      </c>
      <c r="T95" s="6" t="s">
        <v>218</v>
      </c>
      <c r="U95" s="6" t="s">
        <v>585</v>
      </c>
      <c r="V95" s="6" t="s">
        <v>87</v>
      </c>
      <c r="W95" s="7" t="str">
        <f t="shared" si="21"/>
        <v>Standard Class</v>
      </c>
      <c r="X95" s="6">
        <v>7</v>
      </c>
      <c r="Y95" s="6">
        <v>2788.97</v>
      </c>
      <c r="Z95" s="6">
        <v>-0.09</v>
      </c>
      <c r="AA95" s="6">
        <f t="shared" si="23"/>
        <v>-0.09</v>
      </c>
      <c r="AB95" s="6" t="str">
        <f t="shared" si="24"/>
        <v>Invalid - Negative Discount</v>
      </c>
      <c r="AC95" s="6">
        <v>19522.79</v>
      </c>
      <c r="AD95" s="6" t="str">
        <f>IF(OR(AO95="Cancelled",AM95="Failed"),"Exclude from Completed Sales","Include in Completed Sales")</f>
        <v>Include in Completed Sales</v>
      </c>
      <c r="AE95" s="6">
        <f t="shared" si="25"/>
        <v>21279.841099999998</v>
      </c>
      <c r="AF95" s="6" t="str">
        <f t="shared" si="26"/>
        <v/>
      </c>
      <c r="AG95" s="6">
        <v>12455.78</v>
      </c>
      <c r="AH95" s="6">
        <v>7067.01</v>
      </c>
      <c r="AI95" s="6">
        <f t="shared" si="27"/>
        <v>8824.0610999999972</v>
      </c>
      <c r="AJ95" s="11">
        <f t="shared" si="28"/>
        <v>0.41466762174272054</v>
      </c>
      <c r="AK95" s="11" t="str">
        <f t="shared" si="29"/>
        <v>January</v>
      </c>
      <c r="AL95" s="12">
        <f t="shared" si="30"/>
        <v>2024</v>
      </c>
      <c r="AM95" s="6" t="s">
        <v>54</v>
      </c>
      <c r="AN95" s="6" t="s">
        <v>55</v>
      </c>
      <c r="AO95" s="6" t="str">
        <f t="shared" si="22"/>
        <v>Completed</v>
      </c>
    </row>
    <row r="96" spans="1:41">
      <c r="A96" s="6" t="s">
        <v>586</v>
      </c>
      <c r="B96" s="7" t="s">
        <v>587</v>
      </c>
      <c r="C96" s="8">
        <v>45541</v>
      </c>
      <c r="D96" s="7" t="s">
        <v>588</v>
      </c>
      <c r="E96" s="9">
        <v>45544</v>
      </c>
      <c r="F96" s="9" t="str">
        <f t="shared" si="15"/>
        <v>Valid</v>
      </c>
      <c r="G96" s="10">
        <f t="shared" si="16"/>
        <v>3</v>
      </c>
      <c r="H96" s="10" t="str">
        <f t="shared" si="17"/>
        <v>Valid</v>
      </c>
      <c r="I96" s="6" t="s">
        <v>589</v>
      </c>
      <c r="J96" s="6" t="s">
        <v>230</v>
      </c>
      <c r="K96" s="6" t="s">
        <v>230</v>
      </c>
      <c r="L96" s="6" t="s">
        <v>46</v>
      </c>
      <c r="M96" s="7" t="str">
        <f t="shared" si="18"/>
        <v>Consumer</v>
      </c>
      <c r="N96" s="6" t="s">
        <v>47</v>
      </c>
      <c r="O96" s="7" t="str">
        <f t="shared" si="19"/>
        <v>North</v>
      </c>
      <c r="P96" s="6" t="s">
        <v>343</v>
      </c>
      <c r="Q96" s="6" t="s">
        <v>344</v>
      </c>
      <c r="R96" s="6" t="s">
        <v>106</v>
      </c>
      <c r="S96" s="7" t="str">
        <f t="shared" si="20"/>
        <v>Technology</v>
      </c>
      <c r="T96" s="6" t="s">
        <v>243</v>
      </c>
      <c r="U96" s="6" t="s">
        <v>590</v>
      </c>
      <c r="V96" s="6" t="s">
        <v>53</v>
      </c>
      <c r="W96" s="7" t="str">
        <f t="shared" si="21"/>
        <v>Second Class</v>
      </c>
      <c r="X96" s="6">
        <v>7</v>
      </c>
      <c r="Y96" s="6">
        <v>3781.53</v>
      </c>
      <c r="Z96" s="6">
        <v>0</v>
      </c>
      <c r="AA96" s="6">
        <f t="shared" si="23"/>
        <v>0</v>
      </c>
      <c r="AB96" s="6" t="str">
        <f t="shared" si="24"/>
        <v>Valid</v>
      </c>
      <c r="AC96" s="6">
        <v>26470.71</v>
      </c>
      <c r="AD96" s="6" t="str">
        <f>IF(OR(AO96="Cancelled",AM96="Failed"),"Exclude from Completed Sales","Include in Completed Sales")</f>
        <v>Exclude from Completed Sales</v>
      </c>
      <c r="AE96" s="6">
        <f t="shared" si="25"/>
        <v>26470.710000000003</v>
      </c>
      <c r="AF96" s="6" t="str">
        <f t="shared" si="26"/>
        <v/>
      </c>
      <c r="AG96" s="6">
        <v>21367.599999999999</v>
      </c>
      <c r="AH96" s="6">
        <v>5103.1099999999997</v>
      </c>
      <c r="AI96" s="6">
        <f t="shared" si="27"/>
        <v>5103.1100000000042</v>
      </c>
      <c r="AJ96" s="11">
        <f t="shared" si="28"/>
        <v>0.19278326875251944</v>
      </c>
      <c r="AK96" s="11" t="str">
        <f t="shared" si="29"/>
        <v>September</v>
      </c>
      <c r="AL96" s="12">
        <f t="shared" si="30"/>
        <v>2024</v>
      </c>
      <c r="AM96" s="6" t="s">
        <v>157</v>
      </c>
      <c r="AN96" s="6" t="s">
        <v>98</v>
      </c>
      <c r="AO96" s="6" t="str">
        <f t="shared" si="22"/>
        <v>Cancelled</v>
      </c>
    </row>
    <row r="97" spans="1:41">
      <c r="A97" s="6" t="s">
        <v>591</v>
      </c>
      <c r="B97" s="7" t="s">
        <v>592</v>
      </c>
      <c r="C97" s="8">
        <v>45905</v>
      </c>
      <c r="D97" s="7" t="s">
        <v>593</v>
      </c>
      <c r="E97" s="9">
        <v>45910</v>
      </c>
      <c r="F97" s="9" t="str">
        <f t="shared" si="15"/>
        <v>Valid</v>
      </c>
      <c r="G97" s="10">
        <f t="shared" si="16"/>
        <v>5</v>
      </c>
      <c r="H97" s="10" t="str">
        <f t="shared" si="17"/>
        <v>Valid</v>
      </c>
      <c r="I97" s="6" t="s">
        <v>594</v>
      </c>
      <c r="J97" s="6" t="s">
        <v>188</v>
      </c>
      <c r="K97" s="6" t="s">
        <v>188</v>
      </c>
      <c r="L97" s="6" t="s">
        <v>128</v>
      </c>
      <c r="M97" s="7" t="str">
        <f t="shared" si="18"/>
        <v>Corporate</v>
      </c>
      <c r="N97" s="6" t="s">
        <v>93</v>
      </c>
      <c r="O97" s="7" t="str">
        <f t="shared" si="19"/>
        <v>West</v>
      </c>
      <c r="P97" s="6" t="s">
        <v>269</v>
      </c>
      <c r="Q97" s="6" t="s">
        <v>270</v>
      </c>
      <c r="R97" s="6" t="s">
        <v>65</v>
      </c>
      <c r="S97" s="7" t="str">
        <f t="shared" si="20"/>
        <v>Furniture</v>
      </c>
      <c r="T97" s="6" t="s">
        <v>224</v>
      </c>
      <c r="U97" s="6" t="s">
        <v>595</v>
      </c>
      <c r="V97" s="6" t="s">
        <v>68</v>
      </c>
      <c r="W97" s="7" t="str">
        <f t="shared" si="21"/>
        <v>Same Day</v>
      </c>
      <c r="X97" s="6">
        <v>6</v>
      </c>
      <c r="Y97" s="6">
        <v>1754.13</v>
      </c>
      <c r="Z97" s="6">
        <v>0</v>
      </c>
      <c r="AA97" s="6">
        <f t="shared" si="23"/>
        <v>0</v>
      </c>
      <c r="AB97" s="6" t="str">
        <f t="shared" si="24"/>
        <v>Valid</v>
      </c>
      <c r="AC97" s="6">
        <v>10524.78</v>
      </c>
      <c r="AD97" s="6" t="str">
        <f>IF(OR(AO97="Cancelled",AM97="Failed"),"Exclude from Completed Sales","Include in Completed Sales")</f>
        <v>Include in Completed Sales</v>
      </c>
      <c r="AE97" s="6">
        <f t="shared" si="25"/>
        <v>10524.78</v>
      </c>
      <c r="AF97" s="6" t="str">
        <f t="shared" si="26"/>
        <v/>
      </c>
      <c r="AG97" s="6">
        <v>8841.0499999999993</v>
      </c>
      <c r="AH97" s="6">
        <v>1683.73</v>
      </c>
      <c r="AI97" s="6">
        <f t="shared" si="27"/>
        <v>1683.7300000000014</v>
      </c>
      <c r="AJ97" s="11">
        <f t="shared" si="28"/>
        <v>0.15997769074507984</v>
      </c>
      <c r="AK97" s="11" t="str">
        <f t="shared" si="29"/>
        <v>September</v>
      </c>
      <c r="AL97" s="12">
        <f t="shared" si="30"/>
        <v>2025</v>
      </c>
      <c r="AM97" s="6" t="s">
        <v>54</v>
      </c>
      <c r="AN97" s="6" t="s">
        <v>55</v>
      </c>
      <c r="AO97" s="6" t="str">
        <f t="shared" si="22"/>
        <v>Completed</v>
      </c>
    </row>
    <row r="98" spans="1:41">
      <c r="A98" s="6" t="s">
        <v>596</v>
      </c>
      <c r="B98" s="7" t="s">
        <v>597</v>
      </c>
      <c r="C98" s="8">
        <v>45448</v>
      </c>
      <c r="D98" s="7" t="s">
        <v>598</v>
      </c>
      <c r="E98" s="9">
        <v>45450</v>
      </c>
      <c r="F98" s="9" t="str">
        <f t="shared" si="15"/>
        <v>Valid</v>
      </c>
      <c r="G98" s="10">
        <f t="shared" si="16"/>
        <v>2</v>
      </c>
      <c r="H98" s="10" t="str">
        <f t="shared" si="17"/>
        <v>Valid</v>
      </c>
      <c r="I98" s="6" t="s">
        <v>599</v>
      </c>
      <c r="J98" s="6" t="s">
        <v>168</v>
      </c>
      <c r="K98" s="6" t="s">
        <v>168</v>
      </c>
      <c r="L98" s="6" t="s">
        <v>135</v>
      </c>
      <c r="M98" s="7" t="str">
        <f t="shared" si="18"/>
        <v>Home Office</v>
      </c>
      <c r="N98" s="6" t="s">
        <v>62</v>
      </c>
      <c r="O98" s="7" t="str">
        <f t="shared" si="19"/>
        <v>East</v>
      </c>
      <c r="P98" s="6" t="s">
        <v>63</v>
      </c>
      <c r="Q98" s="6" t="s">
        <v>64</v>
      </c>
      <c r="R98" s="6" t="s">
        <v>106</v>
      </c>
      <c r="S98" s="7" t="str">
        <f t="shared" si="20"/>
        <v>Technology</v>
      </c>
      <c r="T98" s="6" t="s">
        <v>114</v>
      </c>
      <c r="U98" s="6" t="s">
        <v>600</v>
      </c>
      <c r="V98" s="6" t="s">
        <v>53</v>
      </c>
      <c r="W98" s="7" t="str">
        <f t="shared" si="21"/>
        <v>Second Class</v>
      </c>
      <c r="X98" s="6">
        <v>2</v>
      </c>
      <c r="Y98" s="6">
        <v>2259.2399999999998</v>
      </c>
      <c r="Z98" s="6">
        <v>0.15</v>
      </c>
      <c r="AA98" s="6">
        <f t="shared" si="23"/>
        <v>0.15</v>
      </c>
      <c r="AB98" s="6" t="str">
        <f t="shared" si="24"/>
        <v>Valid</v>
      </c>
      <c r="AC98" s="6">
        <v>3840.71</v>
      </c>
      <c r="AD98" s="6" t="str">
        <f>IF(OR(AO98="Cancelled",AM98="Failed"),"Exclude from Completed Sales","Include in Completed Sales")</f>
        <v>Include in Completed Sales</v>
      </c>
      <c r="AE98" s="6">
        <f t="shared" si="25"/>
        <v>3840.7079999999996</v>
      </c>
      <c r="AF98" s="6" t="str">
        <f t="shared" si="26"/>
        <v/>
      </c>
      <c r="AG98" s="6">
        <v>2516.29</v>
      </c>
      <c r="AH98" s="6">
        <v>1324.42</v>
      </c>
      <c r="AI98" s="6">
        <f t="shared" si="27"/>
        <v>1324.4179999999997</v>
      </c>
      <c r="AJ98" s="11">
        <f t="shared" si="28"/>
        <v>0.34483694152224009</v>
      </c>
      <c r="AK98" s="11" t="str">
        <f t="shared" si="29"/>
        <v>June</v>
      </c>
      <c r="AL98" s="12">
        <f t="shared" si="30"/>
        <v>2024</v>
      </c>
      <c r="AM98" s="6" t="s">
        <v>54</v>
      </c>
      <c r="AN98" s="6" t="s">
        <v>55</v>
      </c>
      <c r="AO98" s="6" t="str">
        <f t="shared" si="22"/>
        <v>Completed</v>
      </c>
    </row>
    <row r="99" spans="1:41">
      <c r="A99" s="6" t="s">
        <v>601</v>
      </c>
      <c r="B99" s="7" t="s">
        <v>602</v>
      </c>
      <c r="C99" s="8">
        <v>45877</v>
      </c>
      <c r="D99" s="7" t="s">
        <v>603</v>
      </c>
      <c r="E99" s="9">
        <v>45880</v>
      </c>
      <c r="F99" s="9" t="str">
        <f t="shared" si="15"/>
        <v>Valid</v>
      </c>
      <c r="G99" s="10">
        <f t="shared" si="16"/>
        <v>3</v>
      </c>
      <c r="H99" s="10" t="str">
        <f t="shared" si="17"/>
        <v>Valid</v>
      </c>
      <c r="I99" s="6" t="s">
        <v>604</v>
      </c>
      <c r="J99" s="6" t="s">
        <v>230</v>
      </c>
      <c r="K99" s="6" t="s">
        <v>230</v>
      </c>
      <c r="L99" s="6" t="s">
        <v>61</v>
      </c>
      <c r="M99" s="7" t="str">
        <f t="shared" si="18"/>
        <v>Small Business</v>
      </c>
      <c r="N99" s="6" t="s">
        <v>93</v>
      </c>
      <c r="O99" s="7" t="str">
        <f t="shared" si="19"/>
        <v>West</v>
      </c>
      <c r="P99" s="6" t="s">
        <v>255</v>
      </c>
      <c r="Q99" s="6" t="s">
        <v>256</v>
      </c>
      <c r="R99" s="6" t="s">
        <v>50</v>
      </c>
      <c r="S99" s="7" t="str">
        <f t="shared" si="20"/>
        <v>Office Supplies</v>
      </c>
      <c r="T99" s="6" t="s">
        <v>176</v>
      </c>
      <c r="U99" s="6" t="s">
        <v>605</v>
      </c>
      <c r="V99" s="6" t="s">
        <v>68</v>
      </c>
      <c r="W99" s="7" t="str">
        <f t="shared" si="21"/>
        <v>Same Day</v>
      </c>
      <c r="X99" s="6">
        <v>5</v>
      </c>
      <c r="Y99" s="6">
        <v>3602.36</v>
      </c>
      <c r="Z99" s="6">
        <v>0.2</v>
      </c>
      <c r="AA99" s="6">
        <f t="shared" si="23"/>
        <v>0.2</v>
      </c>
      <c r="AB99" s="6" t="str">
        <f t="shared" si="24"/>
        <v>Valid</v>
      </c>
      <c r="AC99" s="6">
        <v>14409.44</v>
      </c>
      <c r="AD99" s="6" t="str">
        <f>IF(OR(AO99="Cancelled",AM99="Failed"),"Exclude from Completed Sales","Include in Completed Sales")</f>
        <v>Include in Completed Sales</v>
      </c>
      <c r="AE99" s="6">
        <f t="shared" si="25"/>
        <v>14409.44</v>
      </c>
      <c r="AF99" s="6" t="str">
        <f t="shared" si="26"/>
        <v/>
      </c>
      <c r="AG99" s="6">
        <v>8809.9699999999993</v>
      </c>
      <c r="AH99" s="6">
        <v>5599.47</v>
      </c>
      <c r="AI99" s="6">
        <f t="shared" si="27"/>
        <v>5599.4700000000012</v>
      </c>
      <c r="AJ99" s="11">
        <f t="shared" si="28"/>
        <v>0.38859733619071951</v>
      </c>
      <c r="AK99" s="11" t="str">
        <f t="shared" si="29"/>
        <v>August</v>
      </c>
      <c r="AL99" s="12">
        <f t="shared" si="30"/>
        <v>2025</v>
      </c>
      <c r="AM99" s="6" t="s">
        <v>157</v>
      </c>
      <c r="AN99" s="6" t="s">
        <v>145</v>
      </c>
      <c r="AO99" s="6" t="str">
        <f t="shared" si="22"/>
        <v>Returned</v>
      </c>
    </row>
    <row r="100" spans="1:41">
      <c r="A100" s="6" t="s">
        <v>606</v>
      </c>
      <c r="B100" s="7" t="s">
        <v>607</v>
      </c>
      <c r="C100" s="8">
        <v>45317</v>
      </c>
      <c r="D100" s="7" t="s">
        <v>608</v>
      </c>
      <c r="E100" s="9">
        <v>45323</v>
      </c>
      <c r="F100" s="9" t="str">
        <f t="shared" si="15"/>
        <v>Valid</v>
      </c>
      <c r="G100" s="10">
        <f t="shared" si="16"/>
        <v>6</v>
      </c>
      <c r="H100" s="10" t="str">
        <f t="shared" si="17"/>
        <v>Valid</v>
      </c>
      <c r="I100" s="6" t="s">
        <v>609</v>
      </c>
      <c r="J100" s="6" t="s">
        <v>200</v>
      </c>
      <c r="K100" s="6" t="s">
        <v>200</v>
      </c>
      <c r="L100" s="6" t="s">
        <v>135</v>
      </c>
      <c r="M100" s="7" t="str">
        <f t="shared" si="18"/>
        <v>Home Office</v>
      </c>
      <c r="N100" s="6" t="s">
        <v>82</v>
      </c>
      <c r="O100" s="7" t="str">
        <f t="shared" si="19"/>
        <v>South</v>
      </c>
      <c r="P100" s="6" t="s">
        <v>262</v>
      </c>
      <c r="Q100" s="6" t="s">
        <v>263</v>
      </c>
      <c r="R100" s="6" t="s">
        <v>106</v>
      </c>
      <c r="S100" s="7" t="str">
        <f t="shared" si="20"/>
        <v>Technology</v>
      </c>
      <c r="T100" s="6" t="s">
        <v>114</v>
      </c>
      <c r="U100" s="6" t="s">
        <v>610</v>
      </c>
      <c r="V100" s="6"/>
      <c r="W100" s="7" t="str">
        <f t="shared" si="21"/>
        <v>Unknown</v>
      </c>
      <c r="X100" s="6">
        <v>8</v>
      </c>
      <c r="Y100" s="6">
        <v>2108.9299999999998</v>
      </c>
      <c r="Z100" s="6">
        <v>0.1</v>
      </c>
      <c r="AA100" s="6">
        <f t="shared" si="23"/>
        <v>0.1</v>
      </c>
      <c r="AB100" s="6" t="str">
        <f t="shared" si="24"/>
        <v>Valid</v>
      </c>
      <c r="AC100" s="6">
        <v>15184.3</v>
      </c>
      <c r="AD100" s="6" t="str">
        <f>IF(OR(AO100="Cancelled",AM100="Failed"),"Exclude from Completed Sales","Include in Completed Sales")</f>
        <v>Include in Completed Sales</v>
      </c>
      <c r="AE100" s="6">
        <f t="shared" si="25"/>
        <v>15184.295999999998</v>
      </c>
      <c r="AF100" s="6" t="str">
        <f t="shared" si="26"/>
        <v/>
      </c>
      <c r="AG100" s="6">
        <v>11270.74</v>
      </c>
      <c r="AH100" s="6">
        <v>3913.56</v>
      </c>
      <c r="AI100" s="6">
        <f t="shared" si="27"/>
        <v>3913.5559999999987</v>
      </c>
      <c r="AJ100" s="11">
        <f t="shared" si="28"/>
        <v>0.25773707256497103</v>
      </c>
      <c r="AK100" s="11" t="str">
        <f t="shared" si="29"/>
        <v>January</v>
      </c>
      <c r="AL100" s="12">
        <f t="shared" si="30"/>
        <v>2024</v>
      </c>
      <c r="AM100" s="6" t="s">
        <v>54</v>
      </c>
      <c r="AN100" s="6" t="s">
        <v>55</v>
      </c>
      <c r="AO100" s="6" t="str">
        <f t="shared" si="22"/>
        <v>Completed</v>
      </c>
    </row>
    <row r="101" spans="1:41">
      <c r="A101" s="6" t="s">
        <v>611</v>
      </c>
      <c r="B101" s="7" t="s">
        <v>612</v>
      </c>
      <c r="C101" s="8">
        <v>45668</v>
      </c>
      <c r="D101" s="7" t="s">
        <v>612</v>
      </c>
      <c r="E101" s="9">
        <v>45668</v>
      </c>
      <c r="F101" s="9" t="str">
        <f t="shared" si="15"/>
        <v>Valid</v>
      </c>
      <c r="G101" s="10">
        <f t="shared" si="16"/>
        <v>0</v>
      </c>
      <c r="H101" s="10" t="str">
        <f t="shared" si="17"/>
        <v>Valid</v>
      </c>
      <c r="I101" s="6" t="s">
        <v>613</v>
      </c>
      <c r="J101" s="6" t="s">
        <v>127</v>
      </c>
      <c r="K101" s="6" t="s">
        <v>127</v>
      </c>
      <c r="L101" s="6" t="s">
        <v>61</v>
      </c>
      <c r="M101" s="7" t="str">
        <f t="shared" si="18"/>
        <v>Small Business</v>
      </c>
      <c r="N101" s="6" t="s">
        <v>93</v>
      </c>
      <c r="O101" s="7" t="str">
        <f t="shared" si="19"/>
        <v>West</v>
      </c>
      <c r="P101" s="6" t="s">
        <v>48</v>
      </c>
      <c r="Q101" s="6" t="s">
        <v>155</v>
      </c>
      <c r="R101" s="6" t="s">
        <v>106</v>
      </c>
      <c r="S101" s="7" t="str">
        <f t="shared" si="20"/>
        <v>Technology</v>
      </c>
      <c r="T101" s="6" t="s">
        <v>107</v>
      </c>
      <c r="U101" s="6" t="s">
        <v>614</v>
      </c>
      <c r="V101" s="6" t="s">
        <v>68</v>
      </c>
      <c r="W101" s="7" t="str">
        <f t="shared" si="21"/>
        <v>Same Day</v>
      </c>
      <c r="X101" s="6">
        <v>3</v>
      </c>
      <c r="Y101" s="6">
        <v>2165.29</v>
      </c>
      <c r="Z101" s="6">
        <v>0</v>
      </c>
      <c r="AA101" s="6">
        <f t="shared" si="23"/>
        <v>0</v>
      </c>
      <c r="AB101" s="6" t="str">
        <f t="shared" si="24"/>
        <v>Valid</v>
      </c>
      <c r="AC101" s="6">
        <v>6495.87</v>
      </c>
      <c r="AD101" s="6" t="str">
        <f>IF(OR(AO101="Cancelled",AM101="Failed"),"Exclude from Completed Sales","Include in Completed Sales")</f>
        <v>Include in Completed Sales</v>
      </c>
      <c r="AE101" s="6">
        <f t="shared" si="25"/>
        <v>6495.87</v>
      </c>
      <c r="AF101" s="6" t="str">
        <f t="shared" si="26"/>
        <v/>
      </c>
      <c r="AG101" s="6">
        <v>4700.8900000000003</v>
      </c>
      <c r="AH101" s="6">
        <v>1794.98</v>
      </c>
      <c r="AI101" s="6">
        <f t="shared" si="27"/>
        <v>1794.9799999999996</v>
      </c>
      <c r="AJ101" s="11">
        <f t="shared" si="28"/>
        <v>0.27632634273777024</v>
      </c>
      <c r="AK101" s="11" t="str">
        <f t="shared" si="29"/>
        <v>January</v>
      </c>
      <c r="AL101" s="12">
        <f t="shared" si="30"/>
        <v>2025</v>
      </c>
      <c r="AM101" s="6" t="s">
        <v>54</v>
      </c>
      <c r="AN101" s="6" t="s">
        <v>55</v>
      </c>
      <c r="AO101" s="6" t="str">
        <f t="shared" si="22"/>
        <v>Completed</v>
      </c>
    </row>
    <row r="102" spans="1:41">
      <c r="A102" s="6" t="s">
        <v>615</v>
      </c>
      <c r="B102" s="7" t="s">
        <v>616</v>
      </c>
      <c r="C102" s="8">
        <v>45912</v>
      </c>
      <c r="D102" s="7" t="s">
        <v>617</v>
      </c>
      <c r="E102" s="9">
        <v>45918</v>
      </c>
      <c r="F102" s="9" t="str">
        <f t="shared" si="15"/>
        <v>Valid</v>
      </c>
      <c r="G102" s="10">
        <f t="shared" si="16"/>
        <v>6</v>
      </c>
      <c r="H102" s="10" t="str">
        <f t="shared" si="17"/>
        <v>Valid</v>
      </c>
      <c r="I102" s="6" t="s">
        <v>618</v>
      </c>
      <c r="J102" s="6" t="s">
        <v>182</v>
      </c>
      <c r="K102" s="6" t="s">
        <v>182</v>
      </c>
      <c r="L102" s="6" t="s">
        <v>135</v>
      </c>
      <c r="M102" s="7" t="str">
        <f t="shared" si="18"/>
        <v>Home Office</v>
      </c>
      <c r="N102" s="6" t="s">
        <v>82</v>
      </c>
      <c r="O102" s="7" t="str">
        <f t="shared" si="19"/>
        <v>South</v>
      </c>
      <c r="P102" s="6" t="s">
        <v>262</v>
      </c>
      <c r="Q102" s="6" t="s">
        <v>263</v>
      </c>
      <c r="R102" s="6" t="s">
        <v>50</v>
      </c>
      <c r="S102" s="7" t="str">
        <f t="shared" si="20"/>
        <v>Office Supplies</v>
      </c>
      <c r="T102" s="6" t="s">
        <v>176</v>
      </c>
      <c r="U102" s="6" t="s">
        <v>619</v>
      </c>
      <c r="V102" s="6" t="s">
        <v>87</v>
      </c>
      <c r="W102" s="7" t="str">
        <f t="shared" si="21"/>
        <v>Standard Class</v>
      </c>
      <c r="X102" s="6">
        <v>6</v>
      </c>
      <c r="Y102" s="6">
        <v>1673.8</v>
      </c>
      <c r="Z102" s="6">
        <v>0.05</v>
      </c>
      <c r="AA102" s="6">
        <f t="shared" si="23"/>
        <v>0.05</v>
      </c>
      <c r="AB102" s="6" t="str">
        <f t="shared" si="24"/>
        <v>Valid</v>
      </c>
      <c r="AC102" s="6">
        <v>9540.66</v>
      </c>
      <c r="AD102" s="6" t="str">
        <f>IF(OR(AO102="Cancelled",AM102="Failed"),"Exclude from Completed Sales","Include in Completed Sales")</f>
        <v>Include in Completed Sales</v>
      </c>
      <c r="AE102" s="6">
        <f t="shared" si="25"/>
        <v>9540.659999999998</v>
      </c>
      <c r="AF102" s="6" t="str">
        <f t="shared" si="26"/>
        <v/>
      </c>
      <c r="AG102" s="6">
        <v>5561.49</v>
      </c>
      <c r="AH102" s="6">
        <v>3979.17</v>
      </c>
      <c r="AI102" s="6">
        <f t="shared" si="27"/>
        <v>3979.1699999999983</v>
      </c>
      <c r="AJ102" s="11">
        <f t="shared" si="28"/>
        <v>0.41707491934520241</v>
      </c>
      <c r="AK102" s="11" t="str">
        <f t="shared" si="29"/>
        <v>September</v>
      </c>
      <c r="AL102" s="12">
        <f t="shared" si="30"/>
        <v>2025</v>
      </c>
      <c r="AM102" s="6" t="s">
        <v>54</v>
      </c>
      <c r="AN102" s="6" t="s">
        <v>55</v>
      </c>
      <c r="AO102" s="6" t="str">
        <f t="shared" si="22"/>
        <v>Completed</v>
      </c>
    </row>
    <row r="103" spans="1:41">
      <c r="A103" s="6" t="s">
        <v>620</v>
      </c>
      <c r="B103" s="7" t="s">
        <v>340</v>
      </c>
      <c r="C103" s="8">
        <v>45465</v>
      </c>
      <c r="D103" s="7" t="s">
        <v>621</v>
      </c>
      <c r="E103" s="9">
        <v>45469</v>
      </c>
      <c r="F103" s="9" t="str">
        <f t="shared" si="15"/>
        <v>Valid</v>
      </c>
      <c r="G103" s="10">
        <f t="shared" si="16"/>
        <v>4</v>
      </c>
      <c r="H103" s="10" t="str">
        <f t="shared" si="17"/>
        <v>Valid</v>
      </c>
      <c r="I103" s="6" t="s">
        <v>622</v>
      </c>
      <c r="J103" s="6" t="s">
        <v>200</v>
      </c>
      <c r="K103" s="6" t="s">
        <v>200</v>
      </c>
      <c r="L103" s="6" t="s">
        <v>135</v>
      </c>
      <c r="M103" s="7" t="str">
        <f t="shared" si="18"/>
        <v>Home Office</v>
      </c>
      <c r="N103" s="6" t="s">
        <v>62</v>
      </c>
      <c r="O103" s="7" t="str">
        <f t="shared" si="19"/>
        <v>East</v>
      </c>
      <c r="P103" s="6" t="s">
        <v>206</v>
      </c>
      <c r="Q103" s="6" t="s">
        <v>207</v>
      </c>
      <c r="R103" s="6" t="s">
        <v>65</v>
      </c>
      <c r="S103" s="7" t="str">
        <f t="shared" si="20"/>
        <v>Furniture</v>
      </c>
      <c r="T103" s="6" t="s">
        <v>85</v>
      </c>
      <c r="U103" s="6" t="s">
        <v>623</v>
      </c>
      <c r="V103" s="6" t="s">
        <v>76</v>
      </c>
      <c r="W103" s="7" t="str">
        <f t="shared" si="21"/>
        <v>First Class</v>
      </c>
      <c r="X103" s="6">
        <v>5</v>
      </c>
      <c r="Y103" s="6">
        <v>4396.5200000000004</v>
      </c>
      <c r="Z103" s="6">
        <v>0.25</v>
      </c>
      <c r="AA103" s="6">
        <f t="shared" si="23"/>
        <v>0.25</v>
      </c>
      <c r="AB103" s="6" t="str">
        <f t="shared" si="24"/>
        <v>Valid</v>
      </c>
      <c r="AC103" s="6">
        <v>16486.95</v>
      </c>
      <c r="AD103" s="6" t="str">
        <f>IF(OR(AO103="Cancelled",AM103="Failed"),"Exclude from Completed Sales","Include in Completed Sales")</f>
        <v>Include in Completed Sales</v>
      </c>
      <c r="AE103" s="6">
        <f t="shared" si="25"/>
        <v>16486.95</v>
      </c>
      <c r="AF103" s="6" t="str">
        <f t="shared" si="26"/>
        <v/>
      </c>
      <c r="AG103" s="6">
        <v>12054.14</v>
      </c>
      <c r="AH103" s="6">
        <v>4432.8100000000004</v>
      </c>
      <c r="AI103" s="6">
        <f t="shared" si="27"/>
        <v>4432.8100000000013</v>
      </c>
      <c r="AJ103" s="11">
        <f t="shared" si="28"/>
        <v>0.26886780150361356</v>
      </c>
      <c r="AK103" s="11" t="str">
        <f t="shared" si="29"/>
        <v>June</v>
      </c>
      <c r="AL103" s="12">
        <f t="shared" si="30"/>
        <v>2024</v>
      </c>
      <c r="AM103" s="6" t="s">
        <v>54</v>
      </c>
      <c r="AN103" s="6" t="s">
        <v>55</v>
      </c>
      <c r="AO103" s="6" t="str">
        <f t="shared" si="22"/>
        <v>Completed</v>
      </c>
    </row>
    <row r="104" spans="1:41">
      <c r="A104" s="6" t="s">
        <v>624</v>
      </c>
      <c r="B104" s="7" t="s">
        <v>625</v>
      </c>
      <c r="C104" s="8">
        <v>45850</v>
      </c>
      <c r="D104" s="7" t="s">
        <v>626</v>
      </c>
      <c r="E104" s="9">
        <v>45854</v>
      </c>
      <c r="F104" s="9" t="str">
        <f t="shared" si="15"/>
        <v>Valid</v>
      </c>
      <c r="G104" s="10">
        <f t="shared" si="16"/>
        <v>4</v>
      </c>
      <c r="H104" s="10" t="str">
        <f t="shared" si="17"/>
        <v>Valid</v>
      </c>
      <c r="I104" s="6" t="s">
        <v>627</v>
      </c>
      <c r="J104" s="6" t="s">
        <v>103</v>
      </c>
      <c r="K104" s="6" t="s">
        <v>103</v>
      </c>
      <c r="L104" s="6" t="s">
        <v>46</v>
      </c>
      <c r="M104" s="7" t="str">
        <f t="shared" si="18"/>
        <v>Consumer</v>
      </c>
      <c r="N104" s="6" t="s">
        <v>82</v>
      </c>
      <c r="O104" s="7" t="str">
        <f t="shared" si="19"/>
        <v>South</v>
      </c>
      <c r="P104" s="6" t="s">
        <v>249</v>
      </c>
      <c r="Q104" s="6" t="s">
        <v>250</v>
      </c>
      <c r="R104" s="6" t="s">
        <v>65</v>
      </c>
      <c r="S104" s="7" t="str">
        <f t="shared" si="20"/>
        <v>Furniture</v>
      </c>
      <c r="T104" s="6" t="s">
        <v>96</v>
      </c>
      <c r="U104" s="6" t="s">
        <v>628</v>
      </c>
      <c r="V104" s="6" t="s">
        <v>76</v>
      </c>
      <c r="W104" s="7" t="str">
        <f t="shared" si="21"/>
        <v>First Class</v>
      </c>
      <c r="X104" s="6">
        <v>4</v>
      </c>
      <c r="Y104" s="6">
        <v>2865.71</v>
      </c>
      <c r="Z104" s="6">
        <v>0</v>
      </c>
      <c r="AA104" s="6">
        <f t="shared" si="23"/>
        <v>0</v>
      </c>
      <c r="AB104" s="6" t="str">
        <f t="shared" si="24"/>
        <v>Valid</v>
      </c>
      <c r="AC104" s="6">
        <v>11462.84</v>
      </c>
      <c r="AD104" s="6" t="str">
        <f>IF(OR(AO104="Cancelled",AM104="Failed"),"Exclude from Completed Sales","Include in Completed Sales")</f>
        <v>Exclude from Completed Sales</v>
      </c>
      <c r="AE104" s="6">
        <f t="shared" si="25"/>
        <v>11462.84</v>
      </c>
      <c r="AF104" s="6" t="str">
        <f t="shared" si="26"/>
        <v>Refunded</v>
      </c>
      <c r="AG104" s="6">
        <v>8979.7800000000007</v>
      </c>
      <c r="AH104" s="6">
        <v>2483.06</v>
      </c>
      <c r="AI104" s="6">
        <f t="shared" si="27"/>
        <v>2483.0599999999995</v>
      </c>
      <c r="AJ104" s="11">
        <f t="shared" si="28"/>
        <v>0.21661822026653077</v>
      </c>
      <c r="AK104" s="11" t="str">
        <f t="shared" si="29"/>
        <v>July</v>
      </c>
      <c r="AL104" s="12">
        <f t="shared" si="30"/>
        <v>2025</v>
      </c>
      <c r="AM104" s="6" t="s">
        <v>144</v>
      </c>
      <c r="AN104" s="6" t="s">
        <v>98</v>
      </c>
      <c r="AO104" s="6" t="str">
        <f t="shared" si="22"/>
        <v>Cancelled</v>
      </c>
    </row>
    <row r="105" spans="1:41">
      <c r="A105" s="6" t="s">
        <v>629</v>
      </c>
      <c r="B105" s="7" t="s">
        <v>630</v>
      </c>
      <c r="C105" s="8">
        <v>45779</v>
      </c>
      <c r="D105" s="7" t="s">
        <v>631</v>
      </c>
      <c r="E105" s="9">
        <v>45787</v>
      </c>
      <c r="F105" s="9" t="str">
        <f t="shared" si="15"/>
        <v>Valid</v>
      </c>
      <c r="G105" s="10">
        <f t="shared" si="16"/>
        <v>8</v>
      </c>
      <c r="H105" s="10" t="str">
        <f t="shared" si="17"/>
        <v>Valid</v>
      </c>
      <c r="I105" s="6" t="s">
        <v>632</v>
      </c>
      <c r="J105" s="6" t="s">
        <v>386</v>
      </c>
      <c r="K105" s="6" t="s">
        <v>386</v>
      </c>
      <c r="L105" s="6" t="s">
        <v>128</v>
      </c>
      <c r="M105" s="7" t="str">
        <f t="shared" si="18"/>
        <v>Corporate</v>
      </c>
      <c r="N105" s="6" t="s">
        <v>93</v>
      </c>
      <c r="O105" s="7" t="str">
        <f t="shared" si="19"/>
        <v>West</v>
      </c>
      <c r="P105" s="6" t="s">
        <v>94</v>
      </c>
      <c r="Q105" s="6" t="s">
        <v>95</v>
      </c>
      <c r="R105" s="6" t="s">
        <v>65</v>
      </c>
      <c r="S105" s="7" t="str">
        <f t="shared" si="20"/>
        <v>Furniture</v>
      </c>
      <c r="T105" s="6" t="s">
        <v>66</v>
      </c>
      <c r="U105" s="6" t="s">
        <v>633</v>
      </c>
      <c r="V105" s="6" t="s">
        <v>76</v>
      </c>
      <c r="W105" s="7" t="str">
        <f t="shared" si="21"/>
        <v>First Class</v>
      </c>
      <c r="X105" s="6">
        <v>4</v>
      </c>
      <c r="Y105" s="6">
        <v>2440.34</v>
      </c>
      <c r="Z105" s="6">
        <v>0.2</v>
      </c>
      <c r="AA105" s="6">
        <f t="shared" si="23"/>
        <v>0.2</v>
      </c>
      <c r="AB105" s="6" t="str">
        <f t="shared" si="24"/>
        <v>Valid</v>
      </c>
      <c r="AC105" s="6">
        <v>7809.09</v>
      </c>
      <c r="AD105" s="6" t="str">
        <f>IF(OR(AO105="Cancelled",AM105="Failed"),"Exclude from Completed Sales","Include in Completed Sales")</f>
        <v>Include in Completed Sales</v>
      </c>
      <c r="AE105" s="6">
        <f t="shared" si="25"/>
        <v>7809.0880000000006</v>
      </c>
      <c r="AF105" s="6" t="str">
        <f t="shared" si="26"/>
        <v/>
      </c>
      <c r="AG105" s="6">
        <v>6657.75</v>
      </c>
      <c r="AH105" s="6">
        <v>1151.3399999999999</v>
      </c>
      <c r="AI105" s="6">
        <f t="shared" si="27"/>
        <v>1151.3380000000006</v>
      </c>
      <c r="AJ105" s="11">
        <f t="shared" si="28"/>
        <v>0.14743565445798543</v>
      </c>
      <c r="AK105" s="11" t="str">
        <f t="shared" si="29"/>
        <v>May</v>
      </c>
      <c r="AL105" s="12">
        <f t="shared" si="30"/>
        <v>2025</v>
      </c>
      <c r="AM105" s="6" t="s">
        <v>54</v>
      </c>
      <c r="AN105" s="6" t="s">
        <v>55</v>
      </c>
      <c r="AO105" s="6" t="str">
        <f t="shared" si="22"/>
        <v>Completed</v>
      </c>
    </row>
    <row r="106" spans="1:41">
      <c r="A106" s="6" t="s">
        <v>634</v>
      </c>
      <c r="B106" s="7" t="s">
        <v>635</v>
      </c>
      <c r="C106" s="8">
        <v>45689</v>
      </c>
      <c r="D106" s="7" t="s">
        <v>636</v>
      </c>
      <c r="E106" s="9">
        <v>45696</v>
      </c>
      <c r="F106" s="9" t="str">
        <f t="shared" si="15"/>
        <v>Valid</v>
      </c>
      <c r="G106" s="10">
        <f t="shared" si="16"/>
        <v>7</v>
      </c>
      <c r="H106" s="10" t="str">
        <f t="shared" si="17"/>
        <v>Valid</v>
      </c>
      <c r="I106" s="6" t="s">
        <v>637</v>
      </c>
      <c r="J106" s="6" t="s">
        <v>92</v>
      </c>
      <c r="K106" s="6" t="s">
        <v>92</v>
      </c>
      <c r="L106" s="6" t="s">
        <v>46</v>
      </c>
      <c r="M106" s="7" t="str">
        <f t="shared" si="18"/>
        <v>Consumer</v>
      </c>
      <c r="N106" s="6" t="s">
        <v>82</v>
      </c>
      <c r="O106" s="7" t="str">
        <f t="shared" si="19"/>
        <v>South</v>
      </c>
      <c r="P106" s="6" t="s">
        <v>249</v>
      </c>
      <c r="Q106" s="6" t="s">
        <v>250</v>
      </c>
      <c r="R106" s="6" t="s">
        <v>50</v>
      </c>
      <c r="S106" s="7" t="str">
        <f t="shared" si="20"/>
        <v>Office Supplies</v>
      </c>
      <c r="T106" s="6" t="s">
        <v>129</v>
      </c>
      <c r="U106" s="6" t="s">
        <v>638</v>
      </c>
      <c r="V106" s="6" t="s">
        <v>68</v>
      </c>
      <c r="W106" s="7" t="str">
        <f t="shared" si="21"/>
        <v>Same Day</v>
      </c>
      <c r="X106" s="6">
        <v>5</v>
      </c>
      <c r="Y106" s="6">
        <v>2112.54</v>
      </c>
      <c r="Z106" s="6">
        <v>0.25</v>
      </c>
      <c r="AA106" s="6">
        <f t="shared" si="23"/>
        <v>0.25</v>
      </c>
      <c r="AB106" s="6" t="str">
        <f t="shared" si="24"/>
        <v>Valid</v>
      </c>
      <c r="AC106" s="6">
        <v>8260.4599999999991</v>
      </c>
      <c r="AD106" s="6" t="str">
        <f>IF(OR(AO106="Cancelled",AM106="Failed"),"Exclude from Completed Sales","Include in Completed Sales")</f>
        <v>Exclude from Completed Sales</v>
      </c>
      <c r="AE106" s="6">
        <f t="shared" si="25"/>
        <v>7922.0250000000005</v>
      </c>
      <c r="AF106" s="6" t="str">
        <f t="shared" si="26"/>
        <v/>
      </c>
      <c r="AG106" s="6">
        <v>5619.95</v>
      </c>
      <c r="AH106" s="6">
        <v>2302.08</v>
      </c>
      <c r="AI106" s="6">
        <f t="shared" si="27"/>
        <v>2302.0750000000007</v>
      </c>
      <c r="AJ106" s="11">
        <f t="shared" si="28"/>
        <v>0.29059173633004193</v>
      </c>
      <c r="AK106" s="11" t="str">
        <f t="shared" si="29"/>
        <v>February</v>
      </c>
      <c r="AL106" s="12">
        <f t="shared" si="30"/>
        <v>2025</v>
      </c>
      <c r="AM106" s="6" t="s">
        <v>54</v>
      </c>
      <c r="AN106" s="6" t="s">
        <v>98</v>
      </c>
      <c r="AO106" s="6" t="str">
        <f t="shared" si="22"/>
        <v>Cancelled</v>
      </c>
    </row>
    <row r="107" spans="1:41">
      <c r="A107" s="6" t="s">
        <v>639</v>
      </c>
      <c r="B107" s="7" t="s">
        <v>640</v>
      </c>
      <c r="C107" s="8">
        <v>45467</v>
      </c>
      <c r="D107" s="7" t="s">
        <v>641</v>
      </c>
      <c r="E107" s="9">
        <v>45472</v>
      </c>
      <c r="F107" s="9" t="str">
        <f t="shared" si="15"/>
        <v>Valid</v>
      </c>
      <c r="G107" s="10">
        <f t="shared" si="16"/>
        <v>5</v>
      </c>
      <c r="H107" s="10" t="str">
        <f t="shared" si="17"/>
        <v>Valid</v>
      </c>
      <c r="I107" s="6" t="s">
        <v>642</v>
      </c>
      <c r="J107" s="6" t="s">
        <v>60</v>
      </c>
      <c r="K107" s="6" t="s">
        <v>60</v>
      </c>
      <c r="L107" s="6" t="s">
        <v>135</v>
      </c>
      <c r="M107" s="7" t="str">
        <f t="shared" si="18"/>
        <v>Home Office</v>
      </c>
      <c r="N107" s="6" t="s">
        <v>62</v>
      </c>
      <c r="O107" s="7" t="str">
        <f t="shared" si="19"/>
        <v>East</v>
      </c>
      <c r="P107" s="6" t="s">
        <v>141</v>
      </c>
      <c r="Q107" s="6" t="s">
        <v>142</v>
      </c>
      <c r="R107" s="6" t="s">
        <v>65</v>
      </c>
      <c r="S107" s="7" t="str">
        <f t="shared" si="20"/>
        <v>Furniture</v>
      </c>
      <c r="T107" s="6" t="s">
        <v>66</v>
      </c>
      <c r="U107" s="6" t="s">
        <v>643</v>
      </c>
      <c r="V107" s="6" t="s">
        <v>53</v>
      </c>
      <c r="W107" s="7" t="str">
        <f t="shared" si="21"/>
        <v>Second Class</v>
      </c>
      <c r="X107" s="6">
        <v>2</v>
      </c>
      <c r="Y107" s="6">
        <v>685</v>
      </c>
      <c r="Z107" s="6">
        <v>0.1</v>
      </c>
      <c r="AA107" s="6">
        <f t="shared" si="23"/>
        <v>0.1</v>
      </c>
      <c r="AB107" s="6" t="str">
        <f t="shared" si="24"/>
        <v>Valid</v>
      </c>
      <c r="AC107" s="6">
        <v>1233</v>
      </c>
      <c r="AD107" s="6" t="str">
        <f>IF(OR(AO107="Cancelled",AM107="Failed"),"Exclude from Completed Sales","Include in Completed Sales")</f>
        <v>Include in Completed Sales</v>
      </c>
      <c r="AE107" s="6">
        <f t="shared" si="25"/>
        <v>1233</v>
      </c>
      <c r="AF107" s="6" t="str">
        <f t="shared" si="26"/>
        <v/>
      </c>
      <c r="AG107" s="6">
        <v>1006.9</v>
      </c>
      <c r="AH107" s="6">
        <v>226.1</v>
      </c>
      <c r="AI107" s="6">
        <f t="shared" si="27"/>
        <v>226.10000000000002</v>
      </c>
      <c r="AJ107" s="11">
        <f t="shared" si="28"/>
        <v>0.18337388483373887</v>
      </c>
      <c r="AK107" s="11" t="str">
        <f t="shared" si="29"/>
        <v>June</v>
      </c>
      <c r="AL107" s="12">
        <f t="shared" si="30"/>
        <v>2024</v>
      </c>
      <c r="AM107" s="6" t="s">
        <v>54</v>
      </c>
      <c r="AN107" s="6" t="s">
        <v>55</v>
      </c>
      <c r="AO107" s="6" t="str">
        <f t="shared" si="22"/>
        <v>Completed</v>
      </c>
    </row>
    <row r="108" spans="1:41">
      <c r="A108" s="6" t="s">
        <v>644</v>
      </c>
      <c r="B108" s="7" t="s">
        <v>645</v>
      </c>
      <c r="C108" s="8">
        <v>45342</v>
      </c>
      <c r="D108" s="7" t="s">
        <v>646</v>
      </c>
      <c r="E108" s="9">
        <v>45350</v>
      </c>
      <c r="F108" s="9" t="str">
        <f t="shared" si="15"/>
        <v>Valid</v>
      </c>
      <c r="G108" s="10">
        <f t="shared" si="16"/>
        <v>8</v>
      </c>
      <c r="H108" s="10" t="str">
        <f t="shared" si="17"/>
        <v>Valid</v>
      </c>
      <c r="I108" s="6" t="s">
        <v>647</v>
      </c>
      <c r="J108" s="6" t="s">
        <v>81</v>
      </c>
      <c r="K108" s="6" t="s">
        <v>81</v>
      </c>
      <c r="L108" s="6" t="s">
        <v>135</v>
      </c>
      <c r="M108" s="7" t="str">
        <f t="shared" si="18"/>
        <v>Home Office</v>
      </c>
      <c r="N108" s="6" t="s">
        <v>62</v>
      </c>
      <c r="O108" s="7" t="str">
        <f t="shared" si="19"/>
        <v>East</v>
      </c>
      <c r="P108" s="6" t="s">
        <v>141</v>
      </c>
      <c r="Q108" s="6" t="s">
        <v>142</v>
      </c>
      <c r="R108" s="6" t="s">
        <v>50</v>
      </c>
      <c r="S108" s="7" t="str">
        <f t="shared" si="20"/>
        <v>Office Supplies</v>
      </c>
      <c r="T108" s="6" t="s">
        <v>51</v>
      </c>
      <c r="U108" s="6" t="s">
        <v>648</v>
      </c>
      <c r="V108" s="6" t="s">
        <v>87</v>
      </c>
      <c r="W108" s="7" t="str">
        <f t="shared" si="21"/>
        <v>Standard Class</v>
      </c>
      <c r="X108" s="6">
        <v>2</v>
      </c>
      <c r="Y108" s="6">
        <v>4004.04</v>
      </c>
      <c r="Z108" s="6"/>
      <c r="AA108" s="6">
        <f t="shared" si="23"/>
        <v>0</v>
      </c>
      <c r="AB108" s="6" t="str">
        <f t="shared" si="24"/>
        <v>Valid</v>
      </c>
      <c r="AC108" s="6">
        <v>7207.27</v>
      </c>
      <c r="AD108" s="6" t="str">
        <f>IF(OR(AO108="Cancelled",AM108="Failed"),"Exclude from Completed Sales","Include in Completed Sales")</f>
        <v>Exclude from Completed Sales</v>
      </c>
      <c r="AE108" s="6">
        <f t="shared" si="25"/>
        <v>8008.08</v>
      </c>
      <c r="AF108" s="6" t="str">
        <f t="shared" si="26"/>
        <v/>
      </c>
      <c r="AG108" s="6">
        <v>5709.39</v>
      </c>
      <c r="AH108" s="6">
        <v>1497.88</v>
      </c>
      <c r="AI108" s="6">
        <f t="shared" si="27"/>
        <v>2298.6899999999996</v>
      </c>
      <c r="AJ108" s="11">
        <f t="shared" si="28"/>
        <v>0.28704633320346445</v>
      </c>
      <c r="AK108" s="11" t="str">
        <f t="shared" si="29"/>
        <v>February</v>
      </c>
      <c r="AL108" s="12">
        <f t="shared" si="30"/>
        <v>2024</v>
      </c>
      <c r="AM108" s="6" t="s">
        <v>54</v>
      </c>
      <c r="AN108" s="6" t="s">
        <v>98</v>
      </c>
      <c r="AO108" s="6" t="str">
        <f t="shared" si="22"/>
        <v>Cancelled</v>
      </c>
    </row>
    <row r="109" spans="1:41">
      <c r="A109" s="6" t="s">
        <v>649</v>
      </c>
      <c r="B109" s="7" t="s">
        <v>650</v>
      </c>
      <c r="C109" s="8">
        <v>45594</v>
      </c>
      <c r="D109" s="7" t="s">
        <v>651</v>
      </c>
      <c r="E109" s="9">
        <v>45600</v>
      </c>
      <c r="F109" s="9" t="str">
        <f t="shared" si="15"/>
        <v>Valid</v>
      </c>
      <c r="G109" s="10">
        <f t="shared" si="16"/>
        <v>6</v>
      </c>
      <c r="H109" s="10" t="str">
        <f t="shared" si="17"/>
        <v>Valid</v>
      </c>
      <c r="I109" s="6" t="s">
        <v>652</v>
      </c>
      <c r="J109" s="6" t="s">
        <v>200</v>
      </c>
      <c r="K109" s="6" t="s">
        <v>200</v>
      </c>
      <c r="L109" s="6" t="s">
        <v>135</v>
      </c>
      <c r="M109" s="7" t="str">
        <f t="shared" si="18"/>
        <v>Home Office</v>
      </c>
      <c r="N109" s="6" t="s">
        <v>62</v>
      </c>
      <c r="O109" s="7" t="str">
        <f t="shared" si="19"/>
        <v>East</v>
      </c>
      <c r="P109" s="6" t="s">
        <v>141</v>
      </c>
      <c r="Q109" s="6" t="s">
        <v>142</v>
      </c>
      <c r="R109" s="6" t="s">
        <v>65</v>
      </c>
      <c r="S109" s="7" t="str">
        <f t="shared" si="20"/>
        <v>Furniture</v>
      </c>
      <c r="T109" s="6" t="s">
        <v>85</v>
      </c>
      <c r="U109" s="6" t="s">
        <v>653</v>
      </c>
      <c r="V109" s="6" t="s">
        <v>76</v>
      </c>
      <c r="W109" s="7" t="str">
        <f t="shared" si="21"/>
        <v>First Class</v>
      </c>
      <c r="X109" s="6">
        <v>3</v>
      </c>
      <c r="Y109" s="6">
        <v>4302.8900000000003</v>
      </c>
      <c r="Z109" s="6">
        <v>0.05</v>
      </c>
      <c r="AA109" s="6">
        <f t="shared" si="23"/>
        <v>0.05</v>
      </c>
      <c r="AB109" s="6" t="str">
        <f t="shared" si="24"/>
        <v>Valid</v>
      </c>
      <c r="AC109" s="6">
        <v>12263.24</v>
      </c>
      <c r="AD109" s="6" t="str">
        <f>IF(OR(AO109="Cancelled",AM109="Failed"),"Exclude from Completed Sales","Include in Completed Sales")</f>
        <v>Include in Completed Sales</v>
      </c>
      <c r="AE109" s="6">
        <f t="shared" si="25"/>
        <v>12263.236500000001</v>
      </c>
      <c r="AF109" s="6" t="str">
        <f t="shared" si="26"/>
        <v/>
      </c>
      <c r="AG109" s="6">
        <v>8925.57</v>
      </c>
      <c r="AH109" s="6">
        <v>3337.67</v>
      </c>
      <c r="AI109" s="6">
        <f t="shared" si="27"/>
        <v>3337.6665000000012</v>
      </c>
      <c r="AJ109" s="11">
        <f t="shared" si="28"/>
        <v>0.27216848504878799</v>
      </c>
      <c r="AK109" s="11" t="str">
        <f t="shared" si="29"/>
        <v>October</v>
      </c>
      <c r="AL109" s="12">
        <f t="shared" si="30"/>
        <v>2024</v>
      </c>
      <c r="AM109" s="6" t="s">
        <v>54</v>
      </c>
      <c r="AN109" s="6" t="s">
        <v>55</v>
      </c>
      <c r="AO109" s="6" t="str">
        <f t="shared" si="22"/>
        <v>Completed</v>
      </c>
    </row>
    <row r="110" spans="1:41">
      <c r="A110" s="6" t="s">
        <v>654</v>
      </c>
      <c r="B110" s="7" t="s">
        <v>655</v>
      </c>
      <c r="C110" s="8">
        <v>45519</v>
      </c>
      <c r="D110" s="7" t="s">
        <v>656</v>
      </c>
      <c r="E110" s="9">
        <v>45527</v>
      </c>
      <c r="F110" s="9" t="str">
        <f t="shared" si="15"/>
        <v>Valid</v>
      </c>
      <c r="G110" s="10">
        <f t="shared" si="16"/>
        <v>8</v>
      </c>
      <c r="H110" s="10" t="str">
        <f t="shared" si="17"/>
        <v>Valid</v>
      </c>
      <c r="I110" s="6" t="s">
        <v>657</v>
      </c>
      <c r="J110" s="6" t="s">
        <v>127</v>
      </c>
      <c r="K110" s="6" t="s">
        <v>127</v>
      </c>
      <c r="L110" s="6" t="s">
        <v>61</v>
      </c>
      <c r="M110" s="7" t="str">
        <f t="shared" si="18"/>
        <v>Small Business</v>
      </c>
      <c r="N110" s="6" t="s">
        <v>62</v>
      </c>
      <c r="O110" s="7" t="str">
        <f t="shared" si="19"/>
        <v>East</v>
      </c>
      <c r="P110" s="6" t="s">
        <v>63</v>
      </c>
      <c r="Q110" s="6" t="s">
        <v>64</v>
      </c>
      <c r="R110" s="6" t="s">
        <v>65</v>
      </c>
      <c r="S110" s="7" t="str">
        <f t="shared" si="20"/>
        <v>Furniture</v>
      </c>
      <c r="T110" s="6" t="s">
        <v>224</v>
      </c>
      <c r="U110" s="6" t="s">
        <v>658</v>
      </c>
      <c r="V110" s="6" t="s">
        <v>68</v>
      </c>
      <c r="W110" s="7" t="str">
        <f t="shared" si="21"/>
        <v>Same Day</v>
      </c>
      <c r="X110" s="6">
        <v>2</v>
      </c>
      <c r="Y110" s="6">
        <v>537.54</v>
      </c>
      <c r="Z110" s="6">
        <v>0.25</v>
      </c>
      <c r="AA110" s="6">
        <f t="shared" si="23"/>
        <v>0.25</v>
      </c>
      <c r="AB110" s="6" t="str">
        <f t="shared" si="24"/>
        <v>Valid</v>
      </c>
      <c r="AC110" s="6">
        <v>806.31</v>
      </c>
      <c r="AD110" s="6" t="str">
        <f>IF(OR(AO110="Cancelled",AM110="Failed"),"Exclude from Completed Sales","Include in Completed Sales")</f>
        <v>Include in Completed Sales</v>
      </c>
      <c r="AE110" s="6">
        <f t="shared" si="25"/>
        <v>806.31</v>
      </c>
      <c r="AF110" s="6" t="str">
        <f t="shared" si="26"/>
        <v/>
      </c>
      <c r="AG110" s="6">
        <v>498.5</v>
      </c>
      <c r="AH110" s="6">
        <v>307.81</v>
      </c>
      <c r="AI110" s="6">
        <f t="shared" si="27"/>
        <v>307.80999999999995</v>
      </c>
      <c r="AJ110" s="11">
        <f t="shared" si="28"/>
        <v>0.38175143555208291</v>
      </c>
      <c r="AK110" s="11" t="str">
        <f t="shared" si="29"/>
        <v>August</v>
      </c>
      <c r="AL110" s="12">
        <f t="shared" si="30"/>
        <v>2024</v>
      </c>
      <c r="AM110" s="6" t="s">
        <v>54</v>
      </c>
      <c r="AN110" s="6" t="s">
        <v>55</v>
      </c>
      <c r="AO110" s="6" t="str">
        <f t="shared" si="22"/>
        <v>Completed</v>
      </c>
    </row>
    <row r="111" spans="1:41">
      <c r="A111" s="6" t="s">
        <v>659</v>
      </c>
      <c r="B111" s="7" t="s">
        <v>660</v>
      </c>
      <c r="C111" s="8">
        <v>45892</v>
      </c>
      <c r="D111" s="7" t="s">
        <v>499</v>
      </c>
      <c r="E111" s="9">
        <v>45896</v>
      </c>
      <c r="F111" s="9" t="str">
        <f t="shared" si="15"/>
        <v>Valid</v>
      </c>
      <c r="G111" s="10">
        <f t="shared" si="16"/>
        <v>4</v>
      </c>
      <c r="H111" s="10" t="str">
        <f t="shared" si="17"/>
        <v>Valid</v>
      </c>
      <c r="I111" s="6" t="s">
        <v>661</v>
      </c>
      <c r="J111" s="6" t="s">
        <v>188</v>
      </c>
      <c r="K111" s="6" t="s">
        <v>188</v>
      </c>
      <c r="L111" s="6" t="s">
        <v>46</v>
      </c>
      <c r="M111" s="7" t="str">
        <f t="shared" si="18"/>
        <v>Consumer</v>
      </c>
      <c r="N111" s="6" t="s">
        <v>47</v>
      </c>
      <c r="O111" s="7" t="str">
        <f t="shared" si="19"/>
        <v>North</v>
      </c>
      <c r="P111" s="6" t="s">
        <v>526</v>
      </c>
      <c r="Q111" s="6" t="s">
        <v>527</v>
      </c>
      <c r="R111" s="6" t="s">
        <v>50</v>
      </c>
      <c r="S111" s="7" t="str">
        <f t="shared" si="20"/>
        <v>Office Supplies</v>
      </c>
      <c r="T111" s="6" t="s">
        <v>218</v>
      </c>
      <c r="U111" s="6" t="s">
        <v>662</v>
      </c>
      <c r="V111" s="6" t="s">
        <v>53</v>
      </c>
      <c r="W111" s="7" t="str">
        <f t="shared" si="21"/>
        <v>Second Class</v>
      </c>
      <c r="X111" s="6">
        <v>1</v>
      </c>
      <c r="Y111" s="6">
        <v>2788.62</v>
      </c>
      <c r="Z111" s="6">
        <v>0.25</v>
      </c>
      <c r="AA111" s="6">
        <f t="shared" si="23"/>
        <v>0.25</v>
      </c>
      <c r="AB111" s="6" t="str">
        <f t="shared" si="24"/>
        <v>Valid</v>
      </c>
      <c r="AC111" s="6">
        <v>2091.4699999999998</v>
      </c>
      <c r="AD111" s="6" t="str">
        <f>IF(OR(AO111="Cancelled",AM111="Failed"),"Exclude from Completed Sales","Include in Completed Sales")</f>
        <v>Include in Completed Sales</v>
      </c>
      <c r="AE111" s="6">
        <f t="shared" si="25"/>
        <v>2091.4650000000001</v>
      </c>
      <c r="AF111" s="6" t="str">
        <f t="shared" si="26"/>
        <v/>
      </c>
      <c r="AG111" s="6">
        <v>1317.22</v>
      </c>
      <c r="AH111" s="6">
        <v>774.25</v>
      </c>
      <c r="AI111" s="6">
        <f t="shared" si="27"/>
        <v>774.24500000000012</v>
      </c>
      <c r="AJ111" s="11">
        <f t="shared" si="28"/>
        <v>0.37019266399389905</v>
      </c>
      <c r="AK111" s="11" t="str">
        <f t="shared" si="29"/>
        <v>August</v>
      </c>
      <c r="AL111" s="12">
        <f t="shared" si="30"/>
        <v>2025</v>
      </c>
      <c r="AM111" s="6" t="s">
        <v>54</v>
      </c>
      <c r="AN111" s="6" t="s">
        <v>55</v>
      </c>
      <c r="AO111" s="6" t="str">
        <f t="shared" si="22"/>
        <v>Completed</v>
      </c>
    </row>
    <row r="112" spans="1:41">
      <c r="A112" s="6" t="s">
        <v>663</v>
      </c>
      <c r="B112" s="7" t="s">
        <v>664</v>
      </c>
      <c r="C112" s="8">
        <v>45583</v>
      </c>
      <c r="D112" s="7" t="s">
        <v>665</v>
      </c>
      <c r="E112" s="9">
        <v>45589</v>
      </c>
      <c r="F112" s="9" t="str">
        <f t="shared" si="15"/>
        <v>Valid</v>
      </c>
      <c r="G112" s="10">
        <f t="shared" si="16"/>
        <v>6</v>
      </c>
      <c r="H112" s="10" t="str">
        <f t="shared" si="17"/>
        <v>Valid</v>
      </c>
      <c r="I112" s="6" t="s">
        <v>666</v>
      </c>
      <c r="J112" s="6" t="s">
        <v>103</v>
      </c>
      <c r="K112" s="6" t="s">
        <v>103</v>
      </c>
      <c r="L112" s="6" t="s">
        <v>128</v>
      </c>
      <c r="M112" s="7" t="str">
        <f t="shared" si="18"/>
        <v>Corporate</v>
      </c>
      <c r="N112" s="6" t="s">
        <v>82</v>
      </c>
      <c r="O112" s="7" t="str">
        <f t="shared" si="19"/>
        <v>South</v>
      </c>
      <c r="P112" s="6" t="s">
        <v>262</v>
      </c>
      <c r="Q112" s="6" t="s">
        <v>263</v>
      </c>
      <c r="R112" s="6" t="s">
        <v>50</v>
      </c>
      <c r="S112" s="7" t="str">
        <f t="shared" si="20"/>
        <v>Office Supplies</v>
      </c>
      <c r="T112" s="6" t="s">
        <v>129</v>
      </c>
      <c r="U112" s="6" t="s">
        <v>667</v>
      </c>
      <c r="V112" s="6" t="s">
        <v>76</v>
      </c>
      <c r="W112" s="7" t="str">
        <f t="shared" si="21"/>
        <v>First Class</v>
      </c>
      <c r="X112" s="6">
        <v>2</v>
      </c>
      <c r="Y112" s="6">
        <v>2250.4699999999998</v>
      </c>
      <c r="Z112" s="6">
        <v>0</v>
      </c>
      <c r="AA112" s="6">
        <f t="shared" si="23"/>
        <v>0</v>
      </c>
      <c r="AB112" s="6" t="str">
        <f t="shared" si="24"/>
        <v>Valid</v>
      </c>
      <c r="AC112" s="6">
        <v>4500.9399999999996</v>
      </c>
      <c r="AD112" s="6" t="str">
        <f>IF(OR(AO112="Cancelled",AM112="Failed"),"Exclude from Completed Sales","Include in Completed Sales")</f>
        <v>Exclude from Completed Sales</v>
      </c>
      <c r="AE112" s="6">
        <f t="shared" si="25"/>
        <v>4500.9399999999996</v>
      </c>
      <c r="AF112" s="6" t="str">
        <f t="shared" si="26"/>
        <v>Refunded</v>
      </c>
      <c r="AG112" s="6">
        <v>2607.73</v>
      </c>
      <c r="AH112" s="6">
        <v>1893.21</v>
      </c>
      <c r="AI112" s="6">
        <f t="shared" si="27"/>
        <v>1893.2099999999996</v>
      </c>
      <c r="AJ112" s="11">
        <f t="shared" si="28"/>
        <v>0.42062546934640316</v>
      </c>
      <c r="AK112" s="11" t="str">
        <f t="shared" si="29"/>
        <v>October</v>
      </c>
      <c r="AL112" s="12">
        <f t="shared" si="30"/>
        <v>2024</v>
      </c>
      <c r="AM112" s="6" t="s">
        <v>144</v>
      </c>
      <c r="AN112" s="6" t="s">
        <v>98</v>
      </c>
      <c r="AO112" s="6" t="str">
        <f t="shared" si="22"/>
        <v>Cancelled</v>
      </c>
    </row>
    <row r="113" spans="1:41">
      <c r="A113" s="6" t="s">
        <v>668</v>
      </c>
      <c r="B113" s="7" t="s">
        <v>669</v>
      </c>
      <c r="C113" s="8">
        <v>45835</v>
      </c>
      <c r="D113" s="7" t="s">
        <v>670</v>
      </c>
      <c r="E113" s="9">
        <v>45838</v>
      </c>
      <c r="F113" s="9" t="str">
        <f t="shared" si="15"/>
        <v>Valid</v>
      </c>
      <c r="G113" s="10">
        <f t="shared" si="16"/>
        <v>3</v>
      </c>
      <c r="H113" s="10" t="str">
        <f t="shared" si="17"/>
        <v>Valid</v>
      </c>
      <c r="I113" s="6" t="s">
        <v>671</v>
      </c>
      <c r="J113" s="6" t="s">
        <v>113</v>
      </c>
      <c r="K113" s="6" t="s">
        <v>113</v>
      </c>
      <c r="L113" s="6" t="s">
        <v>128</v>
      </c>
      <c r="M113" s="7" t="str">
        <f t="shared" si="18"/>
        <v>Corporate</v>
      </c>
      <c r="N113" s="6" t="s">
        <v>62</v>
      </c>
      <c r="O113" s="7" t="str">
        <f t="shared" si="19"/>
        <v>East</v>
      </c>
      <c r="P113" s="6" t="s">
        <v>206</v>
      </c>
      <c r="Q113" s="6" t="s">
        <v>207</v>
      </c>
      <c r="R113" s="6" t="s">
        <v>106</v>
      </c>
      <c r="S113" s="7" t="str">
        <f t="shared" si="20"/>
        <v>Technology</v>
      </c>
      <c r="T113" s="6" t="s">
        <v>107</v>
      </c>
      <c r="U113" s="6" t="s">
        <v>672</v>
      </c>
      <c r="V113" s="6" t="s">
        <v>76</v>
      </c>
      <c r="W113" s="7" t="str">
        <f t="shared" si="21"/>
        <v>First Class</v>
      </c>
      <c r="X113" s="6">
        <v>1</v>
      </c>
      <c r="Y113" s="6">
        <v>1708.44</v>
      </c>
      <c r="Z113" s="6">
        <v>0.05</v>
      </c>
      <c r="AA113" s="6">
        <f t="shared" si="23"/>
        <v>0.05</v>
      </c>
      <c r="AB113" s="6" t="str">
        <f t="shared" si="24"/>
        <v>Valid</v>
      </c>
      <c r="AC113" s="6">
        <v>1623.02</v>
      </c>
      <c r="AD113" s="6" t="str">
        <f>IF(OR(AO113="Cancelled",AM113="Failed"),"Exclude from Completed Sales","Include in Completed Sales")</f>
        <v>Exclude from Completed Sales</v>
      </c>
      <c r="AE113" s="6">
        <f t="shared" si="25"/>
        <v>1623.018</v>
      </c>
      <c r="AF113" s="6" t="str">
        <f t="shared" si="26"/>
        <v/>
      </c>
      <c r="AG113" s="6">
        <v>1077.46</v>
      </c>
      <c r="AH113" s="6">
        <v>545.55999999999995</v>
      </c>
      <c r="AI113" s="6">
        <f t="shared" si="27"/>
        <v>545.55799999999999</v>
      </c>
      <c r="AJ113" s="11">
        <f t="shared" si="28"/>
        <v>0.3361379849145234</v>
      </c>
      <c r="AK113" s="11" t="str">
        <f t="shared" si="29"/>
        <v>June</v>
      </c>
      <c r="AL113" s="12">
        <f t="shared" si="30"/>
        <v>2025</v>
      </c>
      <c r="AM113" s="6" t="s">
        <v>157</v>
      </c>
      <c r="AN113" s="6" t="s">
        <v>98</v>
      </c>
      <c r="AO113" s="6" t="str">
        <f t="shared" si="22"/>
        <v>Cancelled</v>
      </c>
    </row>
    <row r="114" spans="1:41">
      <c r="A114" s="6" t="s">
        <v>673</v>
      </c>
      <c r="B114" s="7" t="s">
        <v>674</v>
      </c>
      <c r="C114" s="8">
        <v>45301</v>
      </c>
      <c r="D114" s="7" t="s">
        <v>675</v>
      </c>
      <c r="E114" s="9">
        <v>45305</v>
      </c>
      <c r="F114" s="9" t="str">
        <f t="shared" si="15"/>
        <v>Valid</v>
      </c>
      <c r="G114" s="10">
        <f t="shared" si="16"/>
        <v>4</v>
      </c>
      <c r="H114" s="10" t="str">
        <f t="shared" si="17"/>
        <v>Valid</v>
      </c>
      <c r="I114" s="6" t="s">
        <v>676</v>
      </c>
      <c r="J114" s="6" t="s">
        <v>188</v>
      </c>
      <c r="K114" s="6" t="s">
        <v>188</v>
      </c>
      <c r="L114" s="6" t="s">
        <v>46</v>
      </c>
      <c r="M114" s="7" t="str">
        <f t="shared" si="18"/>
        <v>Consumer</v>
      </c>
      <c r="N114" s="6"/>
      <c r="O114" s="7" t="str">
        <f t="shared" si="19"/>
        <v>Unknown</v>
      </c>
      <c r="P114" s="6" t="s">
        <v>255</v>
      </c>
      <c r="Q114" s="6" t="s">
        <v>256</v>
      </c>
      <c r="R114" s="6" t="s">
        <v>106</v>
      </c>
      <c r="S114" s="7" t="str">
        <f t="shared" si="20"/>
        <v>Technology</v>
      </c>
      <c r="T114" s="6" t="s">
        <v>107</v>
      </c>
      <c r="U114" s="6" t="s">
        <v>677</v>
      </c>
      <c r="V114" s="6" t="s">
        <v>87</v>
      </c>
      <c r="W114" s="7" t="str">
        <f t="shared" si="21"/>
        <v>Standard Class</v>
      </c>
      <c r="X114" s="6">
        <v>3</v>
      </c>
      <c r="Y114" s="6">
        <v>3829.48</v>
      </c>
      <c r="Z114" s="6">
        <v>0.05</v>
      </c>
      <c r="AA114" s="6">
        <f t="shared" si="23"/>
        <v>0.05</v>
      </c>
      <c r="AB114" s="6" t="str">
        <f t="shared" si="24"/>
        <v>Valid</v>
      </c>
      <c r="AC114" s="6">
        <v>10914.02</v>
      </c>
      <c r="AD114" s="6" t="str">
        <f>IF(OR(AO114="Cancelled",AM114="Failed"),"Exclude from Completed Sales","Include in Completed Sales")</f>
        <v>Include in Completed Sales</v>
      </c>
      <c r="AE114" s="6">
        <f t="shared" si="25"/>
        <v>10914.018</v>
      </c>
      <c r="AF114" s="6" t="str">
        <f t="shared" si="26"/>
        <v/>
      </c>
      <c r="AG114" s="6">
        <v>6548.74</v>
      </c>
      <c r="AH114" s="6">
        <v>4365.28</v>
      </c>
      <c r="AI114" s="6">
        <f t="shared" si="27"/>
        <v>4365.2780000000002</v>
      </c>
      <c r="AJ114" s="11">
        <f t="shared" si="28"/>
        <v>0.39996983695647198</v>
      </c>
      <c r="AK114" s="11" t="str">
        <f t="shared" si="29"/>
        <v>January</v>
      </c>
      <c r="AL114" s="12">
        <f t="shared" si="30"/>
        <v>2024</v>
      </c>
      <c r="AM114" s="6" t="s">
        <v>54</v>
      </c>
      <c r="AN114" s="6" t="s">
        <v>55</v>
      </c>
      <c r="AO114" s="6" t="str">
        <f t="shared" si="22"/>
        <v>Completed</v>
      </c>
    </row>
    <row r="115" spans="1:41">
      <c r="A115" s="6" t="s">
        <v>678</v>
      </c>
      <c r="B115" s="7" t="s">
        <v>679</v>
      </c>
      <c r="C115" s="8">
        <v>45334</v>
      </c>
      <c r="D115" s="7" t="s">
        <v>679</v>
      </c>
      <c r="E115" s="9">
        <v>45334</v>
      </c>
      <c r="F115" s="9" t="str">
        <f t="shared" si="15"/>
        <v>Valid</v>
      </c>
      <c r="G115" s="10">
        <f t="shared" si="16"/>
        <v>0</v>
      </c>
      <c r="H115" s="10" t="str">
        <f t="shared" si="17"/>
        <v>Valid</v>
      </c>
      <c r="I115" s="6" t="s">
        <v>541</v>
      </c>
      <c r="J115" s="6" t="s">
        <v>73</v>
      </c>
      <c r="K115" s="6" t="s">
        <v>73</v>
      </c>
      <c r="L115" s="6" t="s">
        <v>135</v>
      </c>
      <c r="M115" s="7" t="str">
        <f t="shared" si="18"/>
        <v>Home Office</v>
      </c>
      <c r="N115" s="6" t="s">
        <v>82</v>
      </c>
      <c r="O115" s="7" t="str">
        <f t="shared" si="19"/>
        <v>South</v>
      </c>
      <c r="P115" s="6" t="s">
        <v>359</v>
      </c>
      <c r="Q115" s="6" t="s">
        <v>360</v>
      </c>
      <c r="R115" s="6" t="s">
        <v>65</v>
      </c>
      <c r="S115" s="7" t="str">
        <f t="shared" si="20"/>
        <v>Furniture</v>
      </c>
      <c r="T115" s="6" t="s">
        <v>66</v>
      </c>
      <c r="U115" s="6" t="s">
        <v>680</v>
      </c>
      <c r="V115" s="6" t="s">
        <v>87</v>
      </c>
      <c r="W115" s="7" t="str">
        <f t="shared" si="21"/>
        <v>Standard Class</v>
      </c>
      <c r="X115" s="6">
        <v>3</v>
      </c>
      <c r="Y115" s="6">
        <v>1089.1500000000001</v>
      </c>
      <c r="Z115" s="6">
        <v>0.25</v>
      </c>
      <c r="AA115" s="6">
        <f t="shared" si="23"/>
        <v>0.25</v>
      </c>
      <c r="AB115" s="6" t="str">
        <f t="shared" si="24"/>
        <v>Valid</v>
      </c>
      <c r="AC115" s="6">
        <v>2450.59</v>
      </c>
      <c r="AD115" s="6" t="str">
        <f>IF(OR(AO115="Cancelled",AM115="Failed"),"Exclude from Completed Sales","Include in Completed Sales")</f>
        <v>Include in Completed Sales</v>
      </c>
      <c r="AE115" s="6">
        <f t="shared" si="25"/>
        <v>2450.5875000000001</v>
      </c>
      <c r="AF115" s="6" t="str">
        <f t="shared" si="26"/>
        <v/>
      </c>
      <c r="AG115" s="6">
        <v>1639.89</v>
      </c>
      <c r="AH115" s="6">
        <v>810.7</v>
      </c>
      <c r="AI115" s="6">
        <f t="shared" si="27"/>
        <v>810.69749999999999</v>
      </c>
      <c r="AJ115" s="11">
        <f t="shared" si="28"/>
        <v>0.33081761006289306</v>
      </c>
      <c r="AK115" s="11" t="str">
        <f t="shared" si="29"/>
        <v>February</v>
      </c>
      <c r="AL115" s="12">
        <f t="shared" si="30"/>
        <v>2024</v>
      </c>
      <c r="AM115" s="6" t="s">
        <v>54</v>
      </c>
      <c r="AN115" s="6" t="s">
        <v>55</v>
      </c>
      <c r="AO115" s="6" t="str">
        <f t="shared" si="22"/>
        <v>Completed</v>
      </c>
    </row>
    <row r="116" spans="1:41">
      <c r="A116" s="6" t="s">
        <v>681</v>
      </c>
      <c r="B116" s="7" t="s">
        <v>682</v>
      </c>
      <c r="C116" s="8">
        <v>45560</v>
      </c>
      <c r="D116" s="7" t="s">
        <v>683</v>
      </c>
      <c r="E116" s="9">
        <v>45565</v>
      </c>
      <c r="F116" s="9" t="str">
        <f t="shared" si="15"/>
        <v>Valid</v>
      </c>
      <c r="G116" s="10">
        <f t="shared" si="16"/>
        <v>5</v>
      </c>
      <c r="H116" s="10" t="str">
        <f t="shared" si="17"/>
        <v>Valid</v>
      </c>
      <c r="I116" s="6" t="s">
        <v>684</v>
      </c>
      <c r="J116" s="6" t="s">
        <v>113</v>
      </c>
      <c r="K116" s="6" t="s">
        <v>113</v>
      </c>
      <c r="L116" s="6" t="s">
        <v>61</v>
      </c>
      <c r="M116" s="7" t="str">
        <f t="shared" si="18"/>
        <v>Small Business</v>
      </c>
      <c r="N116" s="6" t="s">
        <v>47</v>
      </c>
      <c r="O116" s="7" t="str">
        <f t="shared" si="19"/>
        <v>North</v>
      </c>
      <c r="P116" s="6" t="s">
        <v>48</v>
      </c>
      <c r="Q116" s="6" t="s">
        <v>49</v>
      </c>
      <c r="R116" s="6" t="s">
        <v>106</v>
      </c>
      <c r="S116" s="7" t="str">
        <f t="shared" si="20"/>
        <v>Technology</v>
      </c>
      <c r="T116" s="6" t="s">
        <v>107</v>
      </c>
      <c r="U116" s="6" t="s">
        <v>685</v>
      </c>
      <c r="V116" s="6" t="s">
        <v>53</v>
      </c>
      <c r="W116" s="7" t="str">
        <f t="shared" si="21"/>
        <v>Second Class</v>
      </c>
      <c r="X116" s="6">
        <v>1</v>
      </c>
      <c r="Y116" s="6">
        <v>4388.3999999999996</v>
      </c>
      <c r="Z116" s="6">
        <v>0.1</v>
      </c>
      <c r="AA116" s="6">
        <f t="shared" si="23"/>
        <v>0.1</v>
      </c>
      <c r="AB116" s="6" t="str">
        <f t="shared" si="24"/>
        <v>Valid</v>
      </c>
      <c r="AC116" s="6">
        <v>3949.56</v>
      </c>
      <c r="AD116" s="6" t="str">
        <f>IF(OR(AO116="Cancelled",AM116="Failed"),"Exclude from Completed Sales","Include in Completed Sales")</f>
        <v>Exclude from Completed Sales</v>
      </c>
      <c r="AE116" s="6">
        <f t="shared" si="25"/>
        <v>3949.56</v>
      </c>
      <c r="AF116" s="6" t="str">
        <f t="shared" si="26"/>
        <v/>
      </c>
      <c r="AG116" s="6">
        <v>3186.73</v>
      </c>
      <c r="AH116" s="6">
        <v>762.83</v>
      </c>
      <c r="AI116" s="6">
        <f t="shared" si="27"/>
        <v>762.82999999999993</v>
      </c>
      <c r="AJ116" s="11">
        <f t="shared" si="28"/>
        <v>0.19314303365438173</v>
      </c>
      <c r="AK116" s="11" t="str">
        <f t="shared" si="29"/>
        <v>September</v>
      </c>
      <c r="AL116" s="12">
        <f t="shared" si="30"/>
        <v>2024</v>
      </c>
      <c r="AM116" s="6" t="s">
        <v>157</v>
      </c>
      <c r="AN116" s="6" t="s">
        <v>98</v>
      </c>
      <c r="AO116" s="6" t="str">
        <f t="shared" si="22"/>
        <v>Cancelled</v>
      </c>
    </row>
    <row r="117" spans="1:41">
      <c r="A117" s="6" t="s">
        <v>686</v>
      </c>
      <c r="B117" s="7" t="s">
        <v>687</v>
      </c>
      <c r="C117" s="8">
        <v>45653</v>
      </c>
      <c r="D117" s="7" t="s">
        <v>688</v>
      </c>
      <c r="E117" s="9">
        <v>45658</v>
      </c>
      <c r="F117" s="9" t="str">
        <f t="shared" si="15"/>
        <v>Valid</v>
      </c>
      <c r="G117" s="10">
        <f t="shared" si="16"/>
        <v>5</v>
      </c>
      <c r="H117" s="10" t="str">
        <f t="shared" si="17"/>
        <v>Valid</v>
      </c>
      <c r="I117" s="6" t="s">
        <v>689</v>
      </c>
      <c r="J117" s="6" t="s">
        <v>386</v>
      </c>
      <c r="K117" s="6" t="s">
        <v>386</v>
      </c>
      <c r="L117" s="6" t="s">
        <v>128</v>
      </c>
      <c r="M117" s="7" t="str">
        <f t="shared" si="18"/>
        <v>Corporate</v>
      </c>
      <c r="N117" s="6" t="s">
        <v>82</v>
      </c>
      <c r="O117" s="7" t="str">
        <f t="shared" si="19"/>
        <v>South</v>
      </c>
      <c r="P117" s="6" t="s">
        <v>359</v>
      </c>
      <c r="Q117" s="6" t="s">
        <v>360</v>
      </c>
      <c r="R117" s="6" t="s">
        <v>50</v>
      </c>
      <c r="S117" s="7" t="str">
        <f t="shared" si="20"/>
        <v>Office Supplies</v>
      </c>
      <c r="T117" s="6" t="s">
        <v>218</v>
      </c>
      <c r="U117" s="6" t="s">
        <v>690</v>
      </c>
      <c r="V117" s="6" t="s">
        <v>68</v>
      </c>
      <c r="W117" s="7" t="str">
        <f t="shared" si="21"/>
        <v>Same Day</v>
      </c>
      <c r="X117" s="6">
        <v>2</v>
      </c>
      <c r="Y117" s="6">
        <v>446.34</v>
      </c>
      <c r="Z117" s="6">
        <v>0.15</v>
      </c>
      <c r="AA117" s="6">
        <f t="shared" si="23"/>
        <v>0.15</v>
      </c>
      <c r="AB117" s="6" t="str">
        <f t="shared" si="24"/>
        <v>Valid</v>
      </c>
      <c r="AC117" s="6">
        <v>758.78</v>
      </c>
      <c r="AD117" s="6" t="str">
        <f>IF(OR(AO117="Cancelled",AM117="Failed"),"Exclude from Completed Sales","Include in Completed Sales")</f>
        <v>Exclude from Completed Sales</v>
      </c>
      <c r="AE117" s="6">
        <f t="shared" si="25"/>
        <v>758.77799999999991</v>
      </c>
      <c r="AF117" s="6" t="str">
        <f t="shared" si="26"/>
        <v/>
      </c>
      <c r="AG117" s="6">
        <v>490.74</v>
      </c>
      <c r="AH117" s="6">
        <v>268.04000000000002</v>
      </c>
      <c r="AI117" s="6">
        <f t="shared" si="27"/>
        <v>268.0379999999999</v>
      </c>
      <c r="AJ117" s="11">
        <f t="shared" si="28"/>
        <v>0.35324956706704719</v>
      </c>
      <c r="AK117" s="11" t="str">
        <f t="shared" si="29"/>
        <v>December</v>
      </c>
      <c r="AL117" s="12">
        <f t="shared" si="30"/>
        <v>2024</v>
      </c>
      <c r="AM117" s="6" t="s">
        <v>54</v>
      </c>
      <c r="AN117" s="6" t="s">
        <v>98</v>
      </c>
      <c r="AO117" s="6" t="str">
        <f t="shared" si="22"/>
        <v>Cancelled</v>
      </c>
    </row>
    <row r="118" spans="1:41">
      <c r="A118" s="6" t="s">
        <v>691</v>
      </c>
      <c r="B118" s="7" t="s">
        <v>692</v>
      </c>
      <c r="C118" s="8">
        <v>45703</v>
      </c>
      <c r="D118" s="7" t="s">
        <v>693</v>
      </c>
      <c r="E118" s="9">
        <v>45707</v>
      </c>
      <c r="F118" s="9" t="str">
        <f t="shared" si="15"/>
        <v>Valid</v>
      </c>
      <c r="G118" s="10">
        <f t="shared" si="16"/>
        <v>4</v>
      </c>
      <c r="H118" s="10" t="str">
        <f t="shared" si="17"/>
        <v>Valid</v>
      </c>
      <c r="I118" s="6" t="s">
        <v>694</v>
      </c>
      <c r="J118" s="6" t="s">
        <v>92</v>
      </c>
      <c r="K118" s="6" t="s">
        <v>92</v>
      </c>
      <c r="L118" s="6" t="s">
        <v>61</v>
      </c>
      <c r="M118" s="7" t="str">
        <f t="shared" si="18"/>
        <v>Small Business</v>
      </c>
      <c r="N118" s="6"/>
      <c r="O118" s="7" t="str">
        <f t="shared" si="19"/>
        <v>Unknown</v>
      </c>
      <c r="P118" s="6" t="s">
        <v>104</v>
      </c>
      <c r="Q118" s="6" t="s">
        <v>105</v>
      </c>
      <c r="R118" s="6" t="s">
        <v>50</v>
      </c>
      <c r="S118" s="7" t="str">
        <f t="shared" si="20"/>
        <v>Office Supplies</v>
      </c>
      <c r="T118" s="6" t="s">
        <v>218</v>
      </c>
      <c r="U118" s="6" t="s">
        <v>695</v>
      </c>
      <c r="V118" s="6" t="s">
        <v>76</v>
      </c>
      <c r="W118" s="7" t="str">
        <f t="shared" si="21"/>
        <v>First Class</v>
      </c>
      <c r="X118" s="6">
        <v>9</v>
      </c>
      <c r="Y118" s="6">
        <v>531.99</v>
      </c>
      <c r="Z118" s="6">
        <v>0.25</v>
      </c>
      <c r="AA118" s="6">
        <f t="shared" si="23"/>
        <v>0.25</v>
      </c>
      <c r="AB118" s="6" t="str">
        <f t="shared" si="24"/>
        <v>Valid</v>
      </c>
      <c r="AC118" s="6">
        <v>3590.93</v>
      </c>
      <c r="AD118" s="6" t="str">
        <f>IF(OR(AO118="Cancelled",AM118="Failed"),"Exclude from Completed Sales","Include in Completed Sales")</f>
        <v>Exclude from Completed Sales</v>
      </c>
      <c r="AE118" s="6">
        <f t="shared" si="25"/>
        <v>3590.9324999999999</v>
      </c>
      <c r="AF118" s="6" t="str">
        <f t="shared" si="26"/>
        <v/>
      </c>
      <c r="AG118" s="6">
        <v>3061.39</v>
      </c>
      <c r="AH118" s="6">
        <v>529.54</v>
      </c>
      <c r="AI118" s="6">
        <f t="shared" si="27"/>
        <v>529.54250000000002</v>
      </c>
      <c r="AJ118" s="11">
        <f t="shared" si="28"/>
        <v>0.14746657031286442</v>
      </c>
      <c r="AK118" s="11" t="str">
        <f t="shared" si="29"/>
        <v>February</v>
      </c>
      <c r="AL118" s="12">
        <f t="shared" si="30"/>
        <v>2025</v>
      </c>
      <c r="AM118" s="6" t="s">
        <v>220</v>
      </c>
      <c r="AN118" s="6" t="s">
        <v>98</v>
      </c>
      <c r="AO118" s="6" t="str">
        <f t="shared" si="22"/>
        <v>Cancelled</v>
      </c>
    </row>
    <row r="119" spans="1:41">
      <c r="A119" s="6" t="s">
        <v>696</v>
      </c>
      <c r="B119" s="7" t="s">
        <v>697</v>
      </c>
      <c r="C119" s="8">
        <v>45337</v>
      </c>
      <c r="D119" s="7" t="s">
        <v>698</v>
      </c>
      <c r="E119" s="9">
        <v>45339</v>
      </c>
      <c r="F119" s="9" t="str">
        <f t="shared" si="15"/>
        <v>Valid</v>
      </c>
      <c r="G119" s="10">
        <f t="shared" si="16"/>
        <v>2</v>
      </c>
      <c r="H119" s="10" t="str">
        <f t="shared" si="17"/>
        <v>Valid</v>
      </c>
      <c r="I119" s="6" t="s">
        <v>699</v>
      </c>
      <c r="J119" s="6" t="s">
        <v>60</v>
      </c>
      <c r="K119" s="6" t="s">
        <v>60</v>
      </c>
      <c r="L119" s="6" t="s">
        <v>135</v>
      </c>
      <c r="M119" s="7" t="str">
        <f t="shared" si="18"/>
        <v>Home Office</v>
      </c>
      <c r="N119" s="6" t="s">
        <v>82</v>
      </c>
      <c r="O119" s="7" t="str">
        <f t="shared" si="19"/>
        <v>South</v>
      </c>
      <c r="P119" s="6" t="s">
        <v>359</v>
      </c>
      <c r="Q119" s="6" t="s">
        <v>360</v>
      </c>
      <c r="R119" s="6" t="s">
        <v>106</v>
      </c>
      <c r="S119" s="7" t="str">
        <f t="shared" si="20"/>
        <v>Technology</v>
      </c>
      <c r="T119" s="6" t="s">
        <v>402</v>
      </c>
      <c r="U119" s="6" t="s">
        <v>700</v>
      </c>
      <c r="V119" s="6" t="s">
        <v>87</v>
      </c>
      <c r="W119" s="7" t="str">
        <f t="shared" si="21"/>
        <v>Standard Class</v>
      </c>
      <c r="X119" s="6">
        <v>9</v>
      </c>
      <c r="Y119" s="6">
        <v>3324.55</v>
      </c>
      <c r="Z119" s="6" t="s">
        <v>701</v>
      </c>
      <c r="AA119" s="6" t="str">
        <f t="shared" si="23"/>
        <v>70%</v>
      </c>
      <c r="AB119" s="6" t="str">
        <f t="shared" si="24"/>
        <v>Invalid - Discount Above Limit</v>
      </c>
      <c r="AC119" s="6">
        <v>25432.81</v>
      </c>
      <c r="AD119" s="6" t="str">
        <f>IF(OR(AO119="Cancelled",AM119="Failed"),"Exclude from Completed Sales","Include in Completed Sales")</f>
        <v>Include in Completed Sales</v>
      </c>
      <c r="AE119" s="6">
        <f t="shared" si="25"/>
        <v>8976.2850000000017</v>
      </c>
      <c r="AF119" s="6" t="str">
        <f t="shared" si="26"/>
        <v/>
      </c>
      <c r="AG119" s="6">
        <v>20370.16</v>
      </c>
      <c r="AH119" s="6">
        <v>5062.6499999999996</v>
      </c>
      <c r="AI119" s="6">
        <f t="shared" si="27"/>
        <v>-11393.874999999998</v>
      </c>
      <c r="AJ119" s="11">
        <f t="shared" si="28"/>
        <v>-1.2693307977632167</v>
      </c>
      <c r="AK119" s="11" t="str">
        <f t="shared" si="29"/>
        <v>February</v>
      </c>
      <c r="AL119" s="12">
        <f t="shared" si="30"/>
        <v>2024</v>
      </c>
      <c r="AM119" s="6" t="s">
        <v>54</v>
      </c>
      <c r="AN119" s="6" t="s">
        <v>55</v>
      </c>
      <c r="AO119" s="6" t="str">
        <f t="shared" si="22"/>
        <v>Completed</v>
      </c>
    </row>
    <row r="120" spans="1:41">
      <c r="A120" s="6" t="s">
        <v>702</v>
      </c>
      <c r="B120" s="7" t="s">
        <v>703</v>
      </c>
      <c r="C120" s="8">
        <v>45453</v>
      </c>
      <c r="D120" s="7" t="s">
        <v>704</v>
      </c>
      <c r="E120" s="9">
        <v>45461</v>
      </c>
      <c r="F120" s="9" t="str">
        <f t="shared" si="15"/>
        <v>Valid</v>
      </c>
      <c r="G120" s="10">
        <f t="shared" si="16"/>
        <v>8</v>
      </c>
      <c r="H120" s="10" t="str">
        <f t="shared" si="17"/>
        <v>Valid</v>
      </c>
      <c r="I120" s="6" t="s">
        <v>705</v>
      </c>
      <c r="J120" s="6" t="s">
        <v>706</v>
      </c>
      <c r="K120" s="6" t="s">
        <v>103</v>
      </c>
      <c r="L120" s="6" t="s">
        <v>135</v>
      </c>
      <c r="M120" s="7" t="str">
        <f t="shared" si="18"/>
        <v>Home Office</v>
      </c>
      <c r="N120" s="6" t="s">
        <v>82</v>
      </c>
      <c r="O120" s="7" t="str">
        <f t="shared" si="19"/>
        <v>South</v>
      </c>
      <c r="P120" s="6" t="s">
        <v>120</v>
      </c>
      <c r="Q120" s="6" t="s">
        <v>121</v>
      </c>
      <c r="R120" s="6" t="s">
        <v>106</v>
      </c>
      <c r="S120" s="7" t="str">
        <f t="shared" si="20"/>
        <v>Technology</v>
      </c>
      <c r="T120" s="6" t="s">
        <v>114</v>
      </c>
      <c r="U120" s="6" t="s">
        <v>707</v>
      </c>
      <c r="V120" s="6" t="s">
        <v>68</v>
      </c>
      <c r="W120" s="7" t="str">
        <f t="shared" si="21"/>
        <v>Same Day</v>
      </c>
      <c r="X120" s="6">
        <v>5</v>
      </c>
      <c r="Y120" s="6">
        <v>1580.27</v>
      </c>
      <c r="Z120" s="6">
        <v>0.2</v>
      </c>
      <c r="AA120" s="6">
        <f t="shared" si="23"/>
        <v>0.2</v>
      </c>
      <c r="AB120" s="6" t="str">
        <f t="shared" si="24"/>
        <v>Valid</v>
      </c>
      <c r="AC120" s="6">
        <v>6321.08</v>
      </c>
      <c r="AD120" s="6" t="str">
        <f>IF(OR(AO120="Cancelled",AM120="Failed"),"Exclude from Completed Sales","Include in Completed Sales")</f>
        <v>Include in Completed Sales</v>
      </c>
      <c r="AE120" s="6">
        <f t="shared" si="25"/>
        <v>6321.0800000000008</v>
      </c>
      <c r="AF120" s="6" t="str">
        <f t="shared" si="26"/>
        <v/>
      </c>
      <c r="AG120" s="6">
        <v>4407.22</v>
      </c>
      <c r="AH120" s="6">
        <v>1913.86</v>
      </c>
      <c r="AI120" s="6">
        <f t="shared" si="27"/>
        <v>1913.8600000000006</v>
      </c>
      <c r="AJ120" s="11">
        <f t="shared" si="28"/>
        <v>0.30277420947053357</v>
      </c>
      <c r="AK120" s="11" t="str">
        <f t="shared" si="29"/>
        <v>June</v>
      </c>
      <c r="AL120" s="12">
        <f t="shared" si="30"/>
        <v>2024</v>
      </c>
      <c r="AM120" s="6" t="s">
        <v>54</v>
      </c>
      <c r="AN120" s="6" t="s">
        <v>55</v>
      </c>
      <c r="AO120" s="6" t="str">
        <f t="shared" si="22"/>
        <v>Completed</v>
      </c>
    </row>
    <row r="121" spans="1:41">
      <c r="A121" s="6" t="s">
        <v>708</v>
      </c>
      <c r="B121" s="7" t="s">
        <v>709</v>
      </c>
      <c r="C121" s="8">
        <v>45455</v>
      </c>
      <c r="D121" s="7" t="s">
        <v>710</v>
      </c>
      <c r="E121" s="9">
        <v>45462</v>
      </c>
      <c r="F121" s="9" t="str">
        <f t="shared" si="15"/>
        <v>Valid</v>
      </c>
      <c r="G121" s="10">
        <f t="shared" si="16"/>
        <v>7</v>
      </c>
      <c r="H121" s="10" t="str">
        <f t="shared" si="17"/>
        <v>Valid</v>
      </c>
      <c r="I121" s="6" t="s">
        <v>711</v>
      </c>
      <c r="J121" s="6" t="s">
        <v>127</v>
      </c>
      <c r="K121" s="6" t="s">
        <v>127</v>
      </c>
      <c r="L121" s="6" t="s">
        <v>61</v>
      </c>
      <c r="M121" s="7" t="str">
        <f t="shared" si="18"/>
        <v>Small Business</v>
      </c>
      <c r="N121" s="6" t="s">
        <v>82</v>
      </c>
      <c r="O121" s="7" t="str">
        <f t="shared" si="19"/>
        <v>South</v>
      </c>
      <c r="P121" s="6" t="s">
        <v>262</v>
      </c>
      <c r="Q121" s="6" t="s">
        <v>263</v>
      </c>
      <c r="R121" s="6" t="s">
        <v>65</v>
      </c>
      <c r="S121" s="7" t="str">
        <f t="shared" si="20"/>
        <v>Furniture</v>
      </c>
      <c r="T121" s="6" t="s">
        <v>96</v>
      </c>
      <c r="U121" s="6" t="s">
        <v>712</v>
      </c>
      <c r="V121" s="6" t="s">
        <v>87</v>
      </c>
      <c r="W121" s="7" t="str">
        <f t="shared" si="21"/>
        <v>Standard Class</v>
      </c>
      <c r="X121" s="6">
        <v>8</v>
      </c>
      <c r="Y121" s="6">
        <v>314.05</v>
      </c>
      <c r="Z121" s="6">
        <v>0.25</v>
      </c>
      <c r="AA121" s="6">
        <f t="shared" si="23"/>
        <v>0.25</v>
      </c>
      <c r="AB121" s="6" t="str">
        <f t="shared" si="24"/>
        <v>Valid</v>
      </c>
      <c r="AC121" s="6">
        <v>1884.3</v>
      </c>
      <c r="AD121" s="6" t="str">
        <f>IF(OR(AO121="Cancelled",AM121="Failed"),"Exclude from Completed Sales","Include in Completed Sales")</f>
        <v>Include in Completed Sales</v>
      </c>
      <c r="AE121" s="6">
        <f t="shared" si="25"/>
        <v>1884.3000000000002</v>
      </c>
      <c r="AF121" s="6" t="str">
        <f t="shared" si="26"/>
        <v>Refunded</v>
      </c>
      <c r="AG121" s="6">
        <v>1517.69</v>
      </c>
      <c r="AH121" s="6">
        <v>366.61</v>
      </c>
      <c r="AI121" s="6">
        <f t="shared" si="27"/>
        <v>366.61000000000013</v>
      </c>
      <c r="AJ121" s="11">
        <f t="shared" si="28"/>
        <v>0.19456031417502526</v>
      </c>
      <c r="AK121" s="11" t="str">
        <f t="shared" si="29"/>
        <v>June</v>
      </c>
      <c r="AL121" s="12">
        <f t="shared" si="30"/>
        <v>2024</v>
      </c>
      <c r="AM121" s="6" t="s">
        <v>144</v>
      </c>
      <c r="AN121" s="6" t="s">
        <v>145</v>
      </c>
      <c r="AO121" s="6" t="str">
        <f t="shared" si="22"/>
        <v>Returned</v>
      </c>
    </row>
    <row r="122" spans="1:41">
      <c r="A122" s="6" t="s">
        <v>713</v>
      </c>
      <c r="B122" s="7" t="s">
        <v>523</v>
      </c>
      <c r="C122" s="8">
        <v>45514</v>
      </c>
      <c r="D122" s="7" t="s">
        <v>714</v>
      </c>
      <c r="E122" s="9">
        <v>45522</v>
      </c>
      <c r="F122" s="9" t="str">
        <f t="shared" si="15"/>
        <v>Valid</v>
      </c>
      <c r="G122" s="10">
        <f t="shared" si="16"/>
        <v>8</v>
      </c>
      <c r="H122" s="10" t="str">
        <f t="shared" si="17"/>
        <v>Valid</v>
      </c>
      <c r="I122" s="6" t="s">
        <v>715</v>
      </c>
      <c r="J122" s="6" t="s">
        <v>188</v>
      </c>
      <c r="K122" s="6" t="s">
        <v>188</v>
      </c>
      <c r="L122" s="6" t="s">
        <v>61</v>
      </c>
      <c r="M122" s="7" t="str">
        <f t="shared" si="18"/>
        <v>Small Business</v>
      </c>
      <c r="N122" s="6" t="s">
        <v>62</v>
      </c>
      <c r="O122" s="7" t="str">
        <f t="shared" si="19"/>
        <v>East</v>
      </c>
      <c r="P122" s="6" t="s">
        <v>206</v>
      </c>
      <c r="Q122" s="6" t="s">
        <v>207</v>
      </c>
      <c r="R122" s="6" t="s">
        <v>106</v>
      </c>
      <c r="S122" s="7" t="str">
        <f t="shared" si="20"/>
        <v>Technology</v>
      </c>
      <c r="T122" s="6" t="s">
        <v>243</v>
      </c>
      <c r="U122" s="6" t="s">
        <v>716</v>
      </c>
      <c r="V122" s="6" t="s">
        <v>87</v>
      </c>
      <c r="W122" s="7" t="str">
        <f t="shared" si="21"/>
        <v>Standard Class</v>
      </c>
      <c r="X122" s="6">
        <v>1</v>
      </c>
      <c r="Y122" s="6">
        <v>1823.67</v>
      </c>
      <c r="Z122" s="6">
        <v>0.2</v>
      </c>
      <c r="AA122" s="6">
        <f t="shared" si="23"/>
        <v>0.2</v>
      </c>
      <c r="AB122" s="6" t="str">
        <f t="shared" si="24"/>
        <v>Valid</v>
      </c>
      <c r="AC122" s="6">
        <v>1458.94</v>
      </c>
      <c r="AD122" s="6" t="str">
        <f>IF(OR(AO122="Cancelled",AM122="Failed"),"Exclude from Completed Sales","Include in Completed Sales")</f>
        <v>Include in Completed Sales</v>
      </c>
      <c r="AE122" s="6">
        <f t="shared" si="25"/>
        <v>1458.9360000000001</v>
      </c>
      <c r="AF122" s="6" t="str">
        <f t="shared" si="26"/>
        <v/>
      </c>
      <c r="AG122" s="6">
        <v>893.2</v>
      </c>
      <c r="AH122" s="6">
        <v>565.74</v>
      </c>
      <c r="AI122" s="6">
        <f t="shared" si="27"/>
        <v>565.7360000000001</v>
      </c>
      <c r="AJ122" s="11">
        <f t="shared" si="28"/>
        <v>0.38777300717783375</v>
      </c>
      <c r="AK122" s="11" t="str">
        <f t="shared" si="29"/>
        <v>August</v>
      </c>
      <c r="AL122" s="12">
        <f t="shared" si="30"/>
        <v>2024</v>
      </c>
      <c r="AM122" s="6" t="s">
        <v>54</v>
      </c>
      <c r="AN122" s="6" t="s">
        <v>145</v>
      </c>
      <c r="AO122" s="6" t="str">
        <f t="shared" si="22"/>
        <v>Returned</v>
      </c>
    </row>
    <row r="123" spans="1:41">
      <c r="A123" s="6" t="s">
        <v>717</v>
      </c>
      <c r="B123" s="7" t="s">
        <v>718</v>
      </c>
      <c r="C123" s="8">
        <v>45891</v>
      </c>
      <c r="D123" s="7" t="s">
        <v>719</v>
      </c>
      <c r="E123" s="9">
        <v>45895</v>
      </c>
      <c r="F123" s="9" t="str">
        <f t="shared" si="15"/>
        <v>Valid</v>
      </c>
      <c r="G123" s="10">
        <f t="shared" si="16"/>
        <v>4</v>
      </c>
      <c r="H123" s="10" t="str">
        <f t="shared" si="17"/>
        <v>Valid</v>
      </c>
      <c r="I123" s="6" t="s">
        <v>720</v>
      </c>
      <c r="J123" s="6" t="s">
        <v>386</v>
      </c>
      <c r="K123" s="6" t="s">
        <v>386</v>
      </c>
      <c r="L123" s="6" t="s">
        <v>721</v>
      </c>
      <c r="M123" s="7" t="str">
        <f t="shared" si="18"/>
        <v>Small Business</v>
      </c>
      <c r="N123" s="6" t="s">
        <v>82</v>
      </c>
      <c r="O123" s="7" t="str">
        <f t="shared" si="19"/>
        <v>South</v>
      </c>
      <c r="P123" s="6" t="s">
        <v>120</v>
      </c>
      <c r="Q123" s="6" t="s">
        <v>121</v>
      </c>
      <c r="R123" s="6" t="s">
        <v>106</v>
      </c>
      <c r="S123" s="7" t="str">
        <f t="shared" si="20"/>
        <v>Technology</v>
      </c>
      <c r="T123" s="6" t="s">
        <v>402</v>
      </c>
      <c r="U123" s="6" t="s">
        <v>722</v>
      </c>
      <c r="V123" s="6" t="s">
        <v>53</v>
      </c>
      <c r="W123" s="7" t="str">
        <f t="shared" si="21"/>
        <v>Second Class</v>
      </c>
      <c r="X123" s="6">
        <v>5</v>
      </c>
      <c r="Y123" s="6">
        <v>3482.92</v>
      </c>
      <c r="Z123" s="6">
        <v>0</v>
      </c>
      <c r="AA123" s="6">
        <f t="shared" si="23"/>
        <v>0</v>
      </c>
      <c r="AB123" s="6" t="str">
        <f t="shared" si="24"/>
        <v>Valid</v>
      </c>
      <c r="AC123" s="6">
        <v>17414.599999999999</v>
      </c>
      <c r="AD123" s="6" t="str">
        <f>IF(OR(AO123="Cancelled",AM123="Failed"),"Exclude from Completed Sales","Include in Completed Sales")</f>
        <v>Exclude from Completed Sales</v>
      </c>
      <c r="AE123" s="6">
        <f t="shared" si="25"/>
        <v>17414.599999999999</v>
      </c>
      <c r="AF123" s="6" t="str">
        <f t="shared" si="26"/>
        <v>Refunded</v>
      </c>
      <c r="AG123" s="6">
        <v>11760.91</v>
      </c>
      <c r="AH123" s="6">
        <v>5653.69</v>
      </c>
      <c r="AI123" s="6">
        <f t="shared" si="27"/>
        <v>5653.6899999999987</v>
      </c>
      <c r="AJ123" s="11">
        <f t="shared" si="28"/>
        <v>0.3246523032398102</v>
      </c>
      <c r="AK123" s="11" t="str">
        <f t="shared" si="29"/>
        <v>August</v>
      </c>
      <c r="AL123" s="12">
        <f t="shared" si="30"/>
        <v>2025</v>
      </c>
      <c r="AM123" s="6" t="s">
        <v>144</v>
      </c>
      <c r="AN123" s="6" t="s">
        <v>98</v>
      </c>
      <c r="AO123" s="6" t="str">
        <f t="shared" si="22"/>
        <v>Cancelled</v>
      </c>
    </row>
    <row r="124" spans="1:41">
      <c r="A124" s="6" t="s">
        <v>723</v>
      </c>
      <c r="B124" s="7" t="s">
        <v>724</v>
      </c>
      <c r="C124" s="8">
        <v>45626</v>
      </c>
      <c r="D124" s="7" t="s">
        <v>725</v>
      </c>
      <c r="E124" s="9">
        <v>45630</v>
      </c>
      <c r="F124" s="9" t="str">
        <f t="shared" si="15"/>
        <v>Valid</v>
      </c>
      <c r="G124" s="10">
        <f t="shared" si="16"/>
        <v>4</v>
      </c>
      <c r="H124" s="10" t="str">
        <f t="shared" si="17"/>
        <v>Valid</v>
      </c>
      <c r="I124" s="6" t="s">
        <v>726</v>
      </c>
      <c r="J124" s="6" t="s">
        <v>92</v>
      </c>
      <c r="K124" s="6" t="s">
        <v>92</v>
      </c>
      <c r="L124" s="6" t="s">
        <v>61</v>
      </c>
      <c r="M124" s="7" t="str">
        <f t="shared" si="18"/>
        <v>Small Business</v>
      </c>
      <c r="N124" s="6" t="s">
        <v>62</v>
      </c>
      <c r="O124" s="7" t="str">
        <f t="shared" si="19"/>
        <v>East</v>
      </c>
      <c r="P124" s="6" t="s">
        <v>236</v>
      </c>
      <c r="Q124" s="6" t="s">
        <v>237</v>
      </c>
      <c r="R124" s="6" t="s">
        <v>65</v>
      </c>
      <c r="S124" s="7" t="str">
        <f t="shared" si="20"/>
        <v>Furniture</v>
      </c>
      <c r="T124" s="6" t="s">
        <v>96</v>
      </c>
      <c r="U124" s="6" t="s">
        <v>727</v>
      </c>
      <c r="V124" s="6" t="s">
        <v>53</v>
      </c>
      <c r="W124" s="7" t="str">
        <f t="shared" si="21"/>
        <v>Second Class</v>
      </c>
      <c r="X124" s="6">
        <v>3</v>
      </c>
      <c r="Y124" s="6">
        <v>170.35</v>
      </c>
      <c r="Z124" s="6">
        <v>0</v>
      </c>
      <c r="AA124" s="6">
        <f t="shared" si="23"/>
        <v>0</v>
      </c>
      <c r="AB124" s="6" t="str">
        <f t="shared" si="24"/>
        <v>Valid</v>
      </c>
      <c r="AC124" s="6">
        <v>511.05</v>
      </c>
      <c r="AD124" s="6" t="str">
        <f>IF(OR(AO124="Cancelled",AM124="Failed"),"Exclude from Completed Sales","Include in Completed Sales")</f>
        <v>Include in Completed Sales</v>
      </c>
      <c r="AE124" s="6">
        <f t="shared" si="25"/>
        <v>511.04999999999995</v>
      </c>
      <c r="AF124" s="6" t="str">
        <f t="shared" si="26"/>
        <v/>
      </c>
      <c r="AG124" s="6">
        <v>367.18</v>
      </c>
      <c r="AH124" s="6">
        <v>143.87</v>
      </c>
      <c r="AI124" s="6">
        <f t="shared" si="27"/>
        <v>143.86999999999995</v>
      </c>
      <c r="AJ124" s="11">
        <f t="shared" si="28"/>
        <v>0.28151844242246349</v>
      </c>
      <c r="AK124" s="11" t="str">
        <f t="shared" si="29"/>
        <v>November</v>
      </c>
      <c r="AL124" s="12">
        <f t="shared" si="30"/>
        <v>2024</v>
      </c>
      <c r="AM124" s="6" t="s">
        <v>54</v>
      </c>
      <c r="AN124" s="6" t="s">
        <v>55</v>
      </c>
      <c r="AO124" s="6" t="str">
        <f t="shared" si="22"/>
        <v>Completed</v>
      </c>
    </row>
    <row r="125" spans="1:41">
      <c r="A125" s="6" t="s">
        <v>728</v>
      </c>
      <c r="B125" s="7" t="s">
        <v>729</v>
      </c>
      <c r="C125" s="8">
        <v>45436</v>
      </c>
      <c r="D125" s="7" t="s">
        <v>730</v>
      </c>
      <c r="E125" s="9">
        <v>45437</v>
      </c>
      <c r="F125" s="9" t="str">
        <f t="shared" si="15"/>
        <v>Valid</v>
      </c>
      <c r="G125" s="10">
        <f t="shared" si="16"/>
        <v>1</v>
      </c>
      <c r="H125" s="10" t="str">
        <f t="shared" si="17"/>
        <v>Valid</v>
      </c>
      <c r="I125" s="6" t="s">
        <v>731</v>
      </c>
      <c r="J125" s="6" t="s">
        <v>188</v>
      </c>
      <c r="K125" s="6" t="s">
        <v>188</v>
      </c>
      <c r="L125" s="6" t="s">
        <v>61</v>
      </c>
      <c r="M125" s="7" t="str">
        <f t="shared" si="18"/>
        <v>Small Business</v>
      </c>
      <c r="N125" s="6" t="s">
        <v>732</v>
      </c>
      <c r="O125" s="7" t="str">
        <f t="shared" si="19"/>
        <v>North</v>
      </c>
      <c r="P125" s="6" t="s">
        <v>174</v>
      </c>
      <c r="Q125" s="6" t="s">
        <v>175</v>
      </c>
      <c r="R125" s="6" t="s">
        <v>106</v>
      </c>
      <c r="S125" s="7" t="str">
        <f t="shared" si="20"/>
        <v>Technology</v>
      </c>
      <c r="T125" s="6" t="s">
        <v>114</v>
      </c>
      <c r="U125" s="6" t="s">
        <v>733</v>
      </c>
      <c r="V125" s="6" t="s">
        <v>68</v>
      </c>
      <c r="W125" s="7" t="str">
        <f t="shared" si="21"/>
        <v>Same Day</v>
      </c>
      <c r="X125" s="6">
        <v>1</v>
      </c>
      <c r="Y125" s="6">
        <v>634.13</v>
      </c>
      <c r="Z125" s="6">
        <v>0</v>
      </c>
      <c r="AA125" s="6">
        <f t="shared" si="23"/>
        <v>0</v>
      </c>
      <c r="AB125" s="6" t="str">
        <f t="shared" si="24"/>
        <v>Valid</v>
      </c>
      <c r="AC125" s="6">
        <v>634.13</v>
      </c>
      <c r="AD125" s="6" t="str">
        <f>IF(OR(AO125="Cancelled",AM125="Failed"),"Exclude from Completed Sales","Include in Completed Sales")</f>
        <v>Exclude from Completed Sales</v>
      </c>
      <c r="AE125" s="6">
        <f t="shared" si="25"/>
        <v>634.13</v>
      </c>
      <c r="AF125" s="6" t="str">
        <f t="shared" si="26"/>
        <v>Refunded</v>
      </c>
      <c r="AG125" s="6">
        <v>453.35</v>
      </c>
      <c r="AH125" s="6">
        <v>180.78</v>
      </c>
      <c r="AI125" s="6">
        <f t="shared" si="27"/>
        <v>180.77999999999997</v>
      </c>
      <c r="AJ125" s="11">
        <f t="shared" si="28"/>
        <v>0.28508350022865969</v>
      </c>
      <c r="AK125" s="11" t="str">
        <f t="shared" si="29"/>
        <v>May</v>
      </c>
      <c r="AL125" s="12">
        <f t="shared" si="30"/>
        <v>2024</v>
      </c>
      <c r="AM125" s="6" t="s">
        <v>144</v>
      </c>
      <c r="AN125" s="6" t="s">
        <v>98</v>
      </c>
      <c r="AO125" s="6" t="str">
        <f t="shared" si="22"/>
        <v>Cancelled</v>
      </c>
    </row>
    <row r="126" spans="1:41">
      <c r="A126" s="6" t="s">
        <v>734</v>
      </c>
      <c r="B126" s="7" t="s">
        <v>42</v>
      </c>
      <c r="C126" s="8">
        <v>45494</v>
      </c>
      <c r="D126" s="7" t="s">
        <v>735</v>
      </c>
      <c r="E126" s="9">
        <v>45497</v>
      </c>
      <c r="F126" s="9" t="str">
        <f t="shared" si="15"/>
        <v>Valid</v>
      </c>
      <c r="G126" s="10">
        <f t="shared" si="16"/>
        <v>3</v>
      </c>
      <c r="H126" s="10" t="str">
        <f t="shared" si="17"/>
        <v>Valid</v>
      </c>
      <c r="I126" s="6" t="s">
        <v>736</v>
      </c>
      <c r="J126" s="6" t="s">
        <v>73</v>
      </c>
      <c r="K126" s="6" t="s">
        <v>73</v>
      </c>
      <c r="L126" s="6" t="s">
        <v>128</v>
      </c>
      <c r="M126" s="7" t="str">
        <f t="shared" si="18"/>
        <v>Corporate</v>
      </c>
      <c r="N126" s="6" t="s">
        <v>82</v>
      </c>
      <c r="O126" s="7" t="str">
        <f t="shared" si="19"/>
        <v>South</v>
      </c>
      <c r="P126" s="6" t="s">
        <v>249</v>
      </c>
      <c r="Q126" s="6" t="s">
        <v>250</v>
      </c>
      <c r="R126" s="6" t="s">
        <v>106</v>
      </c>
      <c r="S126" s="7" t="str">
        <f t="shared" si="20"/>
        <v>Technology</v>
      </c>
      <c r="T126" s="6" t="s">
        <v>114</v>
      </c>
      <c r="U126" s="6" t="s">
        <v>737</v>
      </c>
      <c r="V126" s="6" t="s">
        <v>87</v>
      </c>
      <c r="W126" s="7" t="str">
        <f t="shared" si="21"/>
        <v>Standard Class</v>
      </c>
      <c r="X126" s="6">
        <v>9</v>
      </c>
      <c r="Y126" s="6">
        <v>465.06</v>
      </c>
      <c r="Z126" s="6">
        <v>-0.15</v>
      </c>
      <c r="AA126" s="6">
        <f t="shared" si="23"/>
        <v>-0.15</v>
      </c>
      <c r="AB126" s="6" t="str">
        <f t="shared" si="24"/>
        <v>Invalid - Negative Discount</v>
      </c>
      <c r="AC126" s="6">
        <v>4185.54</v>
      </c>
      <c r="AD126" s="6" t="str">
        <f>IF(OR(AO126="Cancelled",AM126="Failed"),"Exclude from Completed Sales","Include in Completed Sales")</f>
        <v>Include in Completed Sales</v>
      </c>
      <c r="AE126" s="6">
        <f t="shared" si="25"/>
        <v>4813.3709999999992</v>
      </c>
      <c r="AF126" s="6" t="str">
        <f t="shared" si="26"/>
        <v/>
      </c>
      <c r="AG126" s="6">
        <v>3443.74</v>
      </c>
      <c r="AH126" s="6">
        <v>741.8</v>
      </c>
      <c r="AI126" s="6">
        <f t="shared" si="27"/>
        <v>1369.6309999999994</v>
      </c>
      <c r="AJ126" s="11">
        <f t="shared" si="28"/>
        <v>0.28454715001191466</v>
      </c>
      <c r="AK126" s="11" t="str">
        <f t="shared" si="29"/>
        <v>July</v>
      </c>
      <c r="AL126" s="12">
        <f t="shared" si="30"/>
        <v>2024</v>
      </c>
      <c r="AM126" s="6" t="s">
        <v>54</v>
      </c>
      <c r="AN126" s="6" t="s">
        <v>55</v>
      </c>
      <c r="AO126" s="6" t="str">
        <f t="shared" si="22"/>
        <v>Completed</v>
      </c>
    </row>
    <row r="127" spans="1:41">
      <c r="A127" s="6" t="s">
        <v>738</v>
      </c>
      <c r="B127" s="7" t="s">
        <v>739</v>
      </c>
      <c r="C127" s="8">
        <v>45855</v>
      </c>
      <c r="D127" s="7" t="s">
        <v>740</v>
      </c>
      <c r="E127" s="9">
        <v>45856</v>
      </c>
      <c r="F127" s="9" t="str">
        <f t="shared" si="15"/>
        <v>Valid</v>
      </c>
      <c r="G127" s="10">
        <f t="shared" si="16"/>
        <v>1</v>
      </c>
      <c r="H127" s="10" t="str">
        <f t="shared" si="17"/>
        <v>Valid</v>
      </c>
      <c r="I127" s="6" t="s">
        <v>741</v>
      </c>
      <c r="J127" s="6" t="s">
        <v>113</v>
      </c>
      <c r="K127" s="6" t="s">
        <v>113</v>
      </c>
      <c r="L127" s="6" t="s">
        <v>61</v>
      </c>
      <c r="M127" s="7" t="str">
        <f t="shared" si="18"/>
        <v>Small Business</v>
      </c>
      <c r="N127" s="6" t="s">
        <v>93</v>
      </c>
      <c r="O127" s="7" t="str">
        <f t="shared" si="19"/>
        <v>West</v>
      </c>
      <c r="P127" s="6" t="s">
        <v>48</v>
      </c>
      <c r="Q127" s="6" t="s">
        <v>155</v>
      </c>
      <c r="R127" s="6" t="s">
        <v>65</v>
      </c>
      <c r="S127" s="7" t="str">
        <f t="shared" si="20"/>
        <v>Furniture</v>
      </c>
      <c r="T127" s="6" t="s">
        <v>66</v>
      </c>
      <c r="U127" s="6" t="s">
        <v>742</v>
      </c>
      <c r="V127" s="6" t="s">
        <v>68</v>
      </c>
      <c r="W127" s="7" t="str">
        <f t="shared" si="21"/>
        <v>Same Day</v>
      </c>
      <c r="X127" s="6">
        <v>6</v>
      </c>
      <c r="Y127" s="6">
        <v>3235.27</v>
      </c>
      <c r="Z127" s="6">
        <v>0.25</v>
      </c>
      <c r="AA127" s="6">
        <f t="shared" si="23"/>
        <v>0.25</v>
      </c>
      <c r="AB127" s="6" t="str">
        <f t="shared" si="24"/>
        <v>Valid</v>
      </c>
      <c r="AC127" s="6">
        <v>14558.72</v>
      </c>
      <c r="AD127" s="6" t="str">
        <f>IF(OR(AO127="Cancelled",AM127="Failed"),"Exclude from Completed Sales","Include in Completed Sales")</f>
        <v>Include in Completed Sales</v>
      </c>
      <c r="AE127" s="6">
        <f t="shared" si="25"/>
        <v>14558.715</v>
      </c>
      <c r="AF127" s="6" t="str">
        <f t="shared" si="26"/>
        <v>Refunded</v>
      </c>
      <c r="AG127" s="6">
        <v>9591.48</v>
      </c>
      <c r="AH127" s="6">
        <v>4967.24</v>
      </c>
      <c r="AI127" s="6">
        <f t="shared" si="27"/>
        <v>4967.2350000000006</v>
      </c>
      <c r="AJ127" s="11">
        <f t="shared" si="28"/>
        <v>0.34118636157105903</v>
      </c>
      <c r="AK127" s="11" t="str">
        <f t="shared" si="29"/>
        <v>July</v>
      </c>
      <c r="AL127" s="12">
        <f t="shared" si="30"/>
        <v>2025</v>
      </c>
      <c r="AM127" s="6" t="s">
        <v>144</v>
      </c>
      <c r="AN127" s="6" t="s">
        <v>145</v>
      </c>
      <c r="AO127" s="6" t="str">
        <f t="shared" si="22"/>
        <v>Returned</v>
      </c>
    </row>
    <row r="128" spans="1:41">
      <c r="A128" s="6" t="s">
        <v>743</v>
      </c>
      <c r="B128" s="7" t="s">
        <v>744</v>
      </c>
      <c r="C128" s="8">
        <v>45924</v>
      </c>
      <c r="D128" s="7" t="s">
        <v>745</v>
      </c>
      <c r="E128" s="9">
        <v>45926</v>
      </c>
      <c r="F128" s="9" t="str">
        <f t="shared" si="15"/>
        <v>Valid</v>
      </c>
      <c r="G128" s="10">
        <f t="shared" si="16"/>
        <v>2</v>
      </c>
      <c r="H128" s="10" t="str">
        <f t="shared" si="17"/>
        <v>Valid</v>
      </c>
      <c r="I128" s="6" t="s">
        <v>746</v>
      </c>
      <c r="J128" s="6" t="s">
        <v>162</v>
      </c>
      <c r="K128" s="6" t="s">
        <v>162</v>
      </c>
      <c r="L128" s="6" t="s">
        <v>128</v>
      </c>
      <c r="M128" s="7" t="str">
        <f t="shared" si="18"/>
        <v>Corporate</v>
      </c>
      <c r="N128" s="6" t="s">
        <v>47</v>
      </c>
      <c r="O128" s="7" t="str">
        <f t="shared" si="19"/>
        <v>North</v>
      </c>
      <c r="P128" s="6" t="s">
        <v>526</v>
      </c>
      <c r="Q128" s="6" t="s">
        <v>527</v>
      </c>
      <c r="R128" s="6" t="s">
        <v>106</v>
      </c>
      <c r="S128" s="7" t="str">
        <f t="shared" si="20"/>
        <v>Technology</v>
      </c>
      <c r="T128" s="6" t="s">
        <v>114</v>
      </c>
      <c r="U128" s="6" t="s">
        <v>747</v>
      </c>
      <c r="V128" s="6" t="s">
        <v>87</v>
      </c>
      <c r="W128" s="7" t="str">
        <f t="shared" si="21"/>
        <v>Standard Class</v>
      </c>
      <c r="X128" s="6">
        <v>3</v>
      </c>
      <c r="Y128" s="6">
        <v>1593.86</v>
      </c>
      <c r="Z128" s="6">
        <v>0.1</v>
      </c>
      <c r="AA128" s="6">
        <f t="shared" si="23"/>
        <v>0.1</v>
      </c>
      <c r="AB128" s="6" t="str">
        <f t="shared" si="24"/>
        <v>Valid</v>
      </c>
      <c r="AC128" s="6">
        <v>4303.42</v>
      </c>
      <c r="AD128" s="6" t="str">
        <f>IF(OR(AO128="Cancelled",AM128="Failed"),"Exclude from Completed Sales","Include in Completed Sales")</f>
        <v>Include in Completed Sales</v>
      </c>
      <c r="AE128" s="6">
        <f t="shared" si="25"/>
        <v>4303.4220000000005</v>
      </c>
      <c r="AF128" s="6" t="str">
        <f t="shared" si="26"/>
        <v/>
      </c>
      <c r="AG128" s="6">
        <v>2568.5700000000002</v>
      </c>
      <c r="AH128" s="6">
        <v>1734.85</v>
      </c>
      <c r="AI128" s="6">
        <f t="shared" si="27"/>
        <v>1734.8520000000003</v>
      </c>
      <c r="AJ128" s="11">
        <f t="shared" si="28"/>
        <v>0.40313313451481175</v>
      </c>
      <c r="AK128" s="11" t="str">
        <f t="shared" si="29"/>
        <v>September</v>
      </c>
      <c r="AL128" s="12">
        <f t="shared" si="30"/>
        <v>2025</v>
      </c>
      <c r="AM128" s="6" t="s">
        <v>54</v>
      </c>
      <c r="AN128" s="6" t="s">
        <v>55</v>
      </c>
      <c r="AO128" s="6" t="str">
        <f t="shared" si="22"/>
        <v>Completed</v>
      </c>
    </row>
    <row r="129" spans="1:41">
      <c r="A129" s="6" t="s">
        <v>748</v>
      </c>
      <c r="B129" s="7" t="s">
        <v>211</v>
      </c>
      <c r="C129" s="8">
        <v>45687</v>
      </c>
      <c r="D129" s="7" t="s">
        <v>749</v>
      </c>
      <c r="E129" s="9">
        <v>45683</v>
      </c>
      <c r="F129" s="9" t="str">
        <f t="shared" si="15"/>
        <v>Invalid Shipping Record</v>
      </c>
      <c r="G129" s="10">
        <f t="shared" si="16"/>
        <v>-4</v>
      </c>
      <c r="H129" s="10" t="str">
        <f t="shared" si="17"/>
        <v>Invalid Shipping Record</v>
      </c>
      <c r="I129" s="6" t="s">
        <v>750</v>
      </c>
      <c r="J129" s="6" t="s">
        <v>162</v>
      </c>
      <c r="K129" s="6" t="s">
        <v>162</v>
      </c>
      <c r="L129" s="6" t="s">
        <v>128</v>
      </c>
      <c r="M129" s="7" t="str">
        <f t="shared" si="18"/>
        <v>Corporate</v>
      </c>
      <c r="N129" s="6" t="s">
        <v>93</v>
      </c>
      <c r="O129" s="7" t="str">
        <f t="shared" si="19"/>
        <v>West</v>
      </c>
      <c r="P129" s="6" t="s">
        <v>104</v>
      </c>
      <c r="Q129" s="6" t="s">
        <v>105</v>
      </c>
      <c r="R129" s="6" t="s">
        <v>50</v>
      </c>
      <c r="S129" s="7" t="str">
        <f t="shared" si="20"/>
        <v>Office Supplies</v>
      </c>
      <c r="T129" s="6" t="s">
        <v>176</v>
      </c>
      <c r="U129" s="6" t="s">
        <v>751</v>
      </c>
      <c r="V129" s="6" t="s">
        <v>53</v>
      </c>
      <c r="W129" s="7" t="str">
        <f t="shared" si="21"/>
        <v>Second Class</v>
      </c>
      <c r="X129" s="6">
        <v>2</v>
      </c>
      <c r="Y129" s="6">
        <v>3039.3</v>
      </c>
      <c r="Z129" s="6">
        <v>0.05</v>
      </c>
      <c r="AA129" s="6">
        <f t="shared" si="23"/>
        <v>0.05</v>
      </c>
      <c r="AB129" s="6" t="str">
        <f t="shared" si="24"/>
        <v>Valid</v>
      </c>
      <c r="AC129" s="6">
        <v>5774.67</v>
      </c>
      <c r="AD129" s="6" t="str">
        <f>IF(OR(AO129="Cancelled",AM129="Failed"),"Exclude from Completed Sales","Include in Completed Sales")</f>
        <v>Include in Completed Sales</v>
      </c>
      <c r="AE129" s="6">
        <f t="shared" si="25"/>
        <v>5774.67</v>
      </c>
      <c r="AF129" s="6" t="str">
        <f t="shared" si="26"/>
        <v/>
      </c>
      <c r="AG129" s="6">
        <v>3518.36</v>
      </c>
      <c r="AH129" s="6">
        <v>2256.31</v>
      </c>
      <c r="AI129" s="6">
        <f t="shared" si="27"/>
        <v>2256.31</v>
      </c>
      <c r="AJ129" s="11">
        <f t="shared" si="28"/>
        <v>0.39072535746631409</v>
      </c>
      <c r="AK129" s="11" t="str">
        <f t="shared" si="29"/>
        <v>January</v>
      </c>
      <c r="AL129" s="12">
        <f t="shared" si="30"/>
        <v>2025</v>
      </c>
      <c r="AM129" s="6" t="s">
        <v>54</v>
      </c>
      <c r="AN129" s="6" t="s">
        <v>55</v>
      </c>
      <c r="AO129" s="6" t="str">
        <f t="shared" si="22"/>
        <v>Completed</v>
      </c>
    </row>
    <row r="130" spans="1:41">
      <c r="A130" s="6" t="s">
        <v>752</v>
      </c>
      <c r="B130" s="7" t="s">
        <v>753</v>
      </c>
      <c r="C130" s="8">
        <v>45639</v>
      </c>
      <c r="D130" s="7" t="s">
        <v>754</v>
      </c>
      <c r="E130" s="9">
        <v>45642</v>
      </c>
      <c r="F130" s="9" t="str">
        <f t="shared" ref="F130:F193" si="31">IF(E130&lt;C130,"Invalid Shipping Record","Valid")</f>
        <v>Valid</v>
      </c>
      <c r="G130" s="10">
        <f t="shared" ref="G130:G193" si="32">E130-C130</f>
        <v>3</v>
      </c>
      <c r="H130" s="10" t="str">
        <f t="shared" ref="H130:H193" si="33">IF(OR(C130="",E130=""),"Missing Date",IF(OR(NOT(ISNUMBER(C130)),NOT(ISNUMBER(E130))),"Invalid Date",IF(E130&lt;C130,"Invalid Shipping Record","Valid")))</f>
        <v>Valid</v>
      </c>
      <c r="I130" s="6" t="s">
        <v>755</v>
      </c>
      <c r="J130" s="6" t="s">
        <v>113</v>
      </c>
      <c r="K130" s="6" t="s">
        <v>113</v>
      </c>
      <c r="L130" s="6" t="s">
        <v>61</v>
      </c>
      <c r="M130" s="7" t="str">
        <f t="shared" ref="M130:M193" si="34">PROPER(TRIM(L130))</f>
        <v>Small Business</v>
      </c>
      <c r="N130" s="6" t="s">
        <v>62</v>
      </c>
      <c r="O130" s="7" t="str">
        <f t="shared" ref="O130:O193" si="35">IF(TRIM(N130)="","Unknown",PROPER(TRIM(N130)))</f>
        <v>East</v>
      </c>
      <c r="P130" s="6" t="s">
        <v>63</v>
      </c>
      <c r="Q130" s="6" t="s">
        <v>64</v>
      </c>
      <c r="R130" s="6" t="s">
        <v>65</v>
      </c>
      <c r="S130" s="7" t="str">
        <f t="shared" ref="S130:S193" si="36">PROPER(TRIM(R130))</f>
        <v>Furniture</v>
      </c>
      <c r="T130" s="6" t="s">
        <v>85</v>
      </c>
      <c r="U130" s="6" t="s">
        <v>756</v>
      </c>
      <c r="V130" s="6" t="s">
        <v>87</v>
      </c>
      <c r="W130" s="7" t="str">
        <f t="shared" ref="W130:W193" si="37">IF(TRIM(V130)="","Unknown",PROPER(TRIM(V130)))</f>
        <v>Standard Class</v>
      </c>
      <c r="X130" s="6">
        <v>5</v>
      </c>
      <c r="Y130" s="6">
        <v>923.45</v>
      </c>
      <c r="Z130" s="6">
        <v>0.05</v>
      </c>
      <c r="AA130" s="6">
        <f t="shared" si="23"/>
        <v>0.05</v>
      </c>
      <c r="AB130" s="6" t="str">
        <f t="shared" si="24"/>
        <v>Valid</v>
      </c>
      <c r="AC130" s="6">
        <v>4386.3900000000003</v>
      </c>
      <c r="AD130" s="6" t="str">
        <f>IF(OR(AO130="Cancelled",AM130="Failed"),"Exclude from Completed Sales","Include in Completed Sales")</f>
        <v>Include in Completed Sales</v>
      </c>
      <c r="AE130" s="6">
        <f t="shared" si="25"/>
        <v>4386.3874999999998</v>
      </c>
      <c r="AF130" s="6" t="str">
        <f t="shared" si="26"/>
        <v/>
      </c>
      <c r="AG130" s="6">
        <v>3366.88</v>
      </c>
      <c r="AH130" s="6">
        <v>1019.51</v>
      </c>
      <c r="AI130" s="6">
        <f t="shared" si="27"/>
        <v>1019.5074999999997</v>
      </c>
      <c r="AJ130" s="11">
        <f t="shared" si="28"/>
        <v>0.2324253158208206</v>
      </c>
      <c r="AK130" s="11" t="str">
        <f t="shared" si="29"/>
        <v>December</v>
      </c>
      <c r="AL130" s="12">
        <f t="shared" si="30"/>
        <v>2024</v>
      </c>
      <c r="AM130" s="6" t="s">
        <v>54</v>
      </c>
      <c r="AN130" s="6" t="s">
        <v>145</v>
      </c>
      <c r="AO130" s="6" t="str">
        <f t="shared" ref="AO130:AO193" si="38">PROPER(TRIM(AN130))</f>
        <v>Returned</v>
      </c>
    </row>
    <row r="131" spans="1:41">
      <c r="A131" s="6" t="s">
        <v>757</v>
      </c>
      <c r="B131" s="7" t="s">
        <v>426</v>
      </c>
      <c r="C131" s="8">
        <v>45492</v>
      </c>
      <c r="D131" s="7" t="s">
        <v>758</v>
      </c>
      <c r="E131" s="9">
        <v>45498</v>
      </c>
      <c r="F131" s="9" t="str">
        <f t="shared" si="31"/>
        <v>Valid</v>
      </c>
      <c r="G131" s="10">
        <f t="shared" si="32"/>
        <v>6</v>
      </c>
      <c r="H131" s="10" t="str">
        <f t="shared" si="33"/>
        <v>Valid</v>
      </c>
      <c r="I131" s="6" t="s">
        <v>759</v>
      </c>
      <c r="J131" s="6" t="s">
        <v>73</v>
      </c>
      <c r="K131" s="6" t="s">
        <v>73</v>
      </c>
      <c r="L131" s="6" t="s">
        <v>61</v>
      </c>
      <c r="M131" s="7" t="str">
        <f t="shared" si="34"/>
        <v>Small Business</v>
      </c>
      <c r="N131" s="6" t="s">
        <v>93</v>
      </c>
      <c r="O131" s="7" t="str">
        <f t="shared" si="35"/>
        <v>West</v>
      </c>
      <c r="P131" s="6" t="s">
        <v>269</v>
      </c>
      <c r="Q131" s="6" t="s">
        <v>270</v>
      </c>
      <c r="R131" s="6" t="s">
        <v>50</v>
      </c>
      <c r="S131" s="7" t="str">
        <f t="shared" si="36"/>
        <v>Office Supplies</v>
      </c>
      <c r="T131" s="6" t="s">
        <v>218</v>
      </c>
      <c r="U131" s="6" t="s">
        <v>760</v>
      </c>
      <c r="V131" s="6" t="s">
        <v>87</v>
      </c>
      <c r="W131" s="7" t="str">
        <f t="shared" si="37"/>
        <v>Standard Class</v>
      </c>
      <c r="X131" s="6">
        <v>7</v>
      </c>
      <c r="Y131" s="6">
        <v>2741.29</v>
      </c>
      <c r="Z131" s="6">
        <v>0.05</v>
      </c>
      <c r="AA131" s="6">
        <f t="shared" ref="AA131:AA194" si="39">IF(Z131="",0,Z131)</f>
        <v>0.05</v>
      </c>
      <c r="AB131" s="6" t="str">
        <f t="shared" ref="AB131:AB194" si="40">IF(AA131&lt;0,"Invalid - Negative Discount",IF(AA131&gt;1,"Invalid - Discount Above Limit","Valid"))</f>
        <v>Valid</v>
      </c>
      <c r="AC131" s="6">
        <v>18229.580000000002</v>
      </c>
      <c r="AD131" s="6" t="str">
        <f>IF(OR(AO131="Cancelled",AM131="Failed"),"Exclude from Completed Sales","Include in Completed Sales")</f>
        <v>Include in Completed Sales</v>
      </c>
      <c r="AE131" s="6">
        <f t="shared" ref="AE131:AE194" si="41">X131*Y131*(1-AA131)</f>
        <v>18229.5785</v>
      </c>
      <c r="AF131" s="6" t="str">
        <f t="shared" ref="AF131:AF194" si="42">IF(TRIM(AM131)="Refunded","Refunded","")</f>
        <v/>
      </c>
      <c r="AG131" s="6">
        <v>15139.15</v>
      </c>
      <c r="AH131" s="6">
        <v>3090.43</v>
      </c>
      <c r="AI131" s="6">
        <f t="shared" ref="AI131:AI194" si="43">AE131-AG131</f>
        <v>3090.4285</v>
      </c>
      <c r="AJ131" s="11">
        <f t="shared" ref="AJ131:AJ194" si="44">IF(AE131=0,0,AI131/AE131)</f>
        <v>0.16952824773211295</v>
      </c>
      <c r="AK131" s="11" t="str">
        <f t="shared" ref="AK131:AK194" si="45">TEXT(C131,"mmmm")</f>
        <v>July</v>
      </c>
      <c r="AL131" s="12">
        <f t="shared" ref="AL131:AL194" si="46">YEAR(C131)</f>
        <v>2024</v>
      </c>
      <c r="AM131" s="6" t="s">
        <v>54</v>
      </c>
      <c r="AN131" s="6" t="s">
        <v>55</v>
      </c>
      <c r="AO131" s="6" t="str">
        <f t="shared" si="38"/>
        <v>Completed</v>
      </c>
    </row>
    <row r="132" spans="1:41">
      <c r="A132" s="6" t="s">
        <v>761</v>
      </c>
      <c r="B132" s="7" t="s">
        <v>762</v>
      </c>
      <c r="C132" s="8">
        <v>45318</v>
      </c>
      <c r="D132" s="7" t="s">
        <v>763</v>
      </c>
      <c r="E132" s="9">
        <v>45324</v>
      </c>
      <c r="F132" s="9" t="str">
        <f t="shared" si="31"/>
        <v>Valid</v>
      </c>
      <c r="G132" s="10">
        <f t="shared" si="32"/>
        <v>6</v>
      </c>
      <c r="H132" s="10" t="str">
        <f t="shared" si="33"/>
        <v>Valid</v>
      </c>
      <c r="I132" s="6" t="s">
        <v>764</v>
      </c>
      <c r="J132" s="6" t="s">
        <v>81</v>
      </c>
      <c r="K132" s="6" t="s">
        <v>81</v>
      </c>
      <c r="L132" s="6" t="s">
        <v>46</v>
      </c>
      <c r="M132" s="7" t="str">
        <f t="shared" si="34"/>
        <v>Consumer</v>
      </c>
      <c r="N132" s="6" t="s">
        <v>93</v>
      </c>
      <c r="O132" s="7" t="str">
        <f t="shared" si="35"/>
        <v>West</v>
      </c>
      <c r="P132" s="6" t="s">
        <v>255</v>
      </c>
      <c r="Q132" s="6" t="s">
        <v>256</v>
      </c>
      <c r="R132" s="6" t="s">
        <v>50</v>
      </c>
      <c r="S132" s="7" t="str">
        <f t="shared" si="36"/>
        <v>Office Supplies</v>
      </c>
      <c r="T132" s="6" t="s">
        <v>129</v>
      </c>
      <c r="U132" s="6" t="s">
        <v>765</v>
      </c>
      <c r="V132" s="6" t="s">
        <v>68</v>
      </c>
      <c r="W132" s="7" t="str">
        <f t="shared" si="37"/>
        <v>Same Day</v>
      </c>
      <c r="X132" s="6">
        <v>5</v>
      </c>
      <c r="Y132" s="6">
        <v>218.42</v>
      </c>
      <c r="Z132" s="6">
        <v>0.2</v>
      </c>
      <c r="AA132" s="6">
        <f t="shared" si="39"/>
        <v>0.2</v>
      </c>
      <c r="AB132" s="6" t="str">
        <f t="shared" si="40"/>
        <v>Valid</v>
      </c>
      <c r="AC132" s="6">
        <v>873.68</v>
      </c>
      <c r="AD132" s="6" t="str">
        <f>IF(OR(AO132="Cancelled",AM132="Failed"),"Exclude from Completed Sales","Include in Completed Sales")</f>
        <v>Exclude from Completed Sales</v>
      </c>
      <c r="AE132" s="6">
        <f t="shared" si="41"/>
        <v>873.68</v>
      </c>
      <c r="AF132" s="6" t="str">
        <f t="shared" si="42"/>
        <v/>
      </c>
      <c r="AG132" s="6">
        <v>661.72</v>
      </c>
      <c r="AH132" s="6">
        <v>211.96</v>
      </c>
      <c r="AI132" s="6">
        <f t="shared" si="43"/>
        <v>211.95999999999992</v>
      </c>
      <c r="AJ132" s="11">
        <f t="shared" si="44"/>
        <v>0.24260598846259493</v>
      </c>
      <c r="AK132" s="11" t="str">
        <f t="shared" si="45"/>
        <v>January</v>
      </c>
      <c r="AL132" s="12">
        <f t="shared" si="46"/>
        <v>2024</v>
      </c>
      <c r="AM132" s="6" t="s">
        <v>157</v>
      </c>
      <c r="AN132" s="6" t="s">
        <v>98</v>
      </c>
      <c r="AO132" s="6" t="str">
        <f t="shared" si="38"/>
        <v>Cancelled</v>
      </c>
    </row>
    <row r="133" spans="1:41">
      <c r="A133" s="6" t="s">
        <v>766</v>
      </c>
      <c r="B133" s="7" t="s">
        <v>767</v>
      </c>
      <c r="C133" s="8">
        <v>45929</v>
      </c>
      <c r="D133" s="7" t="s">
        <v>768</v>
      </c>
      <c r="E133" s="9">
        <v>45934</v>
      </c>
      <c r="F133" s="9" t="str">
        <f t="shared" si="31"/>
        <v>Valid</v>
      </c>
      <c r="G133" s="10">
        <f t="shared" si="32"/>
        <v>5</v>
      </c>
      <c r="H133" s="10" t="str">
        <f t="shared" si="33"/>
        <v>Valid</v>
      </c>
      <c r="I133" s="6" t="s">
        <v>769</v>
      </c>
      <c r="J133" s="6" t="s">
        <v>92</v>
      </c>
      <c r="K133" s="6" t="s">
        <v>92</v>
      </c>
      <c r="L133" s="6" t="s">
        <v>135</v>
      </c>
      <c r="M133" s="7" t="str">
        <f t="shared" si="34"/>
        <v>Home Office</v>
      </c>
      <c r="N133" s="6" t="s">
        <v>62</v>
      </c>
      <c r="O133" s="7" t="str">
        <f t="shared" si="35"/>
        <v>East</v>
      </c>
      <c r="P133" s="6" t="s">
        <v>331</v>
      </c>
      <c r="Q133" s="6" t="s">
        <v>332</v>
      </c>
      <c r="R133" s="6" t="s">
        <v>50</v>
      </c>
      <c r="S133" s="7" t="str">
        <f t="shared" si="36"/>
        <v>Office Supplies</v>
      </c>
      <c r="T133" s="6" t="s">
        <v>51</v>
      </c>
      <c r="U133" s="6" t="s">
        <v>770</v>
      </c>
      <c r="V133" s="6" t="s">
        <v>68</v>
      </c>
      <c r="W133" s="7" t="str">
        <f t="shared" si="37"/>
        <v>Same Day</v>
      </c>
      <c r="X133" s="6">
        <v>9</v>
      </c>
      <c r="Y133" s="6">
        <v>373.91</v>
      </c>
      <c r="Z133" s="6">
        <v>0.2</v>
      </c>
      <c r="AA133" s="6">
        <f t="shared" si="39"/>
        <v>0.2</v>
      </c>
      <c r="AB133" s="6" t="str">
        <f t="shared" si="40"/>
        <v>Valid</v>
      </c>
      <c r="AC133" s="6">
        <v>2692.15</v>
      </c>
      <c r="AD133" s="6" t="str">
        <f>IF(OR(AO133="Cancelled",AM133="Failed"),"Exclude from Completed Sales","Include in Completed Sales")</f>
        <v>Include in Completed Sales</v>
      </c>
      <c r="AE133" s="6">
        <f t="shared" si="41"/>
        <v>2692.152</v>
      </c>
      <c r="AF133" s="6" t="str">
        <f t="shared" si="42"/>
        <v/>
      </c>
      <c r="AG133" s="6">
        <v>2044.49</v>
      </c>
      <c r="AH133" s="6">
        <v>647.66</v>
      </c>
      <c r="AI133" s="6">
        <f t="shared" si="43"/>
        <v>647.66200000000003</v>
      </c>
      <c r="AJ133" s="11">
        <f t="shared" si="44"/>
        <v>0.24057408348414205</v>
      </c>
      <c r="AK133" s="11" t="str">
        <f t="shared" si="45"/>
        <v>September</v>
      </c>
      <c r="AL133" s="12">
        <f t="shared" si="46"/>
        <v>2025</v>
      </c>
      <c r="AM133" s="6" t="s">
        <v>54</v>
      </c>
      <c r="AN133" s="6" t="s">
        <v>55</v>
      </c>
      <c r="AO133" s="6" t="str">
        <f t="shared" si="38"/>
        <v>Completed</v>
      </c>
    </row>
    <row r="134" spans="1:41">
      <c r="A134" s="6" t="s">
        <v>771</v>
      </c>
      <c r="B134" s="7" t="s">
        <v>772</v>
      </c>
      <c r="C134" s="8">
        <v>45600</v>
      </c>
      <c r="D134" s="7" t="s">
        <v>772</v>
      </c>
      <c r="E134" s="9">
        <v>45600</v>
      </c>
      <c r="F134" s="9" t="str">
        <f t="shared" si="31"/>
        <v>Valid</v>
      </c>
      <c r="G134" s="10">
        <f t="shared" si="32"/>
        <v>0</v>
      </c>
      <c r="H134" s="10" t="str">
        <f t="shared" si="33"/>
        <v>Valid</v>
      </c>
      <c r="I134" s="6" t="s">
        <v>773</v>
      </c>
      <c r="J134" s="6" t="s">
        <v>386</v>
      </c>
      <c r="K134" s="6" t="s">
        <v>386</v>
      </c>
      <c r="L134" s="6" t="s">
        <v>128</v>
      </c>
      <c r="M134" s="7" t="str">
        <f t="shared" si="34"/>
        <v>Corporate</v>
      </c>
      <c r="N134" s="6" t="s">
        <v>62</v>
      </c>
      <c r="O134" s="7" t="str">
        <f t="shared" si="35"/>
        <v>East</v>
      </c>
      <c r="P134" s="6" t="s">
        <v>236</v>
      </c>
      <c r="Q134" s="6" t="s">
        <v>237</v>
      </c>
      <c r="R134" s="6" t="s">
        <v>106</v>
      </c>
      <c r="S134" s="7" t="str">
        <f t="shared" si="36"/>
        <v>Technology</v>
      </c>
      <c r="T134" s="6" t="s">
        <v>402</v>
      </c>
      <c r="U134" s="6" t="s">
        <v>774</v>
      </c>
      <c r="V134" s="6" t="s">
        <v>76</v>
      </c>
      <c r="W134" s="7" t="str">
        <f t="shared" si="37"/>
        <v>First Class</v>
      </c>
      <c r="X134" s="6">
        <v>2</v>
      </c>
      <c r="Y134" s="6">
        <v>533.08000000000004</v>
      </c>
      <c r="Z134" s="6">
        <v>0</v>
      </c>
      <c r="AA134" s="6">
        <f t="shared" si="39"/>
        <v>0</v>
      </c>
      <c r="AB134" s="6" t="str">
        <f t="shared" si="40"/>
        <v>Valid</v>
      </c>
      <c r="AC134" s="6">
        <v>1066.1600000000001</v>
      </c>
      <c r="AD134" s="6" t="str">
        <f>IF(OR(AO134="Cancelled",AM134="Failed"),"Exclude from Completed Sales","Include in Completed Sales")</f>
        <v>Exclude from Completed Sales</v>
      </c>
      <c r="AE134" s="6">
        <f t="shared" si="41"/>
        <v>1066.1600000000001</v>
      </c>
      <c r="AF134" s="6" t="str">
        <f t="shared" si="42"/>
        <v/>
      </c>
      <c r="AG134" s="6">
        <v>656.3</v>
      </c>
      <c r="AH134" s="6">
        <v>409.86</v>
      </c>
      <c r="AI134" s="6">
        <f t="shared" si="43"/>
        <v>409.86000000000013</v>
      </c>
      <c r="AJ134" s="11">
        <f t="shared" si="44"/>
        <v>0.38442635251744589</v>
      </c>
      <c r="AK134" s="11" t="str">
        <f t="shared" si="45"/>
        <v>November</v>
      </c>
      <c r="AL134" s="12">
        <f t="shared" si="46"/>
        <v>2024</v>
      </c>
      <c r="AM134" s="6" t="s">
        <v>220</v>
      </c>
      <c r="AN134" s="6" t="s">
        <v>98</v>
      </c>
      <c r="AO134" s="6" t="str">
        <f t="shared" si="38"/>
        <v>Cancelled</v>
      </c>
    </row>
    <row r="135" spans="1:41">
      <c r="A135" s="6" t="s">
        <v>775</v>
      </c>
      <c r="B135" s="7" t="s">
        <v>776</v>
      </c>
      <c r="C135" s="8">
        <v>45639</v>
      </c>
      <c r="D135" s="7" t="s">
        <v>777</v>
      </c>
      <c r="E135" s="9">
        <v>45644</v>
      </c>
      <c r="F135" s="9" t="str">
        <f t="shared" si="31"/>
        <v>Valid</v>
      </c>
      <c r="G135" s="10">
        <f t="shared" si="32"/>
        <v>5</v>
      </c>
      <c r="H135" s="10" t="str">
        <f t="shared" si="33"/>
        <v>Valid</v>
      </c>
      <c r="I135" s="6" t="s">
        <v>778</v>
      </c>
      <c r="J135" s="6" t="s">
        <v>45</v>
      </c>
      <c r="K135" s="6" t="s">
        <v>45</v>
      </c>
      <c r="L135" s="6" t="s">
        <v>46</v>
      </c>
      <c r="M135" s="7" t="str">
        <f t="shared" si="34"/>
        <v>Consumer</v>
      </c>
      <c r="N135" s="6" t="s">
        <v>93</v>
      </c>
      <c r="O135" s="7" t="str">
        <f t="shared" si="35"/>
        <v>West</v>
      </c>
      <c r="P135" s="6" t="s">
        <v>269</v>
      </c>
      <c r="Q135" s="6" t="s">
        <v>270</v>
      </c>
      <c r="R135" s="6" t="s">
        <v>106</v>
      </c>
      <c r="S135" s="7" t="str">
        <f t="shared" si="36"/>
        <v>Technology</v>
      </c>
      <c r="T135" s="6" t="s">
        <v>243</v>
      </c>
      <c r="U135" s="6" t="s">
        <v>779</v>
      </c>
      <c r="V135" s="6" t="s">
        <v>53</v>
      </c>
      <c r="W135" s="7" t="str">
        <f t="shared" si="37"/>
        <v>Second Class</v>
      </c>
      <c r="X135" s="6">
        <v>8</v>
      </c>
      <c r="Y135" s="6">
        <v>3372.15</v>
      </c>
      <c r="Z135" s="6">
        <v>0.15</v>
      </c>
      <c r="AA135" s="6">
        <f t="shared" si="39"/>
        <v>0.15</v>
      </c>
      <c r="AB135" s="6" t="str">
        <f t="shared" si="40"/>
        <v>Valid</v>
      </c>
      <c r="AC135" s="6">
        <v>22930.62</v>
      </c>
      <c r="AD135" s="6" t="str">
        <f>IF(OR(AO135="Cancelled",AM135="Failed"),"Exclude from Completed Sales","Include in Completed Sales")</f>
        <v>Include in Completed Sales</v>
      </c>
      <c r="AE135" s="6">
        <f t="shared" si="41"/>
        <v>22930.62</v>
      </c>
      <c r="AF135" s="6" t="str">
        <f t="shared" si="42"/>
        <v/>
      </c>
      <c r="AG135" s="6">
        <v>16875.55</v>
      </c>
      <c r="AH135" s="6">
        <v>6055.07</v>
      </c>
      <c r="AI135" s="6">
        <f t="shared" si="43"/>
        <v>6055.07</v>
      </c>
      <c r="AJ135" s="11">
        <f t="shared" si="44"/>
        <v>0.26406045715292475</v>
      </c>
      <c r="AK135" s="11" t="str">
        <f t="shared" si="45"/>
        <v>December</v>
      </c>
      <c r="AL135" s="12">
        <f t="shared" si="46"/>
        <v>2024</v>
      </c>
      <c r="AM135" s="6" t="s">
        <v>54</v>
      </c>
      <c r="AN135" s="6" t="s">
        <v>55</v>
      </c>
      <c r="AO135" s="6" t="str">
        <f t="shared" si="38"/>
        <v>Completed</v>
      </c>
    </row>
    <row r="136" spans="1:41">
      <c r="A136" s="6" t="s">
        <v>780</v>
      </c>
      <c r="B136" s="7" t="s">
        <v>781</v>
      </c>
      <c r="C136" s="8">
        <v>45852</v>
      </c>
      <c r="D136" s="7" t="s">
        <v>782</v>
      </c>
      <c r="E136" s="9">
        <v>45852</v>
      </c>
      <c r="F136" s="9" t="str">
        <f t="shared" si="31"/>
        <v>Valid</v>
      </c>
      <c r="G136" s="10">
        <f t="shared" si="32"/>
        <v>0</v>
      </c>
      <c r="H136" s="10" t="str">
        <f t="shared" si="33"/>
        <v>Valid</v>
      </c>
      <c r="I136" s="6" t="s">
        <v>783</v>
      </c>
      <c r="J136" s="6" t="s">
        <v>103</v>
      </c>
      <c r="K136" s="6" t="s">
        <v>103</v>
      </c>
      <c r="L136" s="6" t="s">
        <v>135</v>
      </c>
      <c r="M136" s="7" t="str">
        <f t="shared" si="34"/>
        <v>Home Office</v>
      </c>
      <c r="N136" s="6" t="s">
        <v>62</v>
      </c>
      <c r="O136" s="7" t="str">
        <f t="shared" si="35"/>
        <v>East</v>
      </c>
      <c r="P136" s="6" t="s">
        <v>141</v>
      </c>
      <c r="Q136" s="6" t="s">
        <v>142</v>
      </c>
      <c r="R136" s="6" t="s">
        <v>65</v>
      </c>
      <c r="S136" s="7" t="str">
        <f t="shared" si="36"/>
        <v>Furniture</v>
      </c>
      <c r="T136" s="6" t="s">
        <v>224</v>
      </c>
      <c r="U136" s="6" t="s">
        <v>784</v>
      </c>
      <c r="V136" s="6"/>
      <c r="W136" s="7" t="str">
        <f t="shared" si="37"/>
        <v>Unknown</v>
      </c>
      <c r="X136" s="6">
        <v>5</v>
      </c>
      <c r="Y136" s="6">
        <v>383.1</v>
      </c>
      <c r="Z136" s="6">
        <v>0.25</v>
      </c>
      <c r="AA136" s="6">
        <f t="shared" si="39"/>
        <v>0.25</v>
      </c>
      <c r="AB136" s="6" t="str">
        <f t="shared" si="40"/>
        <v>Valid</v>
      </c>
      <c r="AC136" s="6">
        <v>1436.62</v>
      </c>
      <c r="AD136" s="6" t="str">
        <f>IF(OR(AO136="Cancelled",AM136="Failed"),"Exclude from Completed Sales","Include in Completed Sales")</f>
        <v>Exclude from Completed Sales</v>
      </c>
      <c r="AE136" s="6">
        <f t="shared" si="41"/>
        <v>1436.625</v>
      </c>
      <c r="AF136" s="6" t="str">
        <f t="shared" si="42"/>
        <v/>
      </c>
      <c r="AG136" s="6">
        <v>912.52</v>
      </c>
      <c r="AH136" s="6">
        <v>524.1</v>
      </c>
      <c r="AI136" s="6">
        <f t="shared" si="43"/>
        <v>524.10500000000002</v>
      </c>
      <c r="AJ136" s="11">
        <f t="shared" si="44"/>
        <v>0.36481684503610895</v>
      </c>
      <c r="AK136" s="11" t="str">
        <f t="shared" si="45"/>
        <v>July</v>
      </c>
      <c r="AL136" s="12">
        <f t="shared" si="46"/>
        <v>2025</v>
      </c>
      <c r="AM136" s="6" t="s">
        <v>157</v>
      </c>
      <c r="AN136" s="6" t="s">
        <v>98</v>
      </c>
      <c r="AO136" s="6" t="str">
        <f t="shared" si="38"/>
        <v>Cancelled</v>
      </c>
    </row>
    <row r="137" spans="1:41">
      <c r="A137" s="6" t="s">
        <v>785</v>
      </c>
      <c r="B137" s="7" t="s">
        <v>786</v>
      </c>
      <c r="C137" s="8">
        <v>45893</v>
      </c>
      <c r="D137" s="7" t="s">
        <v>786</v>
      </c>
      <c r="E137" s="9">
        <v>45893</v>
      </c>
      <c r="F137" s="9" t="str">
        <f t="shared" si="31"/>
        <v>Valid</v>
      </c>
      <c r="G137" s="10">
        <f t="shared" si="32"/>
        <v>0</v>
      </c>
      <c r="H137" s="10" t="str">
        <f t="shared" si="33"/>
        <v>Valid</v>
      </c>
      <c r="I137" s="6" t="s">
        <v>787</v>
      </c>
      <c r="J137" s="6" t="s">
        <v>230</v>
      </c>
      <c r="K137" s="6" t="s">
        <v>230</v>
      </c>
      <c r="L137" s="6" t="s">
        <v>61</v>
      </c>
      <c r="M137" s="7" t="str">
        <f t="shared" si="34"/>
        <v>Small Business</v>
      </c>
      <c r="N137" s="6" t="s">
        <v>82</v>
      </c>
      <c r="O137" s="7" t="str">
        <f t="shared" si="35"/>
        <v>South</v>
      </c>
      <c r="P137" s="6" t="s">
        <v>262</v>
      </c>
      <c r="Q137" s="6" t="s">
        <v>263</v>
      </c>
      <c r="R137" s="6" t="s">
        <v>65</v>
      </c>
      <c r="S137" s="7" t="str">
        <f t="shared" si="36"/>
        <v>Furniture</v>
      </c>
      <c r="T137" s="6" t="s">
        <v>224</v>
      </c>
      <c r="U137" s="6" t="s">
        <v>788</v>
      </c>
      <c r="V137" s="6" t="s">
        <v>87</v>
      </c>
      <c r="W137" s="7" t="str">
        <f t="shared" si="37"/>
        <v>Standard Class</v>
      </c>
      <c r="X137" s="6">
        <v>1</v>
      </c>
      <c r="Y137" s="6">
        <v>3424.78</v>
      </c>
      <c r="Z137" s="6">
        <v>0</v>
      </c>
      <c r="AA137" s="6">
        <f t="shared" si="39"/>
        <v>0</v>
      </c>
      <c r="AB137" s="6" t="str">
        <f t="shared" si="40"/>
        <v>Valid</v>
      </c>
      <c r="AC137" s="6">
        <v>3424.78</v>
      </c>
      <c r="AD137" s="6" t="str">
        <f>IF(OR(AO137="Cancelled",AM137="Failed"),"Exclude from Completed Sales","Include in Completed Sales")</f>
        <v>Include in Completed Sales</v>
      </c>
      <c r="AE137" s="6">
        <f t="shared" si="41"/>
        <v>3424.78</v>
      </c>
      <c r="AF137" s="6" t="str">
        <f t="shared" si="42"/>
        <v/>
      </c>
      <c r="AG137" s="6">
        <v>1951.45</v>
      </c>
      <c r="AH137" s="6">
        <v>1473.33</v>
      </c>
      <c r="AI137" s="6">
        <f t="shared" si="43"/>
        <v>1473.3300000000002</v>
      </c>
      <c r="AJ137" s="11">
        <f t="shared" si="44"/>
        <v>0.43019697615613267</v>
      </c>
      <c r="AK137" s="11" t="str">
        <f t="shared" si="45"/>
        <v>August</v>
      </c>
      <c r="AL137" s="12">
        <f t="shared" si="46"/>
        <v>2025</v>
      </c>
      <c r="AM137" s="6" t="s">
        <v>54</v>
      </c>
      <c r="AN137" s="6" t="s">
        <v>55</v>
      </c>
      <c r="AO137" s="6" t="str">
        <f t="shared" si="38"/>
        <v>Completed</v>
      </c>
    </row>
    <row r="138" spans="1:41">
      <c r="A138" s="6" t="s">
        <v>789</v>
      </c>
      <c r="B138" s="7" t="s">
        <v>790</v>
      </c>
      <c r="C138" s="8">
        <v>45697</v>
      </c>
      <c r="D138" s="7" t="s">
        <v>791</v>
      </c>
      <c r="E138" s="9">
        <v>45703</v>
      </c>
      <c r="F138" s="9" t="str">
        <f t="shared" si="31"/>
        <v>Valid</v>
      </c>
      <c r="G138" s="10">
        <f t="shared" si="32"/>
        <v>6</v>
      </c>
      <c r="H138" s="10" t="str">
        <f t="shared" si="33"/>
        <v>Valid</v>
      </c>
      <c r="I138" s="6" t="s">
        <v>792</v>
      </c>
      <c r="J138" s="6" t="s">
        <v>60</v>
      </c>
      <c r="K138" s="6" t="s">
        <v>60</v>
      </c>
      <c r="L138" s="6" t="s">
        <v>135</v>
      </c>
      <c r="M138" s="7" t="str">
        <f t="shared" si="34"/>
        <v>Home Office</v>
      </c>
      <c r="N138" s="6" t="s">
        <v>62</v>
      </c>
      <c r="O138" s="7" t="str">
        <f t="shared" si="35"/>
        <v>East</v>
      </c>
      <c r="P138" s="6" t="s">
        <v>331</v>
      </c>
      <c r="Q138" s="6" t="s">
        <v>332</v>
      </c>
      <c r="R138" s="6" t="s">
        <v>50</v>
      </c>
      <c r="S138" s="7" t="str">
        <f t="shared" si="36"/>
        <v>Office Supplies</v>
      </c>
      <c r="T138" s="6" t="s">
        <v>218</v>
      </c>
      <c r="U138" s="6" t="s">
        <v>793</v>
      </c>
      <c r="V138" s="6" t="s">
        <v>794</v>
      </c>
      <c r="W138" s="7" t="str">
        <f t="shared" si="37"/>
        <v>Standard Class</v>
      </c>
      <c r="X138" s="6">
        <v>9</v>
      </c>
      <c r="Y138" s="6">
        <v>4330.33</v>
      </c>
      <c r="Z138" s="6">
        <v>0.2</v>
      </c>
      <c r="AA138" s="6">
        <f t="shared" si="39"/>
        <v>0.2</v>
      </c>
      <c r="AB138" s="6" t="str">
        <f t="shared" si="40"/>
        <v>Valid</v>
      </c>
      <c r="AC138" s="6">
        <v>31178.38</v>
      </c>
      <c r="AD138" s="6" t="str">
        <f>IF(OR(AO138="Cancelled",AM138="Failed"),"Exclude from Completed Sales","Include in Completed Sales")</f>
        <v>Include in Completed Sales</v>
      </c>
      <c r="AE138" s="6">
        <f t="shared" si="41"/>
        <v>31178.376000000004</v>
      </c>
      <c r="AF138" s="6" t="str">
        <f t="shared" si="42"/>
        <v/>
      </c>
      <c r="AG138" s="6">
        <v>21421.09</v>
      </c>
      <c r="AH138" s="6">
        <v>9757.2900000000009</v>
      </c>
      <c r="AI138" s="6">
        <f t="shared" si="43"/>
        <v>9757.2860000000037</v>
      </c>
      <c r="AJ138" s="11">
        <f t="shared" si="44"/>
        <v>0.31295042435821552</v>
      </c>
      <c r="AK138" s="11" t="str">
        <f t="shared" si="45"/>
        <v>February</v>
      </c>
      <c r="AL138" s="12">
        <f t="shared" si="46"/>
        <v>2025</v>
      </c>
      <c r="AM138" s="6" t="s">
        <v>54</v>
      </c>
      <c r="AN138" s="6" t="s">
        <v>55</v>
      </c>
      <c r="AO138" s="6" t="str">
        <f t="shared" si="38"/>
        <v>Completed</v>
      </c>
    </row>
    <row r="139" spans="1:41">
      <c r="A139" s="6" t="s">
        <v>795</v>
      </c>
      <c r="B139" s="7" t="s">
        <v>796</v>
      </c>
      <c r="C139" s="8">
        <v>45666</v>
      </c>
      <c r="D139" s="7" t="s">
        <v>797</v>
      </c>
      <c r="E139" s="9">
        <v>45666</v>
      </c>
      <c r="F139" s="9" t="str">
        <f t="shared" si="31"/>
        <v>Valid</v>
      </c>
      <c r="G139" s="10">
        <f t="shared" si="32"/>
        <v>0</v>
      </c>
      <c r="H139" s="10" t="str">
        <f t="shared" si="33"/>
        <v>Valid</v>
      </c>
      <c r="I139" s="6" t="s">
        <v>798</v>
      </c>
      <c r="J139" s="6" t="s">
        <v>188</v>
      </c>
      <c r="K139" s="6" t="s">
        <v>188</v>
      </c>
      <c r="L139" s="6" t="s">
        <v>61</v>
      </c>
      <c r="M139" s="7" t="str">
        <f t="shared" si="34"/>
        <v>Small Business</v>
      </c>
      <c r="N139" s="6" t="s">
        <v>47</v>
      </c>
      <c r="O139" s="7" t="str">
        <f t="shared" si="35"/>
        <v>North</v>
      </c>
      <c r="P139" s="6" t="s">
        <v>48</v>
      </c>
      <c r="Q139" s="6" t="s">
        <v>49</v>
      </c>
      <c r="R139" s="6" t="s">
        <v>65</v>
      </c>
      <c r="S139" s="7" t="str">
        <f t="shared" si="36"/>
        <v>Furniture</v>
      </c>
      <c r="T139" s="6" t="s">
        <v>96</v>
      </c>
      <c r="U139" s="6" t="s">
        <v>799</v>
      </c>
      <c r="V139" s="6" t="s">
        <v>68</v>
      </c>
      <c r="W139" s="7" t="str">
        <f t="shared" si="37"/>
        <v>Same Day</v>
      </c>
      <c r="X139" s="6">
        <v>8</v>
      </c>
      <c r="Y139" s="6">
        <v>2667.07</v>
      </c>
      <c r="Z139" s="6">
        <v>0.1</v>
      </c>
      <c r="AA139" s="6">
        <f t="shared" si="39"/>
        <v>0.1</v>
      </c>
      <c r="AB139" s="6" t="str">
        <f t="shared" si="40"/>
        <v>Valid</v>
      </c>
      <c r="AC139" s="6">
        <v>19202.900000000001</v>
      </c>
      <c r="AD139" s="6" t="str">
        <f>IF(OR(AO139="Cancelled",AM139="Failed"),"Exclude from Completed Sales","Include in Completed Sales")</f>
        <v>Include in Completed Sales</v>
      </c>
      <c r="AE139" s="6">
        <f t="shared" si="41"/>
        <v>19202.904000000002</v>
      </c>
      <c r="AF139" s="6" t="str">
        <f t="shared" si="42"/>
        <v/>
      </c>
      <c r="AG139" s="6">
        <v>15526.62</v>
      </c>
      <c r="AH139" s="6">
        <v>3676.28</v>
      </c>
      <c r="AI139" s="6">
        <f t="shared" si="43"/>
        <v>3676.2840000000015</v>
      </c>
      <c r="AJ139" s="11">
        <f t="shared" si="44"/>
        <v>0.19144416906942829</v>
      </c>
      <c r="AK139" s="11" t="str">
        <f t="shared" si="45"/>
        <v>January</v>
      </c>
      <c r="AL139" s="12">
        <f t="shared" si="46"/>
        <v>2025</v>
      </c>
      <c r="AM139" s="6" t="s">
        <v>54</v>
      </c>
      <c r="AN139" s="6" t="s">
        <v>55</v>
      </c>
      <c r="AO139" s="6" t="str">
        <f t="shared" si="38"/>
        <v>Completed</v>
      </c>
    </row>
    <row r="140" spans="1:41">
      <c r="A140" s="6" t="s">
        <v>800</v>
      </c>
      <c r="B140" s="7" t="s">
        <v>801</v>
      </c>
      <c r="C140" s="8">
        <v>45311</v>
      </c>
      <c r="D140" s="7" t="s">
        <v>802</v>
      </c>
      <c r="E140" s="9">
        <v>45317</v>
      </c>
      <c r="F140" s="9" t="str">
        <f t="shared" si="31"/>
        <v>Valid</v>
      </c>
      <c r="G140" s="10">
        <f t="shared" si="32"/>
        <v>6</v>
      </c>
      <c r="H140" s="10" t="str">
        <f t="shared" si="33"/>
        <v>Valid</v>
      </c>
      <c r="I140" s="6" t="s">
        <v>803</v>
      </c>
      <c r="J140" s="6" t="s">
        <v>230</v>
      </c>
      <c r="K140" s="6" t="s">
        <v>230</v>
      </c>
      <c r="L140" s="6" t="s">
        <v>135</v>
      </c>
      <c r="M140" s="7" t="str">
        <f t="shared" si="34"/>
        <v>Home Office</v>
      </c>
      <c r="N140" s="6" t="s">
        <v>62</v>
      </c>
      <c r="O140" s="7" t="str">
        <f t="shared" si="35"/>
        <v>East</v>
      </c>
      <c r="P140" s="6" t="s">
        <v>331</v>
      </c>
      <c r="Q140" s="6" t="s">
        <v>332</v>
      </c>
      <c r="R140" s="6" t="s">
        <v>106</v>
      </c>
      <c r="S140" s="7" t="str">
        <f t="shared" si="36"/>
        <v>Technology</v>
      </c>
      <c r="T140" s="6" t="s">
        <v>402</v>
      </c>
      <c r="U140" s="6" t="s">
        <v>804</v>
      </c>
      <c r="V140" s="6" t="s">
        <v>87</v>
      </c>
      <c r="W140" s="7" t="str">
        <f t="shared" si="37"/>
        <v>Standard Class</v>
      </c>
      <c r="X140" s="6">
        <v>8</v>
      </c>
      <c r="Y140" s="6">
        <v>4003.05</v>
      </c>
      <c r="Z140" s="6">
        <v>0.25</v>
      </c>
      <c r="AA140" s="6">
        <f t="shared" si="39"/>
        <v>0.25</v>
      </c>
      <c r="AB140" s="6" t="str">
        <f t="shared" si="40"/>
        <v>Valid</v>
      </c>
      <c r="AC140" s="6">
        <v>24018.3</v>
      </c>
      <c r="AD140" s="6" t="str">
        <f>IF(OR(AO140="Cancelled",AM140="Failed"),"Exclude from Completed Sales","Include in Completed Sales")</f>
        <v>Include in Completed Sales</v>
      </c>
      <c r="AE140" s="6">
        <f t="shared" si="41"/>
        <v>24018.300000000003</v>
      </c>
      <c r="AF140" s="6" t="str">
        <f t="shared" si="42"/>
        <v/>
      </c>
      <c r="AG140" s="6">
        <v>14070.78</v>
      </c>
      <c r="AH140" s="6">
        <v>9947.52</v>
      </c>
      <c r="AI140" s="6">
        <f t="shared" si="43"/>
        <v>9947.5200000000023</v>
      </c>
      <c r="AJ140" s="11">
        <f t="shared" si="44"/>
        <v>0.41416419979765434</v>
      </c>
      <c r="AK140" s="11" t="str">
        <f t="shared" si="45"/>
        <v>January</v>
      </c>
      <c r="AL140" s="12">
        <f t="shared" si="46"/>
        <v>2024</v>
      </c>
      <c r="AM140" s="6" t="s">
        <v>54</v>
      </c>
      <c r="AN140" s="6" t="s">
        <v>55</v>
      </c>
      <c r="AO140" s="6" t="str">
        <f t="shared" si="38"/>
        <v>Completed</v>
      </c>
    </row>
    <row r="141" spans="1:41">
      <c r="A141" s="6" t="s">
        <v>805</v>
      </c>
      <c r="B141" s="7" t="s">
        <v>806</v>
      </c>
      <c r="C141" s="8">
        <v>45718</v>
      </c>
      <c r="D141" s="7" t="s">
        <v>807</v>
      </c>
      <c r="E141" s="9">
        <v>45723</v>
      </c>
      <c r="F141" s="9" t="str">
        <f t="shared" si="31"/>
        <v>Valid</v>
      </c>
      <c r="G141" s="10">
        <f t="shared" si="32"/>
        <v>5</v>
      </c>
      <c r="H141" s="10" t="str">
        <f t="shared" si="33"/>
        <v>Valid</v>
      </c>
      <c r="I141" s="6" t="s">
        <v>808</v>
      </c>
      <c r="J141" s="6" t="s">
        <v>113</v>
      </c>
      <c r="K141" s="6" t="s">
        <v>113</v>
      </c>
      <c r="L141" s="6" t="s">
        <v>135</v>
      </c>
      <c r="M141" s="7" t="str">
        <f t="shared" si="34"/>
        <v>Home Office</v>
      </c>
      <c r="N141" s="6" t="s">
        <v>82</v>
      </c>
      <c r="O141" s="7" t="str">
        <f t="shared" si="35"/>
        <v>South</v>
      </c>
      <c r="P141" s="6" t="s">
        <v>249</v>
      </c>
      <c r="Q141" s="6" t="s">
        <v>250</v>
      </c>
      <c r="R141" s="6" t="s">
        <v>50</v>
      </c>
      <c r="S141" s="7" t="str">
        <f t="shared" si="36"/>
        <v>Office Supplies</v>
      </c>
      <c r="T141" s="6" t="s">
        <v>129</v>
      </c>
      <c r="U141" s="6" t="s">
        <v>809</v>
      </c>
      <c r="V141" s="6" t="s">
        <v>87</v>
      </c>
      <c r="W141" s="7" t="str">
        <f t="shared" si="37"/>
        <v>Standard Class</v>
      </c>
      <c r="X141" s="6">
        <v>8</v>
      </c>
      <c r="Y141" s="6">
        <v>1287.6300000000001</v>
      </c>
      <c r="Z141" s="6">
        <v>0</v>
      </c>
      <c r="AA141" s="6">
        <f t="shared" si="39"/>
        <v>0</v>
      </c>
      <c r="AB141" s="6" t="str">
        <f t="shared" si="40"/>
        <v>Valid</v>
      </c>
      <c r="AC141" s="6">
        <v>10301.040000000001</v>
      </c>
      <c r="AD141" s="6" t="str">
        <f>IF(OR(AO141="Cancelled",AM141="Failed"),"Exclude from Completed Sales","Include in Completed Sales")</f>
        <v>Include in Completed Sales</v>
      </c>
      <c r="AE141" s="6">
        <f t="shared" si="41"/>
        <v>10301.040000000001</v>
      </c>
      <c r="AF141" s="6" t="str">
        <f t="shared" si="42"/>
        <v/>
      </c>
      <c r="AG141" s="6">
        <v>6564.06</v>
      </c>
      <c r="AH141" s="6">
        <v>3736.98</v>
      </c>
      <c r="AI141" s="6">
        <f t="shared" si="43"/>
        <v>3736.9800000000005</v>
      </c>
      <c r="AJ141" s="11">
        <f t="shared" si="44"/>
        <v>0.3627769623261341</v>
      </c>
      <c r="AK141" s="11" t="str">
        <f t="shared" si="45"/>
        <v>March</v>
      </c>
      <c r="AL141" s="12">
        <f t="shared" si="46"/>
        <v>2025</v>
      </c>
      <c r="AM141" s="6" t="s">
        <v>54</v>
      </c>
      <c r="AN141" s="6" t="s">
        <v>55</v>
      </c>
      <c r="AO141" s="6" t="str">
        <f t="shared" si="38"/>
        <v>Completed</v>
      </c>
    </row>
    <row r="142" spans="1:41">
      <c r="A142" s="6" t="s">
        <v>810</v>
      </c>
      <c r="B142" s="7" t="s">
        <v>811</v>
      </c>
      <c r="C142" s="8">
        <v>45443</v>
      </c>
      <c r="D142" s="7" t="s">
        <v>812</v>
      </c>
      <c r="E142" s="9">
        <v>45444</v>
      </c>
      <c r="F142" s="9" t="str">
        <f t="shared" si="31"/>
        <v>Valid</v>
      </c>
      <c r="G142" s="10">
        <f t="shared" si="32"/>
        <v>1</v>
      </c>
      <c r="H142" s="10" t="str">
        <f t="shared" si="33"/>
        <v>Valid</v>
      </c>
      <c r="I142" s="6" t="s">
        <v>813</v>
      </c>
      <c r="J142" s="6" t="s">
        <v>60</v>
      </c>
      <c r="K142" s="6" t="s">
        <v>60</v>
      </c>
      <c r="L142" s="6" t="s">
        <v>128</v>
      </c>
      <c r="M142" s="7" t="str">
        <f t="shared" si="34"/>
        <v>Corporate</v>
      </c>
      <c r="N142" s="6" t="s">
        <v>82</v>
      </c>
      <c r="O142" s="7" t="str">
        <f t="shared" si="35"/>
        <v>South</v>
      </c>
      <c r="P142" s="6" t="s">
        <v>249</v>
      </c>
      <c r="Q142" s="6" t="s">
        <v>250</v>
      </c>
      <c r="R142" s="6" t="s">
        <v>65</v>
      </c>
      <c r="S142" s="7" t="str">
        <f t="shared" si="36"/>
        <v>Furniture</v>
      </c>
      <c r="T142" s="6" t="s">
        <v>224</v>
      </c>
      <c r="U142" s="6" t="s">
        <v>814</v>
      </c>
      <c r="V142" s="6" t="s">
        <v>68</v>
      </c>
      <c r="W142" s="7" t="str">
        <f t="shared" si="37"/>
        <v>Same Day</v>
      </c>
      <c r="X142" s="6">
        <v>3</v>
      </c>
      <c r="Y142" s="6">
        <v>2914.55</v>
      </c>
      <c r="Z142" s="6">
        <v>0</v>
      </c>
      <c r="AA142" s="6">
        <f t="shared" si="39"/>
        <v>0</v>
      </c>
      <c r="AB142" s="6" t="str">
        <f t="shared" si="40"/>
        <v>Valid</v>
      </c>
      <c r="AC142" s="6">
        <v>8743.65</v>
      </c>
      <c r="AD142" s="6" t="str">
        <f>IF(OR(AO142="Cancelled",AM142="Failed"),"Exclude from Completed Sales","Include in Completed Sales")</f>
        <v>Include in Completed Sales</v>
      </c>
      <c r="AE142" s="6">
        <f t="shared" si="41"/>
        <v>8743.6500000000015</v>
      </c>
      <c r="AF142" s="6" t="str">
        <f t="shared" si="42"/>
        <v/>
      </c>
      <c r="AG142" s="6">
        <v>6603.76</v>
      </c>
      <c r="AH142" s="6">
        <v>2139.89</v>
      </c>
      <c r="AI142" s="6">
        <f t="shared" si="43"/>
        <v>2139.8900000000012</v>
      </c>
      <c r="AJ142" s="11">
        <f t="shared" si="44"/>
        <v>0.24473646589239059</v>
      </c>
      <c r="AK142" s="11" t="str">
        <f t="shared" si="45"/>
        <v>May</v>
      </c>
      <c r="AL142" s="12">
        <f t="shared" si="46"/>
        <v>2024</v>
      </c>
      <c r="AM142" s="6" t="s">
        <v>54</v>
      </c>
      <c r="AN142" s="6" t="s">
        <v>55</v>
      </c>
      <c r="AO142" s="6" t="str">
        <f t="shared" si="38"/>
        <v>Completed</v>
      </c>
    </row>
    <row r="143" spans="1:41">
      <c r="A143" s="6" t="s">
        <v>815</v>
      </c>
      <c r="B143" s="7" t="s">
        <v>816</v>
      </c>
      <c r="C143" s="8">
        <v>45374</v>
      </c>
      <c r="D143" s="7" t="s">
        <v>817</v>
      </c>
      <c r="E143" s="9">
        <v>45380</v>
      </c>
      <c r="F143" s="9" t="str">
        <f t="shared" si="31"/>
        <v>Valid</v>
      </c>
      <c r="G143" s="10">
        <f t="shared" si="32"/>
        <v>6</v>
      </c>
      <c r="H143" s="10" t="str">
        <f t="shared" si="33"/>
        <v>Valid</v>
      </c>
      <c r="I143" s="6" t="s">
        <v>818</v>
      </c>
      <c r="J143" s="6" t="s">
        <v>162</v>
      </c>
      <c r="K143" s="6" t="s">
        <v>162</v>
      </c>
      <c r="L143" s="6" t="s">
        <v>128</v>
      </c>
      <c r="M143" s="7" t="str">
        <f t="shared" si="34"/>
        <v>Corporate</v>
      </c>
      <c r="N143" s="6" t="s">
        <v>47</v>
      </c>
      <c r="O143" s="7" t="str">
        <f t="shared" si="35"/>
        <v>North</v>
      </c>
      <c r="P143" s="6" t="s">
        <v>526</v>
      </c>
      <c r="Q143" s="6" t="s">
        <v>527</v>
      </c>
      <c r="R143" s="6" t="s">
        <v>65</v>
      </c>
      <c r="S143" s="7" t="str">
        <f t="shared" si="36"/>
        <v>Furniture</v>
      </c>
      <c r="T143" s="6" t="s">
        <v>224</v>
      </c>
      <c r="U143" s="6" t="s">
        <v>819</v>
      </c>
      <c r="V143" s="6" t="s">
        <v>68</v>
      </c>
      <c r="W143" s="7" t="str">
        <f t="shared" si="37"/>
        <v>Same Day</v>
      </c>
      <c r="X143" s="6">
        <v>7</v>
      </c>
      <c r="Y143" s="6">
        <v>634.29</v>
      </c>
      <c r="Z143" s="6">
        <v>0.1</v>
      </c>
      <c r="AA143" s="6">
        <f t="shared" si="39"/>
        <v>0.1</v>
      </c>
      <c r="AB143" s="6" t="str">
        <f t="shared" si="40"/>
        <v>Valid</v>
      </c>
      <c r="AC143" s="6">
        <v>3996.03</v>
      </c>
      <c r="AD143" s="6" t="str">
        <f>IF(OR(AO143="Cancelled",AM143="Failed"),"Exclude from Completed Sales","Include in Completed Sales")</f>
        <v>Include in Completed Sales</v>
      </c>
      <c r="AE143" s="6">
        <f t="shared" si="41"/>
        <v>3996.027</v>
      </c>
      <c r="AF143" s="6" t="str">
        <f t="shared" si="42"/>
        <v/>
      </c>
      <c r="AG143" s="6">
        <v>2859.51</v>
      </c>
      <c r="AH143" s="6">
        <v>1136.52</v>
      </c>
      <c r="AI143" s="6">
        <f t="shared" si="43"/>
        <v>1136.5169999999998</v>
      </c>
      <c r="AJ143" s="11">
        <f t="shared" si="44"/>
        <v>0.28441174196270441</v>
      </c>
      <c r="AK143" s="11" t="str">
        <f t="shared" si="45"/>
        <v>March</v>
      </c>
      <c r="AL143" s="12">
        <f t="shared" si="46"/>
        <v>2024</v>
      </c>
      <c r="AM143" s="6" t="s">
        <v>54</v>
      </c>
      <c r="AN143" s="6" t="s">
        <v>145</v>
      </c>
      <c r="AO143" s="6" t="str">
        <f t="shared" si="38"/>
        <v>Returned</v>
      </c>
    </row>
    <row r="144" spans="1:41">
      <c r="A144" s="6" t="s">
        <v>820</v>
      </c>
      <c r="B144" s="7" t="s">
        <v>821</v>
      </c>
      <c r="C144" s="8">
        <v>45381</v>
      </c>
      <c r="D144" s="7" t="s">
        <v>822</v>
      </c>
      <c r="E144" s="9">
        <v>45377</v>
      </c>
      <c r="F144" s="9" t="str">
        <f t="shared" si="31"/>
        <v>Invalid Shipping Record</v>
      </c>
      <c r="G144" s="10">
        <f t="shared" si="32"/>
        <v>-4</v>
      </c>
      <c r="H144" s="10" t="str">
        <f t="shared" si="33"/>
        <v>Invalid Shipping Record</v>
      </c>
      <c r="I144" s="6" t="s">
        <v>823</v>
      </c>
      <c r="J144" s="6" t="s">
        <v>127</v>
      </c>
      <c r="K144" s="6" t="s">
        <v>127</v>
      </c>
      <c r="L144" s="6" t="s">
        <v>135</v>
      </c>
      <c r="M144" s="7" t="str">
        <f t="shared" si="34"/>
        <v>Home Office</v>
      </c>
      <c r="N144" s="6" t="s">
        <v>47</v>
      </c>
      <c r="O144" s="7" t="str">
        <f t="shared" si="35"/>
        <v>North</v>
      </c>
      <c r="P144" s="6" t="s">
        <v>48</v>
      </c>
      <c r="Q144" s="6" t="s">
        <v>49</v>
      </c>
      <c r="R144" s="6" t="s">
        <v>106</v>
      </c>
      <c r="S144" s="7" t="str">
        <f t="shared" si="36"/>
        <v>Technology</v>
      </c>
      <c r="T144" s="6" t="s">
        <v>243</v>
      </c>
      <c r="U144" s="6" t="s">
        <v>824</v>
      </c>
      <c r="V144" s="6" t="s">
        <v>53</v>
      </c>
      <c r="W144" s="7" t="str">
        <f t="shared" si="37"/>
        <v>Second Class</v>
      </c>
      <c r="X144" s="6">
        <v>5</v>
      </c>
      <c r="Y144" s="6">
        <v>907.54</v>
      </c>
      <c r="Z144" s="6">
        <v>0.15</v>
      </c>
      <c r="AA144" s="6">
        <f t="shared" si="39"/>
        <v>0.15</v>
      </c>
      <c r="AB144" s="6" t="str">
        <f t="shared" si="40"/>
        <v>Valid</v>
      </c>
      <c r="AC144" s="6">
        <v>3857.04</v>
      </c>
      <c r="AD144" s="6" t="str">
        <f>IF(OR(AO144="Cancelled",AM144="Failed"),"Exclude from Completed Sales","Include in Completed Sales")</f>
        <v>Include in Completed Sales</v>
      </c>
      <c r="AE144" s="6">
        <f t="shared" si="41"/>
        <v>3857.0449999999996</v>
      </c>
      <c r="AF144" s="6" t="str">
        <f t="shared" si="42"/>
        <v/>
      </c>
      <c r="AG144" s="6">
        <v>2769.26</v>
      </c>
      <c r="AH144" s="6">
        <v>1087.78</v>
      </c>
      <c r="AI144" s="6">
        <f t="shared" si="43"/>
        <v>1087.7849999999994</v>
      </c>
      <c r="AJ144" s="11">
        <f t="shared" si="44"/>
        <v>0.28202548842442843</v>
      </c>
      <c r="AK144" s="11" t="str">
        <f t="shared" si="45"/>
        <v>March</v>
      </c>
      <c r="AL144" s="12">
        <f t="shared" si="46"/>
        <v>2024</v>
      </c>
      <c r="AM144" s="6" t="s">
        <v>54</v>
      </c>
      <c r="AN144" s="6" t="s">
        <v>55</v>
      </c>
      <c r="AO144" s="6" t="str">
        <f t="shared" si="38"/>
        <v>Completed</v>
      </c>
    </row>
    <row r="145" spans="1:41">
      <c r="A145" s="6" t="s">
        <v>825</v>
      </c>
      <c r="B145" s="7" t="s">
        <v>562</v>
      </c>
      <c r="C145" s="8">
        <v>45375</v>
      </c>
      <c r="D145" s="7" t="s">
        <v>826</v>
      </c>
      <c r="E145" s="9">
        <v>45377</v>
      </c>
      <c r="F145" s="9" t="str">
        <f t="shared" si="31"/>
        <v>Valid</v>
      </c>
      <c r="G145" s="10">
        <f t="shared" si="32"/>
        <v>2</v>
      </c>
      <c r="H145" s="10" t="str">
        <f t="shared" si="33"/>
        <v>Valid</v>
      </c>
      <c r="I145" s="6" t="s">
        <v>827</v>
      </c>
      <c r="J145" s="6" t="s">
        <v>162</v>
      </c>
      <c r="K145" s="6" t="s">
        <v>162</v>
      </c>
      <c r="L145" s="6" t="s">
        <v>46</v>
      </c>
      <c r="M145" s="7" t="str">
        <f t="shared" si="34"/>
        <v>Consumer</v>
      </c>
      <c r="N145" s="6" t="s">
        <v>93</v>
      </c>
      <c r="O145" s="7" t="str">
        <f t="shared" si="35"/>
        <v>West</v>
      </c>
      <c r="P145" s="6" t="s">
        <v>255</v>
      </c>
      <c r="Q145" s="6" t="s">
        <v>256</v>
      </c>
      <c r="R145" s="6" t="s">
        <v>50</v>
      </c>
      <c r="S145" s="7" t="str">
        <f t="shared" si="36"/>
        <v>Office Supplies</v>
      </c>
      <c r="T145" s="6" t="s">
        <v>51</v>
      </c>
      <c r="U145" s="6" t="s">
        <v>828</v>
      </c>
      <c r="V145" s="6" t="s">
        <v>53</v>
      </c>
      <c r="W145" s="7" t="str">
        <f t="shared" si="37"/>
        <v>Second Class</v>
      </c>
      <c r="X145" s="6">
        <v>1</v>
      </c>
      <c r="Y145" s="6">
        <v>3409.5</v>
      </c>
      <c r="Z145" s="6">
        <v>0.1</v>
      </c>
      <c r="AA145" s="6">
        <f t="shared" si="39"/>
        <v>0.1</v>
      </c>
      <c r="AB145" s="6" t="str">
        <f t="shared" si="40"/>
        <v>Valid</v>
      </c>
      <c r="AC145" s="6">
        <v>3068.55</v>
      </c>
      <c r="AD145" s="6" t="str">
        <f>IF(OR(AO145="Cancelled",AM145="Failed"),"Exclude from Completed Sales","Include in Completed Sales")</f>
        <v>Include in Completed Sales</v>
      </c>
      <c r="AE145" s="6">
        <f t="shared" si="41"/>
        <v>3068.55</v>
      </c>
      <c r="AF145" s="6" t="str">
        <f t="shared" si="42"/>
        <v/>
      </c>
      <c r="AG145" s="6">
        <v>1916.16</v>
      </c>
      <c r="AH145" s="6">
        <v>1152.3900000000001</v>
      </c>
      <c r="AI145" s="6">
        <f t="shared" si="43"/>
        <v>1152.3900000000001</v>
      </c>
      <c r="AJ145" s="11">
        <f t="shared" si="44"/>
        <v>0.3755487119323459</v>
      </c>
      <c r="AK145" s="11" t="str">
        <f t="shared" si="45"/>
        <v>March</v>
      </c>
      <c r="AL145" s="12">
        <f t="shared" si="46"/>
        <v>2024</v>
      </c>
      <c r="AM145" s="6" t="s">
        <v>54</v>
      </c>
      <c r="AN145" s="6" t="s">
        <v>145</v>
      </c>
      <c r="AO145" s="6" t="str">
        <f t="shared" si="38"/>
        <v>Returned</v>
      </c>
    </row>
    <row r="146" spans="1:41">
      <c r="A146" s="6" t="s">
        <v>829</v>
      </c>
      <c r="B146" s="7" t="s">
        <v>598</v>
      </c>
      <c r="C146" s="8">
        <v>45450</v>
      </c>
      <c r="D146" s="7" t="s">
        <v>830</v>
      </c>
      <c r="E146" s="9">
        <v>45458</v>
      </c>
      <c r="F146" s="9" t="str">
        <f t="shared" si="31"/>
        <v>Valid</v>
      </c>
      <c r="G146" s="10">
        <f t="shared" si="32"/>
        <v>8</v>
      </c>
      <c r="H146" s="10" t="str">
        <f t="shared" si="33"/>
        <v>Valid</v>
      </c>
      <c r="I146" s="6" t="s">
        <v>831</v>
      </c>
      <c r="J146" s="6" t="s">
        <v>386</v>
      </c>
      <c r="K146" s="6" t="s">
        <v>386</v>
      </c>
      <c r="L146" s="6" t="s">
        <v>61</v>
      </c>
      <c r="M146" s="7" t="str">
        <f t="shared" si="34"/>
        <v>Small Business</v>
      </c>
      <c r="N146" s="6" t="s">
        <v>82</v>
      </c>
      <c r="O146" s="7" t="str">
        <f t="shared" si="35"/>
        <v>South</v>
      </c>
      <c r="P146" s="6" t="s">
        <v>83</v>
      </c>
      <c r="Q146" s="6" t="s">
        <v>84</v>
      </c>
      <c r="R146" s="6" t="s">
        <v>106</v>
      </c>
      <c r="S146" s="7" t="str">
        <f t="shared" si="36"/>
        <v>Technology</v>
      </c>
      <c r="T146" s="6" t="s">
        <v>107</v>
      </c>
      <c r="U146" s="6" t="s">
        <v>832</v>
      </c>
      <c r="V146" s="6" t="s">
        <v>76</v>
      </c>
      <c r="W146" s="7" t="str">
        <f t="shared" si="37"/>
        <v>First Class</v>
      </c>
      <c r="X146" s="6">
        <v>7</v>
      </c>
      <c r="Y146" s="6">
        <v>2147.9899999999998</v>
      </c>
      <c r="Z146" s="6">
        <v>0.25</v>
      </c>
      <c r="AA146" s="6">
        <f t="shared" si="39"/>
        <v>0.25</v>
      </c>
      <c r="AB146" s="6" t="str">
        <f t="shared" si="40"/>
        <v>Valid</v>
      </c>
      <c r="AC146" s="6">
        <v>11276.95</v>
      </c>
      <c r="AD146" s="6" t="str">
        <f>IF(OR(AO146="Cancelled",AM146="Failed"),"Exclude from Completed Sales","Include in Completed Sales")</f>
        <v>Include in Completed Sales</v>
      </c>
      <c r="AE146" s="6">
        <f t="shared" si="41"/>
        <v>11276.947499999998</v>
      </c>
      <c r="AF146" s="6" t="str">
        <f t="shared" si="42"/>
        <v>Refunded</v>
      </c>
      <c r="AG146" s="6">
        <v>6908.76</v>
      </c>
      <c r="AH146" s="6">
        <v>4368.1899999999996</v>
      </c>
      <c r="AI146" s="6">
        <f t="shared" si="43"/>
        <v>4368.1874999999982</v>
      </c>
      <c r="AJ146" s="11">
        <f t="shared" si="44"/>
        <v>0.38735548782150481</v>
      </c>
      <c r="AK146" s="11" t="str">
        <f t="shared" si="45"/>
        <v>June</v>
      </c>
      <c r="AL146" s="12">
        <f t="shared" si="46"/>
        <v>2024</v>
      </c>
      <c r="AM146" s="6" t="s">
        <v>144</v>
      </c>
      <c r="AN146" s="6" t="s">
        <v>145</v>
      </c>
      <c r="AO146" s="6" t="str">
        <f t="shared" si="38"/>
        <v>Returned</v>
      </c>
    </row>
    <row r="147" spans="1:41">
      <c r="A147" s="6" t="s">
        <v>833</v>
      </c>
      <c r="B147" s="7" t="s">
        <v>834</v>
      </c>
      <c r="C147" s="8">
        <v>45758</v>
      </c>
      <c r="D147" s="7" t="s">
        <v>835</v>
      </c>
      <c r="E147" s="9">
        <v>45760</v>
      </c>
      <c r="F147" s="9" t="str">
        <f t="shared" si="31"/>
        <v>Valid</v>
      </c>
      <c r="G147" s="10">
        <f t="shared" si="32"/>
        <v>2</v>
      </c>
      <c r="H147" s="10" t="str">
        <f t="shared" si="33"/>
        <v>Valid</v>
      </c>
      <c r="I147" s="6" t="s">
        <v>836</v>
      </c>
      <c r="J147" s="6" t="s">
        <v>60</v>
      </c>
      <c r="K147" s="6" t="s">
        <v>60</v>
      </c>
      <c r="L147" s="6" t="s">
        <v>61</v>
      </c>
      <c r="M147" s="7" t="str">
        <f t="shared" si="34"/>
        <v>Small Business</v>
      </c>
      <c r="N147" s="6" t="s">
        <v>93</v>
      </c>
      <c r="O147" s="7" t="str">
        <f t="shared" si="35"/>
        <v>West</v>
      </c>
      <c r="P147" s="6" t="s">
        <v>269</v>
      </c>
      <c r="Q147" s="6" t="s">
        <v>270</v>
      </c>
      <c r="R147" s="6" t="s">
        <v>50</v>
      </c>
      <c r="S147" s="7" t="str">
        <f t="shared" si="36"/>
        <v>Office Supplies</v>
      </c>
      <c r="T147" s="6" t="s">
        <v>51</v>
      </c>
      <c r="U147" s="6" t="s">
        <v>837</v>
      </c>
      <c r="V147" s="6" t="s">
        <v>87</v>
      </c>
      <c r="W147" s="7" t="str">
        <f t="shared" si="37"/>
        <v>Standard Class</v>
      </c>
      <c r="X147" s="6">
        <v>4</v>
      </c>
      <c r="Y147" s="6">
        <v>4182.1499999999996</v>
      </c>
      <c r="Z147" s="6">
        <v>0.1</v>
      </c>
      <c r="AA147" s="6">
        <f t="shared" si="39"/>
        <v>0.1</v>
      </c>
      <c r="AB147" s="6" t="str">
        <f t="shared" si="40"/>
        <v>Valid</v>
      </c>
      <c r="AC147" s="6">
        <v>15055.74</v>
      </c>
      <c r="AD147" s="6" t="str">
        <f>IF(OR(AO147="Cancelled",AM147="Failed"),"Exclude from Completed Sales","Include in Completed Sales")</f>
        <v>Include in Completed Sales</v>
      </c>
      <c r="AE147" s="6">
        <f t="shared" si="41"/>
        <v>15055.74</v>
      </c>
      <c r="AF147" s="6" t="str">
        <f t="shared" si="42"/>
        <v/>
      </c>
      <c r="AG147" s="6">
        <v>9808.83</v>
      </c>
      <c r="AH147" s="6">
        <v>5246.91</v>
      </c>
      <c r="AI147" s="6">
        <f t="shared" si="43"/>
        <v>5246.91</v>
      </c>
      <c r="AJ147" s="11">
        <f t="shared" si="44"/>
        <v>0.34849897779850075</v>
      </c>
      <c r="AK147" s="11" t="str">
        <f t="shared" si="45"/>
        <v>April</v>
      </c>
      <c r="AL147" s="12">
        <f t="shared" si="46"/>
        <v>2025</v>
      </c>
      <c r="AM147" s="6" t="s">
        <v>54</v>
      </c>
      <c r="AN147" s="6" t="s">
        <v>55</v>
      </c>
      <c r="AO147" s="6" t="str">
        <f t="shared" si="38"/>
        <v>Completed</v>
      </c>
    </row>
    <row r="148" spans="1:41">
      <c r="A148" s="6" t="s">
        <v>838</v>
      </c>
      <c r="B148" s="7" t="s">
        <v>839</v>
      </c>
      <c r="C148" s="8">
        <v>45868</v>
      </c>
      <c r="D148" s="7" t="s">
        <v>840</v>
      </c>
      <c r="E148" s="9">
        <v>45870</v>
      </c>
      <c r="F148" s="9" t="str">
        <f t="shared" si="31"/>
        <v>Valid</v>
      </c>
      <c r="G148" s="10">
        <f t="shared" si="32"/>
        <v>2</v>
      </c>
      <c r="H148" s="10" t="str">
        <f t="shared" si="33"/>
        <v>Valid</v>
      </c>
      <c r="I148" s="6" t="s">
        <v>841</v>
      </c>
      <c r="J148" s="6" t="s">
        <v>188</v>
      </c>
      <c r="K148" s="6" t="s">
        <v>188</v>
      </c>
      <c r="L148" s="6" t="s">
        <v>61</v>
      </c>
      <c r="M148" s="7" t="str">
        <f t="shared" si="34"/>
        <v>Small Business</v>
      </c>
      <c r="N148" s="6" t="s">
        <v>82</v>
      </c>
      <c r="O148" s="7" t="str">
        <f t="shared" si="35"/>
        <v>South</v>
      </c>
      <c r="P148" s="6" t="s">
        <v>359</v>
      </c>
      <c r="Q148" s="6" t="s">
        <v>360</v>
      </c>
      <c r="R148" s="6" t="s">
        <v>50</v>
      </c>
      <c r="S148" s="7" t="str">
        <f t="shared" si="36"/>
        <v>Office Supplies</v>
      </c>
      <c r="T148" s="6" t="s">
        <v>176</v>
      </c>
      <c r="U148" s="6" t="s">
        <v>842</v>
      </c>
      <c r="V148" s="6" t="s">
        <v>68</v>
      </c>
      <c r="W148" s="7" t="str">
        <f t="shared" si="37"/>
        <v>Same Day</v>
      </c>
      <c r="X148" s="6">
        <v>9</v>
      </c>
      <c r="Y148" s="6">
        <v>3165.43</v>
      </c>
      <c r="Z148" s="6">
        <v>0.1</v>
      </c>
      <c r="AA148" s="6">
        <f t="shared" si="39"/>
        <v>0.1</v>
      </c>
      <c r="AB148" s="6" t="str">
        <f t="shared" si="40"/>
        <v>Valid</v>
      </c>
      <c r="AC148" s="6">
        <v>25639.98</v>
      </c>
      <c r="AD148" s="6" t="str">
        <f>IF(OR(AO148="Cancelled",AM148="Failed"),"Exclude from Completed Sales","Include in Completed Sales")</f>
        <v>Include in Completed Sales</v>
      </c>
      <c r="AE148" s="6">
        <f t="shared" si="41"/>
        <v>25639.983</v>
      </c>
      <c r="AF148" s="6" t="str">
        <f t="shared" si="42"/>
        <v/>
      </c>
      <c r="AG148" s="6">
        <v>21635.08</v>
      </c>
      <c r="AH148" s="6">
        <v>4004.9</v>
      </c>
      <c r="AI148" s="6">
        <f t="shared" si="43"/>
        <v>4004.9029999999984</v>
      </c>
      <c r="AJ148" s="11">
        <f t="shared" si="44"/>
        <v>0.1561975684617263</v>
      </c>
      <c r="AK148" s="11" t="str">
        <f t="shared" si="45"/>
        <v>July</v>
      </c>
      <c r="AL148" s="12">
        <f t="shared" si="46"/>
        <v>2025</v>
      </c>
      <c r="AM148" s="6" t="s">
        <v>54</v>
      </c>
      <c r="AN148" s="6" t="s">
        <v>55</v>
      </c>
      <c r="AO148" s="6" t="str">
        <f t="shared" si="38"/>
        <v>Completed</v>
      </c>
    </row>
    <row r="149" spans="1:41">
      <c r="A149" s="6" t="s">
        <v>843</v>
      </c>
      <c r="B149" s="7" t="s">
        <v>844</v>
      </c>
      <c r="C149" s="8">
        <v>45649</v>
      </c>
      <c r="D149" s="7" t="s">
        <v>845</v>
      </c>
      <c r="E149" s="9">
        <v>45656</v>
      </c>
      <c r="F149" s="9" t="str">
        <f t="shared" si="31"/>
        <v>Valid</v>
      </c>
      <c r="G149" s="10">
        <f t="shared" si="32"/>
        <v>7</v>
      </c>
      <c r="H149" s="10" t="str">
        <f t="shared" si="33"/>
        <v>Valid</v>
      </c>
      <c r="I149" s="6" t="s">
        <v>846</v>
      </c>
      <c r="J149" s="6" t="s">
        <v>162</v>
      </c>
      <c r="K149" s="6" t="s">
        <v>162</v>
      </c>
      <c r="L149" s="6" t="s">
        <v>135</v>
      </c>
      <c r="M149" s="7" t="str">
        <f t="shared" si="34"/>
        <v>Home Office</v>
      </c>
      <c r="N149" s="6" t="s">
        <v>93</v>
      </c>
      <c r="O149" s="7" t="str">
        <f t="shared" si="35"/>
        <v>West</v>
      </c>
      <c r="P149" s="6" t="s">
        <v>269</v>
      </c>
      <c r="Q149" s="6" t="s">
        <v>270</v>
      </c>
      <c r="R149" s="6" t="s">
        <v>65</v>
      </c>
      <c r="S149" s="7" t="str">
        <f t="shared" si="36"/>
        <v>Furniture</v>
      </c>
      <c r="T149" s="6" t="s">
        <v>85</v>
      </c>
      <c r="U149" s="6" t="s">
        <v>847</v>
      </c>
      <c r="V149" s="6" t="s">
        <v>76</v>
      </c>
      <c r="W149" s="7" t="str">
        <f t="shared" si="37"/>
        <v>First Class</v>
      </c>
      <c r="X149" s="6">
        <v>8</v>
      </c>
      <c r="Y149" s="6">
        <v>386.1</v>
      </c>
      <c r="Z149" s="6">
        <v>0.1</v>
      </c>
      <c r="AA149" s="6">
        <f t="shared" si="39"/>
        <v>0.1</v>
      </c>
      <c r="AB149" s="6" t="str">
        <f t="shared" si="40"/>
        <v>Valid</v>
      </c>
      <c r="AC149" s="6">
        <v>2779.92</v>
      </c>
      <c r="AD149" s="6" t="str">
        <f>IF(OR(AO149="Cancelled",AM149="Failed"),"Exclude from Completed Sales","Include in Completed Sales")</f>
        <v>Include in Completed Sales</v>
      </c>
      <c r="AE149" s="6">
        <f t="shared" si="41"/>
        <v>2779.92</v>
      </c>
      <c r="AF149" s="6" t="str">
        <f t="shared" si="42"/>
        <v/>
      </c>
      <c r="AG149" s="6">
        <v>1744.05</v>
      </c>
      <c r="AH149" s="6">
        <v>1035.8699999999999</v>
      </c>
      <c r="AI149" s="6">
        <f t="shared" si="43"/>
        <v>1035.8700000000001</v>
      </c>
      <c r="AJ149" s="11">
        <f t="shared" si="44"/>
        <v>0.37262583095916435</v>
      </c>
      <c r="AK149" s="11" t="str">
        <f t="shared" si="45"/>
        <v>December</v>
      </c>
      <c r="AL149" s="12">
        <f t="shared" si="46"/>
        <v>2024</v>
      </c>
      <c r="AM149" s="6" t="s">
        <v>54</v>
      </c>
      <c r="AN149" s="6" t="s">
        <v>55</v>
      </c>
      <c r="AO149" s="6" t="str">
        <f t="shared" si="38"/>
        <v>Completed</v>
      </c>
    </row>
    <row r="150" spans="1:41">
      <c r="A150" s="6" t="s">
        <v>848</v>
      </c>
      <c r="B150" s="7" t="s">
        <v>849</v>
      </c>
      <c r="C150" s="8">
        <v>45697</v>
      </c>
      <c r="D150" s="7" t="s">
        <v>850</v>
      </c>
      <c r="E150" s="9">
        <v>45701</v>
      </c>
      <c r="F150" s="9" t="str">
        <f t="shared" si="31"/>
        <v>Valid</v>
      </c>
      <c r="G150" s="10">
        <f t="shared" si="32"/>
        <v>4</v>
      </c>
      <c r="H150" s="10" t="str">
        <f t="shared" si="33"/>
        <v>Valid</v>
      </c>
      <c r="I150" s="6" t="s">
        <v>851</v>
      </c>
      <c r="J150" s="6" t="s">
        <v>60</v>
      </c>
      <c r="K150" s="6" t="s">
        <v>60</v>
      </c>
      <c r="L150" s="6" t="s">
        <v>135</v>
      </c>
      <c r="M150" s="7" t="str">
        <f t="shared" si="34"/>
        <v>Home Office</v>
      </c>
      <c r="N150" s="6" t="s">
        <v>93</v>
      </c>
      <c r="O150" s="7" t="str">
        <f t="shared" si="35"/>
        <v>West</v>
      </c>
      <c r="P150" s="6" t="s">
        <v>104</v>
      </c>
      <c r="Q150" s="6" t="s">
        <v>105</v>
      </c>
      <c r="R150" s="6" t="s">
        <v>106</v>
      </c>
      <c r="S150" s="7" t="str">
        <f t="shared" si="36"/>
        <v>Technology</v>
      </c>
      <c r="T150" s="6" t="s">
        <v>243</v>
      </c>
      <c r="U150" s="6" t="s">
        <v>852</v>
      </c>
      <c r="V150" s="6"/>
      <c r="W150" s="7" t="str">
        <f t="shared" si="37"/>
        <v>Unknown</v>
      </c>
      <c r="X150" s="6">
        <v>8</v>
      </c>
      <c r="Y150" s="6">
        <v>1696.07</v>
      </c>
      <c r="Z150" s="6">
        <v>0.25</v>
      </c>
      <c r="AA150" s="6">
        <f t="shared" si="39"/>
        <v>0.25</v>
      </c>
      <c r="AB150" s="6" t="str">
        <f t="shared" si="40"/>
        <v>Valid</v>
      </c>
      <c r="AC150" s="6">
        <v>10176.42</v>
      </c>
      <c r="AD150" s="6" t="str">
        <f>IF(OR(AO150="Cancelled",AM150="Failed"),"Exclude from Completed Sales","Include in Completed Sales")</f>
        <v>Include in Completed Sales</v>
      </c>
      <c r="AE150" s="6">
        <f t="shared" si="41"/>
        <v>10176.42</v>
      </c>
      <c r="AF150" s="6" t="str">
        <f t="shared" si="42"/>
        <v/>
      </c>
      <c r="AG150" s="6">
        <v>7604.47</v>
      </c>
      <c r="AH150" s="6">
        <v>2571.9499999999998</v>
      </c>
      <c r="AI150" s="6">
        <f t="shared" si="43"/>
        <v>2571.9499999999998</v>
      </c>
      <c r="AJ150" s="11">
        <f t="shared" si="44"/>
        <v>0.252736227474888</v>
      </c>
      <c r="AK150" s="11" t="str">
        <f t="shared" si="45"/>
        <v>February</v>
      </c>
      <c r="AL150" s="12">
        <f t="shared" si="46"/>
        <v>2025</v>
      </c>
      <c r="AM150" s="6" t="s">
        <v>54</v>
      </c>
      <c r="AN150" s="6" t="s">
        <v>55</v>
      </c>
      <c r="AO150" s="6" t="str">
        <f t="shared" si="38"/>
        <v>Completed</v>
      </c>
    </row>
    <row r="151" spans="1:41">
      <c r="A151" s="6" t="s">
        <v>853</v>
      </c>
      <c r="B151" s="7" t="s">
        <v>854</v>
      </c>
      <c r="C151" s="8">
        <v>45321</v>
      </c>
      <c r="D151" s="7" t="s">
        <v>854</v>
      </c>
      <c r="E151" s="9">
        <v>45321</v>
      </c>
      <c r="F151" s="9" t="str">
        <f t="shared" si="31"/>
        <v>Valid</v>
      </c>
      <c r="G151" s="10">
        <f t="shared" si="32"/>
        <v>0</v>
      </c>
      <c r="H151" s="10" t="str">
        <f t="shared" si="33"/>
        <v>Valid</v>
      </c>
      <c r="I151" s="6" t="s">
        <v>855</v>
      </c>
      <c r="J151" s="6" t="s">
        <v>182</v>
      </c>
      <c r="K151" s="6" t="s">
        <v>182</v>
      </c>
      <c r="L151" s="6" t="s">
        <v>61</v>
      </c>
      <c r="M151" s="7" t="str">
        <f t="shared" si="34"/>
        <v>Small Business</v>
      </c>
      <c r="N151" s="6" t="s">
        <v>856</v>
      </c>
      <c r="O151" s="7" t="str">
        <f t="shared" si="35"/>
        <v>West</v>
      </c>
      <c r="P151" s="6" t="s">
        <v>48</v>
      </c>
      <c r="Q151" s="6" t="s">
        <v>155</v>
      </c>
      <c r="R151" s="6" t="s">
        <v>106</v>
      </c>
      <c r="S151" s="7" t="str">
        <f t="shared" si="36"/>
        <v>Technology</v>
      </c>
      <c r="T151" s="6" t="s">
        <v>114</v>
      </c>
      <c r="U151" s="6" t="s">
        <v>857</v>
      </c>
      <c r="V151" s="6" t="s">
        <v>68</v>
      </c>
      <c r="W151" s="7" t="str">
        <f t="shared" si="37"/>
        <v>Same Day</v>
      </c>
      <c r="X151" s="6">
        <v>7</v>
      </c>
      <c r="Y151" s="6">
        <v>2527.61</v>
      </c>
      <c r="Z151" s="6">
        <v>0.25</v>
      </c>
      <c r="AA151" s="6">
        <f t="shared" si="39"/>
        <v>0.25</v>
      </c>
      <c r="AB151" s="6" t="str">
        <f t="shared" si="40"/>
        <v>Valid</v>
      </c>
      <c r="AC151" s="6">
        <v>13269.95</v>
      </c>
      <c r="AD151" s="6" t="str">
        <f>IF(OR(AO151="Cancelled",AM151="Failed"),"Exclude from Completed Sales","Include in Completed Sales")</f>
        <v>Include in Completed Sales</v>
      </c>
      <c r="AE151" s="6">
        <f t="shared" si="41"/>
        <v>13269.952499999999</v>
      </c>
      <c r="AF151" s="6" t="str">
        <f t="shared" si="42"/>
        <v/>
      </c>
      <c r="AG151" s="6">
        <v>8977.1</v>
      </c>
      <c r="AH151" s="6">
        <v>4292.8500000000004</v>
      </c>
      <c r="AI151" s="6">
        <f t="shared" si="43"/>
        <v>4292.8524999999991</v>
      </c>
      <c r="AJ151" s="11">
        <f t="shared" si="44"/>
        <v>0.32350172315989822</v>
      </c>
      <c r="AK151" s="11" t="str">
        <f t="shared" si="45"/>
        <v>January</v>
      </c>
      <c r="AL151" s="12">
        <f t="shared" si="46"/>
        <v>2024</v>
      </c>
      <c r="AM151" s="6" t="s">
        <v>54</v>
      </c>
      <c r="AN151" s="6" t="s">
        <v>55</v>
      </c>
      <c r="AO151" s="6" t="str">
        <f t="shared" si="38"/>
        <v>Completed</v>
      </c>
    </row>
    <row r="152" spans="1:41">
      <c r="A152" s="6" t="s">
        <v>858</v>
      </c>
      <c r="B152" s="7" t="s">
        <v>859</v>
      </c>
      <c r="C152" s="8">
        <v>45355</v>
      </c>
      <c r="D152" s="7" t="s">
        <v>860</v>
      </c>
      <c r="E152" s="9">
        <v>45363</v>
      </c>
      <c r="F152" s="9" t="str">
        <f t="shared" si="31"/>
        <v>Valid</v>
      </c>
      <c r="G152" s="10">
        <f t="shared" si="32"/>
        <v>8</v>
      </c>
      <c r="H152" s="10" t="str">
        <f t="shared" si="33"/>
        <v>Valid</v>
      </c>
      <c r="I152" s="6" t="s">
        <v>861</v>
      </c>
      <c r="J152" s="6" t="s">
        <v>81</v>
      </c>
      <c r="K152" s="6" t="s">
        <v>81</v>
      </c>
      <c r="L152" s="6" t="s">
        <v>46</v>
      </c>
      <c r="M152" s="7" t="str">
        <f t="shared" si="34"/>
        <v>Consumer</v>
      </c>
      <c r="N152" s="6"/>
      <c r="O152" s="7" t="str">
        <f t="shared" si="35"/>
        <v>Unknown</v>
      </c>
      <c r="P152" s="6" t="s">
        <v>255</v>
      </c>
      <c r="Q152" s="6" t="s">
        <v>256</v>
      </c>
      <c r="R152" s="6" t="s">
        <v>65</v>
      </c>
      <c r="S152" s="7" t="str">
        <f t="shared" si="36"/>
        <v>Furniture</v>
      </c>
      <c r="T152" s="6" t="s">
        <v>224</v>
      </c>
      <c r="U152" s="6" t="s">
        <v>862</v>
      </c>
      <c r="V152" s="6" t="s">
        <v>76</v>
      </c>
      <c r="W152" s="7" t="str">
        <f t="shared" si="37"/>
        <v>First Class</v>
      </c>
      <c r="X152" s="6">
        <v>1</v>
      </c>
      <c r="Y152" s="6">
        <v>1554.12</v>
      </c>
      <c r="Z152" s="6">
        <v>0.1</v>
      </c>
      <c r="AA152" s="6">
        <f t="shared" si="39"/>
        <v>0.1</v>
      </c>
      <c r="AB152" s="6" t="str">
        <f t="shared" si="40"/>
        <v>Valid</v>
      </c>
      <c r="AC152" s="6">
        <v>1398.71</v>
      </c>
      <c r="AD152" s="6" t="str">
        <f>IF(OR(AO152="Cancelled",AM152="Failed"),"Exclude from Completed Sales","Include in Completed Sales")</f>
        <v>Include in Completed Sales</v>
      </c>
      <c r="AE152" s="6">
        <f t="shared" si="41"/>
        <v>1398.7079999999999</v>
      </c>
      <c r="AF152" s="6" t="str">
        <f t="shared" si="42"/>
        <v/>
      </c>
      <c r="AG152" s="6">
        <v>1056.92</v>
      </c>
      <c r="AH152" s="6">
        <v>341.79</v>
      </c>
      <c r="AI152" s="6">
        <f t="shared" si="43"/>
        <v>341.78799999999978</v>
      </c>
      <c r="AJ152" s="11">
        <f t="shared" si="44"/>
        <v>0.24435979489643286</v>
      </c>
      <c r="AK152" s="11" t="str">
        <f t="shared" si="45"/>
        <v>March</v>
      </c>
      <c r="AL152" s="12">
        <f t="shared" si="46"/>
        <v>2024</v>
      </c>
      <c r="AM152" s="6" t="s">
        <v>54</v>
      </c>
      <c r="AN152" s="6" t="s">
        <v>55</v>
      </c>
      <c r="AO152" s="6" t="str">
        <f t="shared" si="38"/>
        <v>Completed</v>
      </c>
    </row>
    <row r="153" spans="1:41">
      <c r="A153" s="6" t="s">
        <v>863</v>
      </c>
      <c r="B153" s="7" t="s">
        <v>864</v>
      </c>
      <c r="C153" s="8">
        <v>45470</v>
      </c>
      <c r="D153" s="7" t="s">
        <v>865</v>
      </c>
      <c r="E153" s="9">
        <v>45470</v>
      </c>
      <c r="F153" s="9" t="str">
        <f t="shared" si="31"/>
        <v>Valid</v>
      </c>
      <c r="G153" s="10">
        <f t="shared" si="32"/>
        <v>0</v>
      </c>
      <c r="H153" s="10" t="str">
        <f t="shared" si="33"/>
        <v>Valid</v>
      </c>
      <c r="I153" s="6" t="s">
        <v>866</v>
      </c>
      <c r="J153" s="6" t="s">
        <v>113</v>
      </c>
      <c r="K153" s="6" t="s">
        <v>113</v>
      </c>
      <c r="L153" s="6" t="s">
        <v>135</v>
      </c>
      <c r="M153" s="7" t="str">
        <f t="shared" si="34"/>
        <v>Home Office</v>
      </c>
      <c r="N153" s="6"/>
      <c r="O153" s="7" t="str">
        <f t="shared" si="35"/>
        <v>Unknown</v>
      </c>
      <c r="P153" s="6" t="s">
        <v>104</v>
      </c>
      <c r="Q153" s="6" t="s">
        <v>105</v>
      </c>
      <c r="R153" s="6" t="s">
        <v>106</v>
      </c>
      <c r="S153" s="7" t="str">
        <f t="shared" si="36"/>
        <v>Technology</v>
      </c>
      <c r="T153" s="6" t="s">
        <v>114</v>
      </c>
      <c r="U153" s="6" t="s">
        <v>867</v>
      </c>
      <c r="V153" s="6" t="s">
        <v>87</v>
      </c>
      <c r="W153" s="7" t="str">
        <f t="shared" si="37"/>
        <v>Standard Class</v>
      </c>
      <c r="X153" s="6">
        <v>2</v>
      </c>
      <c r="Y153" s="6">
        <v>3859.11</v>
      </c>
      <c r="Z153" s="6">
        <v>0</v>
      </c>
      <c r="AA153" s="6">
        <f t="shared" si="39"/>
        <v>0</v>
      </c>
      <c r="AB153" s="6" t="str">
        <f t="shared" si="40"/>
        <v>Valid</v>
      </c>
      <c r="AC153" s="6">
        <v>7718.22</v>
      </c>
      <c r="AD153" s="6" t="str">
        <f>IF(OR(AO153="Cancelled",AM153="Failed"),"Exclude from Completed Sales","Include in Completed Sales")</f>
        <v>Include in Completed Sales</v>
      </c>
      <c r="AE153" s="6">
        <f t="shared" si="41"/>
        <v>7718.22</v>
      </c>
      <c r="AF153" s="6" t="str">
        <f t="shared" si="42"/>
        <v/>
      </c>
      <c r="AG153" s="6">
        <v>5355.93</v>
      </c>
      <c r="AH153" s="6">
        <v>2362.29</v>
      </c>
      <c r="AI153" s="6">
        <f t="shared" si="43"/>
        <v>2362.29</v>
      </c>
      <c r="AJ153" s="11">
        <f t="shared" si="44"/>
        <v>0.30606668376905555</v>
      </c>
      <c r="AK153" s="11" t="str">
        <f t="shared" si="45"/>
        <v>June</v>
      </c>
      <c r="AL153" s="12">
        <f t="shared" si="46"/>
        <v>2024</v>
      </c>
      <c r="AM153" s="6" t="s">
        <v>157</v>
      </c>
      <c r="AN153" s="6" t="s">
        <v>145</v>
      </c>
      <c r="AO153" s="6" t="str">
        <f t="shared" si="38"/>
        <v>Returned</v>
      </c>
    </row>
    <row r="154" spans="1:41">
      <c r="A154" s="6" t="s">
        <v>868</v>
      </c>
      <c r="B154" s="7" t="s">
        <v>869</v>
      </c>
      <c r="C154" s="8">
        <v>45457</v>
      </c>
      <c r="D154" s="7" t="s">
        <v>870</v>
      </c>
      <c r="E154" s="9">
        <v>45460</v>
      </c>
      <c r="F154" s="9" t="str">
        <f t="shared" si="31"/>
        <v>Valid</v>
      </c>
      <c r="G154" s="10">
        <f t="shared" si="32"/>
        <v>3</v>
      </c>
      <c r="H154" s="10" t="str">
        <f t="shared" si="33"/>
        <v>Valid</v>
      </c>
      <c r="I154" s="6" t="s">
        <v>871</v>
      </c>
      <c r="J154" s="6" t="s">
        <v>386</v>
      </c>
      <c r="K154" s="6" t="s">
        <v>386</v>
      </c>
      <c r="L154" s="6" t="s">
        <v>61</v>
      </c>
      <c r="M154" s="7" t="str">
        <f t="shared" si="34"/>
        <v>Small Business</v>
      </c>
      <c r="N154" s="6" t="s">
        <v>82</v>
      </c>
      <c r="O154" s="7" t="str">
        <f t="shared" si="35"/>
        <v>South</v>
      </c>
      <c r="P154" s="6" t="s">
        <v>262</v>
      </c>
      <c r="Q154" s="6" t="s">
        <v>263</v>
      </c>
      <c r="R154" s="6" t="s">
        <v>65</v>
      </c>
      <c r="S154" s="7" t="str">
        <f t="shared" si="36"/>
        <v>Furniture</v>
      </c>
      <c r="T154" s="6" t="s">
        <v>66</v>
      </c>
      <c r="U154" s="6" t="s">
        <v>872</v>
      </c>
      <c r="V154" s="6" t="s">
        <v>53</v>
      </c>
      <c r="W154" s="7" t="str">
        <f t="shared" si="37"/>
        <v>Second Class</v>
      </c>
      <c r="X154" s="6">
        <v>6</v>
      </c>
      <c r="Y154" s="6">
        <v>1088.04</v>
      </c>
      <c r="Z154" s="6">
        <v>0.1</v>
      </c>
      <c r="AA154" s="6">
        <f t="shared" si="39"/>
        <v>0.1</v>
      </c>
      <c r="AB154" s="6" t="str">
        <f t="shared" si="40"/>
        <v>Valid</v>
      </c>
      <c r="AC154" s="6">
        <v>5875.42</v>
      </c>
      <c r="AD154" s="6" t="str">
        <f>IF(OR(AO154="Cancelled",AM154="Failed"),"Exclude from Completed Sales","Include in Completed Sales")</f>
        <v>Include in Completed Sales</v>
      </c>
      <c r="AE154" s="6">
        <f t="shared" si="41"/>
        <v>5875.4160000000002</v>
      </c>
      <c r="AF154" s="6" t="str">
        <f t="shared" si="42"/>
        <v/>
      </c>
      <c r="AG154" s="6">
        <v>4380.55</v>
      </c>
      <c r="AH154" s="6">
        <v>1494.87</v>
      </c>
      <c r="AI154" s="6">
        <f t="shared" si="43"/>
        <v>1494.866</v>
      </c>
      <c r="AJ154" s="11">
        <f t="shared" si="44"/>
        <v>0.25442726098032886</v>
      </c>
      <c r="AK154" s="11" t="str">
        <f t="shared" si="45"/>
        <v>June</v>
      </c>
      <c r="AL154" s="12">
        <f t="shared" si="46"/>
        <v>2024</v>
      </c>
      <c r="AM154" s="6" t="s">
        <v>157</v>
      </c>
      <c r="AN154" s="6" t="s">
        <v>145</v>
      </c>
      <c r="AO154" s="6" t="str">
        <f t="shared" si="38"/>
        <v>Returned</v>
      </c>
    </row>
    <row r="155" spans="1:41">
      <c r="A155" s="6" t="s">
        <v>873</v>
      </c>
      <c r="B155" s="7" t="s">
        <v>874</v>
      </c>
      <c r="C155" s="8">
        <v>45923</v>
      </c>
      <c r="D155" s="7" t="s">
        <v>875</v>
      </c>
      <c r="E155" s="9">
        <v>45925</v>
      </c>
      <c r="F155" s="9" t="str">
        <f t="shared" si="31"/>
        <v>Valid</v>
      </c>
      <c r="G155" s="10">
        <f t="shared" si="32"/>
        <v>2</v>
      </c>
      <c r="H155" s="10" t="str">
        <f t="shared" si="33"/>
        <v>Valid</v>
      </c>
      <c r="I155" s="6" t="s">
        <v>876</v>
      </c>
      <c r="J155" s="6" t="s">
        <v>127</v>
      </c>
      <c r="K155" s="6" t="s">
        <v>127</v>
      </c>
      <c r="L155" s="6" t="s">
        <v>46</v>
      </c>
      <c r="M155" s="7" t="str">
        <f t="shared" si="34"/>
        <v>Consumer</v>
      </c>
      <c r="N155" s="6" t="s">
        <v>62</v>
      </c>
      <c r="O155" s="7" t="str">
        <f t="shared" si="35"/>
        <v>East</v>
      </c>
      <c r="P155" s="6" t="s">
        <v>63</v>
      </c>
      <c r="Q155" s="6" t="s">
        <v>64</v>
      </c>
      <c r="R155" s="6" t="s">
        <v>50</v>
      </c>
      <c r="S155" s="7" t="str">
        <f t="shared" si="36"/>
        <v>Office Supplies</v>
      </c>
      <c r="T155" s="6" t="s">
        <v>129</v>
      </c>
      <c r="U155" s="6" t="s">
        <v>877</v>
      </c>
      <c r="V155" s="6" t="s">
        <v>87</v>
      </c>
      <c r="W155" s="7" t="str">
        <f t="shared" si="37"/>
        <v>Standard Class</v>
      </c>
      <c r="X155" s="6">
        <v>7</v>
      </c>
      <c r="Y155" s="6">
        <v>3280.31</v>
      </c>
      <c r="Z155" s="6">
        <v>0</v>
      </c>
      <c r="AA155" s="6">
        <f t="shared" si="39"/>
        <v>0</v>
      </c>
      <c r="AB155" s="6" t="str">
        <f t="shared" si="40"/>
        <v>Valid</v>
      </c>
      <c r="AC155" s="6">
        <v>22962.17</v>
      </c>
      <c r="AD155" s="6" t="str">
        <f>IF(OR(AO155="Cancelled",AM155="Failed"),"Exclude from Completed Sales","Include in Completed Sales")</f>
        <v>Include in Completed Sales</v>
      </c>
      <c r="AE155" s="6">
        <f t="shared" si="41"/>
        <v>22962.17</v>
      </c>
      <c r="AF155" s="6" t="str">
        <f t="shared" si="42"/>
        <v>Refunded</v>
      </c>
      <c r="AG155" s="6">
        <v>15716.5</v>
      </c>
      <c r="AH155" s="6">
        <v>7245.67</v>
      </c>
      <c r="AI155" s="6">
        <f t="shared" si="43"/>
        <v>7245.6699999999983</v>
      </c>
      <c r="AJ155" s="11">
        <f t="shared" si="44"/>
        <v>0.31554813852523517</v>
      </c>
      <c r="AK155" s="11" t="str">
        <f t="shared" si="45"/>
        <v>September</v>
      </c>
      <c r="AL155" s="12">
        <f t="shared" si="46"/>
        <v>2025</v>
      </c>
      <c r="AM155" s="6" t="s">
        <v>144</v>
      </c>
      <c r="AN155" s="6" t="s">
        <v>145</v>
      </c>
      <c r="AO155" s="6" t="str">
        <f t="shared" si="38"/>
        <v>Returned</v>
      </c>
    </row>
    <row r="156" spans="1:41">
      <c r="A156" s="6" t="s">
        <v>878</v>
      </c>
      <c r="B156" s="7" t="s">
        <v>879</v>
      </c>
      <c r="C156" s="8">
        <v>45334</v>
      </c>
      <c r="D156" s="7" t="s">
        <v>880</v>
      </c>
      <c r="E156" s="9">
        <v>45333</v>
      </c>
      <c r="F156" s="9" t="str">
        <f t="shared" si="31"/>
        <v>Invalid Shipping Record</v>
      </c>
      <c r="G156" s="10">
        <f t="shared" si="32"/>
        <v>-1</v>
      </c>
      <c r="H156" s="10" t="str">
        <f t="shared" si="33"/>
        <v>Invalid Shipping Record</v>
      </c>
      <c r="I156" s="6" t="s">
        <v>689</v>
      </c>
      <c r="J156" s="6" t="s">
        <v>162</v>
      </c>
      <c r="K156" s="6" t="s">
        <v>162</v>
      </c>
      <c r="L156" s="6" t="s">
        <v>46</v>
      </c>
      <c r="M156" s="7" t="str">
        <f t="shared" si="34"/>
        <v>Consumer</v>
      </c>
      <c r="N156" s="6" t="s">
        <v>82</v>
      </c>
      <c r="O156" s="7" t="str">
        <f t="shared" si="35"/>
        <v>South</v>
      </c>
      <c r="P156" s="6" t="s">
        <v>359</v>
      </c>
      <c r="Q156" s="6" t="s">
        <v>360</v>
      </c>
      <c r="R156" s="6" t="s">
        <v>65</v>
      </c>
      <c r="S156" s="7" t="str">
        <f t="shared" si="36"/>
        <v>Furniture</v>
      </c>
      <c r="T156" s="6" t="s">
        <v>224</v>
      </c>
      <c r="U156" s="6" t="s">
        <v>881</v>
      </c>
      <c r="V156" s="6" t="s">
        <v>68</v>
      </c>
      <c r="W156" s="7" t="str">
        <f t="shared" si="37"/>
        <v>Same Day</v>
      </c>
      <c r="X156" s="6">
        <v>1</v>
      </c>
      <c r="Y156" s="6">
        <v>2599.12</v>
      </c>
      <c r="Z156" s="6">
        <v>0.15</v>
      </c>
      <c r="AA156" s="6">
        <f t="shared" si="39"/>
        <v>0.15</v>
      </c>
      <c r="AB156" s="6" t="str">
        <f t="shared" si="40"/>
        <v>Valid</v>
      </c>
      <c r="AC156" s="6">
        <v>2209.25</v>
      </c>
      <c r="AD156" s="6" t="str">
        <f>IF(OR(AO156="Cancelled",AM156="Failed"),"Exclude from Completed Sales","Include in Completed Sales")</f>
        <v>Include in Completed Sales</v>
      </c>
      <c r="AE156" s="6">
        <f t="shared" si="41"/>
        <v>2209.252</v>
      </c>
      <c r="AF156" s="6" t="str">
        <f t="shared" si="42"/>
        <v/>
      </c>
      <c r="AG156" s="6">
        <v>1523.78</v>
      </c>
      <c r="AH156" s="6">
        <v>685.47</v>
      </c>
      <c r="AI156" s="6">
        <f t="shared" si="43"/>
        <v>685.47199999999998</v>
      </c>
      <c r="AJ156" s="11">
        <f t="shared" si="44"/>
        <v>0.31027334138432372</v>
      </c>
      <c r="AK156" s="11" t="str">
        <f t="shared" si="45"/>
        <v>February</v>
      </c>
      <c r="AL156" s="12">
        <f t="shared" si="46"/>
        <v>2024</v>
      </c>
      <c r="AM156" s="6" t="s">
        <v>54</v>
      </c>
      <c r="AN156" s="6" t="s">
        <v>55</v>
      </c>
      <c r="AO156" s="6" t="str">
        <f t="shared" si="38"/>
        <v>Completed</v>
      </c>
    </row>
    <row r="157" spans="1:41">
      <c r="A157" s="6" t="s">
        <v>882</v>
      </c>
      <c r="B157" s="7" t="s">
        <v>579</v>
      </c>
      <c r="C157" s="8">
        <v>45683</v>
      </c>
      <c r="D157" s="7" t="s">
        <v>460</v>
      </c>
      <c r="E157" s="9">
        <v>45691</v>
      </c>
      <c r="F157" s="9" t="str">
        <f t="shared" si="31"/>
        <v>Valid</v>
      </c>
      <c r="G157" s="10">
        <f t="shared" si="32"/>
        <v>8</v>
      </c>
      <c r="H157" s="10" t="str">
        <f t="shared" si="33"/>
        <v>Valid</v>
      </c>
      <c r="I157" s="6" t="s">
        <v>883</v>
      </c>
      <c r="J157" s="6" t="s">
        <v>45</v>
      </c>
      <c r="K157" s="6" t="s">
        <v>45</v>
      </c>
      <c r="L157" s="6" t="s">
        <v>128</v>
      </c>
      <c r="M157" s="7" t="str">
        <f t="shared" si="34"/>
        <v>Corporate</v>
      </c>
      <c r="N157" s="6" t="s">
        <v>93</v>
      </c>
      <c r="O157" s="7" t="str">
        <f t="shared" si="35"/>
        <v>West</v>
      </c>
      <c r="P157" s="6" t="s">
        <v>48</v>
      </c>
      <c r="Q157" s="6" t="s">
        <v>155</v>
      </c>
      <c r="R157" s="6" t="s">
        <v>65</v>
      </c>
      <c r="S157" s="7" t="str">
        <f t="shared" si="36"/>
        <v>Furniture</v>
      </c>
      <c r="T157" s="6" t="s">
        <v>85</v>
      </c>
      <c r="U157" s="6" t="s">
        <v>884</v>
      </c>
      <c r="V157" s="6" t="s">
        <v>68</v>
      </c>
      <c r="W157" s="7" t="str">
        <f t="shared" si="37"/>
        <v>Same Day</v>
      </c>
      <c r="X157" s="6">
        <v>3</v>
      </c>
      <c r="Y157" s="6">
        <v>2859.32</v>
      </c>
      <c r="Z157" s="6">
        <v>0.1</v>
      </c>
      <c r="AA157" s="6">
        <f t="shared" si="39"/>
        <v>0.1</v>
      </c>
      <c r="AB157" s="6" t="str">
        <f t="shared" si="40"/>
        <v>Valid</v>
      </c>
      <c r="AC157" s="6">
        <v>7720.16</v>
      </c>
      <c r="AD157" s="6" t="str">
        <f>IF(OR(AO157="Cancelled",AM157="Failed"),"Exclude from Completed Sales","Include in Completed Sales")</f>
        <v>Include in Completed Sales</v>
      </c>
      <c r="AE157" s="6">
        <f t="shared" si="41"/>
        <v>7720.1640000000007</v>
      </c>
      <c r="AF157" s="6" t="str">
        <f t="shared" si="42"/>
        <v>Refunded</v>
      </c>
      <c r="AG157" s="6">
        <v>5881</v>
      </c>
      <c r="AH157" s="6">
        <v>1839.16</v>
      </c>
      <c r="AI157" s="6">
        <f t="shared" si="43"/>
        <v>1839.1640000000007</v>
      </c>
      <c r="AJ157" s="11">
        <f t="shared" si="44"/>
        <v>0.23822861794127695</v>
      </c>
      <c r="AK157" s="11" t="str">
        <f t="shared" si="45"/>
        <v>January</v>
      </c>
      <c r="AL157" s="12">
        <f t="shared" si="46"/>
        <v>2025</v>
      </c>
      <c r="AM157" s="6" t="s">
        <v>144</v>
      </c>
      <c r="AN157" s="6" t="s">
        <v>145</v>
      </c>
      <c r="AO157" s="6" t="str">
        <f t="shared" si="38"/>
        <v>Returned</v>
      </c>
    </row>
    <row r="158" spans="1:41">
      <c r="A158" s="6" t="s">
        <v>885</v>
      </c>
      <c r="B158" s="7" t="s">
        <v>886</v>
      </c>
      <c r="C158" s="8">
        <v>45743</v>
      </c>
      <c r="D158" s="7" t="s">
        <v>887</v>
      </c>
      <c r="E158" s="9">
        <v>45743</v>
      </c>
      <c r="F158" s="9" t="str">
        <f t="shared" si="31"/>
        <v>Valid</v>
      </c>
      <c r="G158" s="10">
        <f t="shared" si="32"/>
        <v>0</v>
      </c>
      <c r="H158" s="10" t="str">
        <f t="shared" si="33"/>
        <v>Valid</v>
      </c>
      <c r="I158" s="6" t="s">
        <v>888</v>
      </c>
      <c r="J158" s="6" t="s">
        <v>103</v>
      </c>
      <c r="K158" s="6" t="s">
        <v>103</v>
      </c>
      <c r="L158" s="6" t="s">
        <v>61</v>
      </c>
      <c r="M158" s="7" t="str">
        <f t="shared" si="34"/>
        <v>Small Business</v>
      </c>
      <c r="N158" s="6" t="s">
        <v>62</v>
      </c>
      <c r="O158" s="7" t="str">
        <f t="shared" si="35"/>
        <v>East</v>
      </c>
      <c r="P158" s="6" t="s">
        <v>206</v>
      </c>
      <c r="Q158" s="6" t="s">
        <v>207</v>
      </c>
      <c r="R158" s="6" t="s">
        <v>106</v>
      </c>
      <c r="S158" s="7" t="str">
        <f t="shared" si="36"/>
        <v>Technology</v>
      </c>
      <c r="T158" s="6" t="s">
        <v>402</v>
      </c>
      <c r="U158" s="6" t="s">
        <v>889</v>
      </c>
      <c r="V158" s="6" t="s">
        <v>53</v>
      </c>
      <c r="W158" s="7" t="str">
        <f t="shared" si="37"/>
        <v>Second Class</v>
      </c>
      <c r="X158" s="6">
        <v>7</v>
      </c>
      <c r="Y158" s="6">
        <v>2305.37</v>
      </c>
      <c r="Z158" s="6">
        <v>0.25</v>
      </c>
      <c r="AA158" s="6">
        <f t="shared" si="39"/>
        <v>0.25</v>
      </c>
      <c r="AB158" s="6" t="str">
        <f t="shared" si="40"/>
        <v>Valid</v>
      </c>
      <c r="AC158" s="6">
        <v>12103.19</v>
      </c>
      <c r="AD158" s="6" t="str">
        <f>IF(OR(AO158="Cancelled",AM158="Failed"),"Exclude from Completed Sales","Include in Completed Sales")</f>
        <v>Include in Completed Sales</v>
      </c>
      <c r="AE158" s="6">
        <f t="shared" si="41"/>
        <v>12103.192500000001</v>
      </c>
      <c r="AF158" s="6" t="str">
        <f t="shared" si="42"/>
        <v/>
      </c>
      <c r="AG158" s="6">
        <v>6717.87</v>
      </c>
      <c r="AH158" s="6">
        <v>5385.32</v>
      </c>
      <c r="AI158" s="6">
        <f t="shared" si="43"/>
        <v>5385.3225000000011</v>
      </c>
      <c r="AJ158" s="11">
        <f t="shared" si="44"/>
        <v>0.44495057812225997</v>
      </c>
      <c r="AK158" s="11" t="str">
        <f t="shared" si="45"/>
        <v>March</v>
      </c>
      <c r="AL158" s="12">
        <f t="shared" si="46"/>
        <v>2025</v>
      </c>
      <c r="AM158" s="6" t="s">
        <v>54</v>
      </c>
      <c r="AN158" s="6" t="s">
        <v>55</v>
      </c>
      <c r="AO158" s="6" t="str">
        <f t="shared" si="38"/>
        <v>Completed</v>
      </c>
    </row>
    <row r="159" spans="1:41">
      <c r="A159" s="6" t="s">
        <v>890</v>
      </c>
      <c r="B159" s="7" t="s">
        <v>891</v>
      </c>
      <c r="C159" s="8">
        <v>45587</v>
      </c>
      <c r="D159" s="7" t="s">
        <v>892</v>
      </c>
      <c r="E159" s="9">
        <v>45589</v>
      </c>
      <c r="F159" s="9" t="str">
        <f t="shared" si="31"/>
        <v>Valid</v>
      </c>
      <c r="G159" s="10">
        <f t="shared" si="32"/>
        <v>2</v>
      </c>
      <c r="H159" s="10" t="str">
        <f t="shared" si="33"/>
        <v>Valid</v>
      </c>
      <c r="I159" s="6" t="s">
        <v>893</v>
      </c>
      <c r="J159" s="6" t="s">
        <v>200</v>
      </c>
      <c r="K159" s="6" t="s">
        <v>200</v>
      </c>
      <c r="L159" s="6" t="s">
        <v>61</v>
      </c>
      <c r="M159" s="7" t="str">
        <f t="shared" si="34"/>
        <v>Small Business</v>
      </c>
      <c r="N159" s="6" t="s">
        <v>82</v>
      </c>
      <c r="O159" s="7" t="str">
        <f t="shared" si="35"/>
        <v>South</v>
      </c>
      <c r="P159" s="6" t="s">
        <v>120</v>
      </c>
      <c r="Q159" s="6" t="s">
        <v>121</v>
      </c>
      <c r="R159" s="6" t="s">
        <v>65</v>
      </c>
      <c r="S159" s="7" t="str">
        <f t="shared" si="36"/>
        <v>Furniture</v>
      </c>
      <c r="T159" s="6" t="s">
        <v>224</v>
      </c>
      <c r="U159" s="6" t="s">
        <v>894</v>
      </c>
      <c r="V159" s="6" t="s">
        <v>87</v>
      </c>
      <c r="W159" s="7" t="str">
        <f t="shared" si="37"/>
        <v>Standard Class</v>
      </c>
      <c r="X159" s="6">
        <v>3</v>
      </c>
      <c r="Y159" s="6">
        <v>915.84</v>
      </c>
      <c r="Z159" s="6">
        <v>0.15</v>
      </c>
      <c r="AA159" s="6">
        <f t="shared" si="39"/>
        <v>0.15</v>
      </c>
      <c r="AB159" s="6" t="str">
        <f t="shared" si="40"/>
        <v>Valid</v>
      </c>
      <c r="AC159" s="6">
        <v>2335.39</v>
      </c>
      <c r="AD159" s="6" t="str">
        <f>IF(OR(AO159="Cancelled",AM159="Failed"),"Exclude from Completed Sales","Include in Completed Sales")</f>
        <v>Include in Completed Sales</v>
      </c>
      <c r="AE159" s="6">
        <f t="shared" si="41"/>
        <v>2335.3919999999998</v>
      </c>
      <c r="AF159" s="6" t="str">
        <f t="shared" si="42"/>
        <v/>
      </c>
      <c r="AG159" s="6">
        <v>1466.15</v>
      </c>
      <c r="AH159" s="6">
        <v>869.24</v>
      </c>
      <c r="AI159" s="6">
        <f t="shared" si="43"/>
        <v>869.24199999999973</v>
      </c>
      <c r="AJ159" s="11">
        <f t="shared" si="44"/>
        <v>0.3722038955344541</v>
      </c>
      <c r="AK159" s="11" t="str">
        <f t="shared" si="45"/>
        <v>October</v>
      </c>
      <c r="AL159" s="12">
        <f t="shared" si="46"/>
        <v>2024</v>
      </c>
      <c r="AM159" s="6" t="s">
        <v>54</v>
      </c>
      <c r="AN159" s="6" t="s">
        <v>55</v>
      </c>
      <c r="AO159" s="6" t="str">
        <f t="shared" si="38"/>
        <v>Completed</v>
      </c>
    </row>
    <row r="160" spans="1:41">
      <c r="A160" s="6" t="s">
        <v>895</v>
      </c>
      <c r="B160" s="7" t="s">
        <v>896</v>
      </c>
      <c r="C160" s="8">
        <v>45544</v>
      </c>
      <c r="D160" s="7" t="s">
        <v>897</v>
      </c>
      <c r="E160" s="9">
        <v>45546</v>
      </c>
      <c r="F160" s="9" t="str">
        <f t="shared" si="31"/>
        <v>Valid</v>
      </c>
      <c r="G160" s="10">
        <f t="shared" si="32"/>
        <v>2</v>
      </c>
      <c r="H160" s="10" t="str">
        <f t="shared" si="33"/>
        <v>Valid</v>
      </c>
      <c r="I160" s="6" t="s">
        <v>898</v>
      </c>
      <c r="J160" s="6" t="s">
        <v>113</v>
      </c>
      <c r="K160" s="6" t="s">
        <v>113</v>
      </c>
      <c r="L160" s="6" t="s">
        <v>135</v>
      </c>
      <c r="M160" s="7" t="str">
        <f t="shared" si="34"/>
        <v>Home Office</v>
      </c>
      <c r="N160" s="6" t="s">
        <v>82</v>
      </c>
      <c r="O160" s="7" t="str">
        <f t="shared" si="35"/>
        <v>South</v>
      </c>
      <c r="P160" s="6" t="s">
        <v>83</v>
      </c>
      <c r="Q160" s="6" t="s">
        <v>84</v>
      </c>
      <c r="R160" s="6" t="s">
        <v>65</v>
      </c>
      <c r="S160" s="7" t="str">
        <f t="shared" si="36"/>
        <v>Furniture</v>
      </c>
      <c r="T160" s="6" t="s">
        <v>224</v>
      </c>
      <c r="U160" s="6" t="s">
        <v>899</v>
      </c>
      <c r="V160" s="6" t="s">
        <v>76</v>
      </c>
      <c r="W160" s="7" t="str">
        <f t="shared" si="37"/>
        <v>First Class</v>
      </c>
      <c r="X160" s="6">
        <v>1</v>
      </c>
      <c r="Y160" s="6">
        <v>4199.54</v>
      </c>
      <c r="Z160" s="6">
        <v>0.05</v>
      </c>
      <c r="AA160" s="6">
        <f t="shared" si="39"/>
        <v>0.05</v>
      </c>
      <c r="AB160" s="6" t="str">
        <f t="shared" si="40"/>
        <v>Valid</v>
      </c>
      <c r="AC160" s="6">
        <v>3989.56</v>
      </c>
      <c r="AD160" s="6" t="str">
        <f>IF(OR(AO160="Cancelled",AM160="Failed"),"Exclude from Completed Sales","Include in Completed Sales")</f>
        <v>Include in Completed Sales</v>
      </c>
      <c r="AE160" s="6">
        <f t="shared" si="41"/>
        <v>3989.5629999999996</v>
      </c>
      <c r="AF160" s="6" t="str">
        <f t="shared" si="42"/>
        <v/>
      </c>
      <c r="AG160" s="6">
        <v>2381.38</v>
      </c>
      <c r="AH160" s="6">
        <v>1608.18</v>
      </c>
      <c r="AI160" s="6">
        <f t="shared" si="43"/>
        <v>1608.1829999999995</v>
      </c>
      <c r="AJ160" s="11">
        <f t="shared" si="44"/>
        <v>0.40309753223598666</v>
      </c>
      <c r="AK160" s="11" t="str">
        <f t="shared" si="45"/>
        <v>September</v>
      </c>
      <c r="AL160" s="12">
        <f t="shared" si="46"/>
        <v>2024</v>
      </c>
      <c r="AM160" s="6" t="s">
        <v>54</v>
      </c>
      <c r="AN160" s="6" t="s">
        <v>55</v>
      </c>
      <c r="AO160" s="6" t="str">
        <f t="shared" si="38"/>
        <v>Completed</v>
      </c>
    </row>
    <row r="161" spans="1:41">
      <c r="A161" s="6" t="s">
        <v>900</v>
      </c>
      <c r="B161" s="7" t="s">
        <v>901</v>
      </c>
      <c r="C161" s="8">
        <v>45687</v>
      </c>
      <c r="D161" s="7" t="s">
        <v>902</v>
      </c>
      <c r="E161" s="9">
        <v>45692</v>
      </c>
      <c r="F161" s="9" t="str">
        <f t="shared" si="31"/>
        <v>Valid</v>
      </c>
      <c r="G161" s="10">
        <f t="shared" si="32"/>
        <v>5</v>
      </c>
      <c r="H161" s="10" t="str">
        <f t="shared" si="33"/>
        <v>Valid</v>
      </c>
      <c r="I161" s="6" t="s">
        <v>903</v>
      </c>
      <c r="J161" s="6" t="s">
        <v>162</v>
      </c>
      <c r="K161" s="6" t="s">
        <v>162</v>
      </c>
      <c r="L161" s="6" t="s">
        <v>128</v>
      </c>
      <c r="M161" s="7" t="str">
        <f t="shared" si="34"/>
        <v>Corporate</v>
      </c>
      <c r="N161" s="6" t="s">
        <v>47</v>
      </c>
      <c r="O161" s="7" t="str">
        <f t="shared" si="35"/>
        <v>North</v>
      </c>
      <c r="P161" s="6" t="s">
        <v>343</v>
      </c>
      <c r="Q161" s="6" t="s">
        <v>344</v>
      </c>
      <c r="R161" s="6" t="s">
        <v>65</v>
      </c>
      <c r="S161" s="7" t="str">
        <f t="shared" si="36"/>
        <v>Furniture</v>
      </c>
      <c r="T161" s="6" t="s">
        <v>96</v>
      </c>
      <c r="U161" s="6" t="s">
        <v>904</v>
      </c>
      <c r="V161" s="6" t="s">
        <v>68</v>
      </c>
      <c r="W161" s="7" t="str">
        <f t="shared" si="37"/>
        <v>Same Day</v>
      </c>
      <c r="X161" s="6">
        <v>9</v>
      </c>
      <c r="Y161" s="6">
        <v>4430.5</v>
      </c>
      <c r="Z161" s="6">
        <v>0.15</v>
      </c>
      <c r="AA161" s="6">
        <f t="shared" si="39"/>
        <v>0.15</v>
      </c>
      <c r="AB161" s="6" t="str">
        <f t="shared" si="40"/>
        <v>Valid</v>
      </c>
      <c r="AC161" s="6">
        <v>33893.32</v>
      </c>
      <c r="AD161" s="6" t="str">
        <f>IF(OR(AO161="Cancelled",AM161="Failed"),"Exclude from Completed Sales","Include in Completed Sales")</f>
        <v>Exclude from Completed Sales</v>
      </c>
      <c r="AE161" s="6">
        <f t="shared" si="41"/>
        <v>33893.324999999997</v>
      </c>
      <c r="AF161" s="6" t="str">
        <f t="shared" si="42"/>
        <v/>
      </c>
      <c r="AG161" s="6">
        <v>25750.35</v>
      </c>
      <c r="AH161" s="6">
        <v>8142.97</v>
      </c>
      <c r="AI161" s="6">
        <f t="shared" si="43"/>
        <v>8142.9749999999985</v>
      </c>
      <c r="AJ161" s="11">
        <f t="shared" si="44"/>
        <v>0.24025305867748292</v>
      </c>
      <c r="AK161" s="11" t="str">
        <f t="shared" si="45"/>
        <v>January</v>
      </c>
      <c r="AL161" s="12">
        <f t="shared" si="46"/>
        <v>2025</v>
      </c>
      <c r="AM161" s="6" t="s">
        <v>157</v>
      </c>
      <c r="AN161" s="6" t="s">
        <v>98</v>
      </c>
      <c r="AO161" s="6" t="str">
        <f t="shared" si="38"/>
        <v>Cancelled</v>
      </c>
    </row>
    <row r="162" spans="1:41">
      <c r="A162" s="6" t="s">
        <v>905</v>
      </c>
      <c r="B162" s="7" t="s">
        <v>906</v>
      </c>
      <c r="C162" s="8">
        <v>45938</v>
      </c>
      <c r="D162" s="7" t="s">
        <v>907</v>
      </c>
      <c r="E162" s="9">
        <v>45936</v>
      </c>
      <c r="F162" s="9" t="str">
        <f t="shared" si="31"/>
        <v>Invalid Shipping Record</v>
      </c>
      <c r="G162" s="10">
        <f t="shared" si="32"/>
        <v>-2</v>
      </c>
      <c r="H162" s="10" t="str">
        <f t="shared" si="33"/>
        <v>Invalid Shipping Record</v>
      </c>
      <c r="I162" s="6" t="s">
        <v>908</v>
      </c>
      <c r="J162" s="6" t="s">
        <v>103</v>
      </c>
      <c r="K162" s="6" t="s">
        <v>103</v>
      </c>
      <c r="L162" s="6" t="s">
        <v>61</v>
      </c>
      <c r="M162" s="7" t="str">
        <f t="shared" si="34"/>
        <v>Small Business</v>
      </c>
      <c r="N162" s="6" t="s">
        <v>93</v>
      </c>
      <c r="O162" s="7" t="str">
        <f t="shared" si="35"/>
        <v>West</v>
      </c>
      <c r="P162" s="6" t="s">
        <v>94</v>
      </c>
      <c r="Q162" s="6" t="s">
        <v>95</v>
      </c>
      <c r="R162" s="6" t="s">
        <v>50</v>
      </c>
      <c r="S162" s="7" t="str">
        <f t="shared" si="36"/>
        <v>Office Supplies</v>
      </c>
      <c r="T162" s="6" t="s">
        <v>51</v>
      </c>
      <c r="U162" s="6" t="s">
        <v>909</v>
      </c>
      <c r="V162" s="6" t="s">
        <v>53</v>
      </c>
      <c r="W162" s="7" t="str">
        <f t="shared" si="37"/>
        <v>Second Class</v>
      </c>
      <c r="X162" s="6">
        <v>4</v>
      </c>
      <c r="Y162" s="6">
        <v>1260.42</v>
      </c>
      <c r="Z162" s="6">
        <v>0.05</v>
      </c>
      <c r="AA162" s="6">
        <f t="shared" si="39"/>
        <v>0.05</v>
      </c>
      <c r="AB162" s="6" t="str">
        <f t="shared" si="40"/>
        <v>Valid</v>
      </c>
      <c r="AC162" s="6">
        <v>4789.6000000000004</v>
      </c>
      <c r="AD162" s="6" t="str">
        <f>IF(OR(AO162="Cancelled",AM162="Failed"),"Exclude from Completed Sales","Include in Completed Sales")</f>
        <v>Exclude from Completed Sales</v>
      </c>
      <c r="AE162" s="6">
        <f t="shared" si="41"/>
        <v>4789.5960000000005</v>
      </c>
      <c r="AF162" s="6" t="str">
        <f t="shared" si="42"/>
        <v/>
      </c>
      <c r="AG162" s="6">
        <v>4037.64</v>
      </c>
      <c r="AH162" s="6">
        <v>751.96</v>
      </c>
      <c r="AI162" s="6">
        <f t="shared" si="43"/>
        <v>751.95600000000059</v>
      </c>
      <c r="AJ162" s="11">
        <f t="shared" si="44"/>
        <v>0.1569977927157114</v>
      </c>
      <c r="AK162" s="11" t="str">
        <f t="shared" si="45"/>
        <v>October</v>
      </c>
      <c r="AL162" s="12">
        <f t="shared" si="46"/>
        <v>2025</v>
      </c>
      <c r="AM162" s="6" t="s">
        <v>157</v>
      </c>
      <c r="AN162" s="6" t="s">
        <v>98</v>
      </c>
      <c r="AO162" s="6" t="str">
        <f t="shared" si="38"/>
        <v>Cancelled</v>
      </c>
    </row>
    <row r="163" spans="1:41">
      <c r="A163" s="6" t="s">
        <v>910</v>
      </c>
      <c r="B163" s="7" t="s">
        <v>911</v>
      </c>
      <c r="C163" s="8">
        <v>45862</v>
      </c>
      <c r="D163" s="7" t="s">
        <v>912</v>
      </c>
      <c r="E163" s="9">
        <v>45868</v>
      </c>
      <c r="F163" s="9" t="str">
        <f t="shared" si="31"/>
        <v>Valid</v>
      </c>
      <c r="G163" s="10">
        <f t="shared" si="32"/>
        <v>6</v>
      </c>
      <c r="H163" s="10" t="str">
        <f t="shared" si="33"/>
        <v>Valid</v>
      </c>
      <c r="I163" s="6" t="s">
        <v>913</v>
      </c>
      <c r="J163" s="6" t="s">
        <v>81</v>
      </c>
      <c r="K163" s="6" t="s">
        <v>81</v>
      </c>
      <c r="L163" s="6" t="s">
        <v>914</v>
      </c>
      <c r="M163" s="7" t="str">
        <f t="shared" si="34"/>
        <v>Consumer</v>
      </c>
      <c r="N163" s="6" t="s">
        <v>93</v>
      </c>
      <c r="O163" s="7" t="str">
        <f t="shared" si="35"/>
        <v>West</v>
      </c>
      <c r="P163" s="6" t="s">
        <v>48</v>
      </c>
      <c r="Q163" s="6" t="s">
        <v>155</v>
      </c>
      <c r="R163" s="6" t="s">
        <v>50</v>
      </c>
      <c r="S163" s="7" t="str">
        <f t="shared" si="36"/>
        <v>Office Supplies</v>
      </c>
      <c r="T163" s="6" t="s">
        <v>218</v>
      </c>
      <c r="U163" s="6" t="s">
        <v>915</v>
      </c>
      <c r="V163" s="6" t="s">
        <v>87</v>
      </c>
      <c r="W163" s="7" t="str">
        <f t="shared" si="37"/>
        <v>Standard Class</v>
      </c>
      <c r="X163" s="6">
        <v>1</v>
      </c>
      <c r="Y163" s="6">
        <v>1643.41</v>
      </c>
      <c r="Z163" s="6">
        <v>0</v>
      </c>
      <c r="AA163" s="6">
        <f t="shared" si="39"/>
        <v>0</v>
      </c>
      <c r="AB163" s="6" t="str">
        <f t="shared" si="40"/>
        <v>Valid</v>
      </c>
      <c r="AC163" s="6">
        <v>1643.41</v>
      </c>
      <c r="AD163" s="6" t="str">
        <f>IF(OR(AO163="Cancelled",AM163="Failed"),"Exclude from Completed Sales","Include in Completed Sales")</f>
        <v>Exclude from Completed Sales</v>
      </c>
      <c r="AE163" s="6">
        <f t="shared" si="41"/>
        <v>1643.41</v>
      </c>
      <c r="AF163" s="6" t="str">
        <f t="shared" si="42"/>
        <v/>
      </c>
      <c r="AG163" s="6">
        <v>907.4</v>
      </c>
      <c r="AH163" s="6">
        <v>736.01</v>
      </c>
      <c r="AI163" s="6">
        <f t="shared" si="43"/>
        <v>736.0100000000001</v>
      </c>
      <c r="AJ163" s="11">
        <f t="shared" si="44"/>
        <v>0.44785537388722235</v>
      </c>
      <c r="AK163" s="11" t="str">
        <f t="shared" si="45"/>
        <v>July</v>
      </c>
      <c r="AL163" s="12">
        <f t="shared" si="46"/>
        <v>2025</v>
      </c>
      <c r="AM163" s="6" t="s">
        <v>157</v>
      </c>
      <c r="AN163" s="6" t="s">
        <v>98</v>
      </c>
      <c r="AO163" s="6" t="str">
        <f t="shared" si="38"/>
        <v>Cancelled</v>
      </c>
    </row>
    <row r="164" spans="1:41">
      <c r="A164" s="6" t="s">
        <v>916</v>
      </c>
      <c r="B164" s="7" t="s">
        <v>917</v>
      </c>
      <c r="C164" s="8">
        <v>45360</v>
      </c>
      <c r="D164" s="7" t="s">
        <v>918</v>
      </c>
      <c r="E164" s="9">
        <v>45365</v>
      </c>
      <c r="F164" s="9" t="str">
        <f t="shared" si="31"/>
        <v>Valid</v>
      </c>
      <c r="G164" s="10">
        <f t="shared" si="32"/>
        <v>5</v>
      </c>
      <c r="H164" s="10" t="str">
        <f t="shared" si="33"/>
        <v>Valid</v>
      </c>
      <c r="I164" s="6" t="s">
        <v>919</v>
      </c>
      <c r="J164" s="6" t="s">
        <v>113</v>
      </c>
      <c r="K164" s="6" t="s">
        <v>113</v>
      </c>
      <c r="L164" s="6" t="s">
        <v>61</v>
      </c>
      <c r="M164" s="7" t="str">
        <f t="shared" si="34"/>
        <v>Small Business</v>
      </c>
      <c r="N164" s="6" t="s">
        <v>93</v>
      </c>
      <c r="O164" s="7" t="str">
        <f t="shared" si="35"/>
        <v>West</v>
      </c>
      <c r="P164" s="6" t="s">
        <v>269</v>
      </c>
      <c r="Q164" s="6" t="s">
        <v>270</v>
      </c>
      <c r="R164" s="6" t="s">
        <v>65</v>
      </c>
      <c r="S164" s="7" t="str">
        <f t="shared" si="36"/>
        <v>Furniture</v>
      </c>
      <c r="T164" s="6" t="s">
        <v>85</v>
      </c>
      <c r="U164" s="6" t="s">
        <v>920</v>
      </c>
      <c r="V164" s="6" t="s">
        <v>53</v>
      </c>
      <c r="W164" s="7" t="str">
        <f t="shared" si="37"/>
        <v>Second Class</v>
      </c>
      <c r="X164" s="6">
        <v>8</v>
      </c>
      <c r="Y164" s="6">
        <v>4472.84</v>
      </c>
      <c r="Z164" s="6">
        <v>0</v>
      </c>
      <c r="AA164" s="6">
        <f t="shared" si="39"/>
        <v>0</v>
      </c>
      <c r="AB164" s="6" t="str">
        <f t="shared" si="40"/>
        <v>Valid</v>
      </c>
      <c r="AC164" s="6">
        <v>35997.620000000003</v>
      </c>
      <c r="AD164" s="6" t="str">
        <f>IF(OR(AO164="Cancelled",AM164="Failed"),"Exclude from Completed Sales","Include in Completed Sales")</f>
        <v>Include in Completed Sales</v>
      </c>
      <c r="AE164" s="6">
        <f t="shared" si="41"/>
        <v>35782.720000000001</v>
      </c>
      <c r="AF164" s="6" t="str">
        <f t="shared" si="42"/>
        <v/>
      </c>
      <c r="AG164" s="6">
        <v>26424.41</v>
      </c>
      <c r="AH164" s="6">
        <v>9358.31</v>
      </c>
      <c r="AI164" s="6">
        <f t="shared" si="43"/>
        <v>9358.3100000000013</v>
      </c>
      <c r="AJ164" s="11">
        <f t="shared" si="44"/>
        <v>0.2615315437171909</v>
      </c>
      <c r="AK164" s="11" t="str">
        <f t="shared" si="45"/>
        <v>March</v>
      </c>
      <c r="AL164" s="12">
        <f t="shared" si="46"/>
        <v>2024</v>
      </c>
      <c r="AM164" s="6" t="s">
        <v>157</v>
      </c>
      <c r="AN164" s="6" t="s">
        <v>145</v>
      </c>
      <c r="AO164" s="6" t="str">
        <f t="shared" si="38"/>
        <v>Returned</v>
      </c>
    </row>
    <row r="165" spans="1:41">
      <c r="A165" s="6" t="s">
        <v>921</v>
      </c>
      <c r="B165" s="7" t="s">
        <v>922</v>
      </c>
      <c r="C165" s="8">
        <v>45921</v>
      </c>
      <c r="D165" s="7" t="s">
        <v>745</v>
      </c>
      <c r="E165" s="9">
        <v>45926</v>
      </c>
      <c r="F165" s="9" t="str">
        <f t="shared" si="31"/>
        <v>Valid</v>
      </c>
      <c r="G165" s="10">
        <f t="shared" si="32"/>
        <v>5</v>
      </c>
      <c r="H165" s="10" t="str">
        <f t="shared" si="33"/>
        <v>Valid</v>
      </c>
      <c r="I165" s="6" t="s">
        <v>923</v>
      </c>
      <c r="J165" s="6" t="s">
        <v>200</v>
      </c>
      <c r="K165" s="6" t="s">
        <v>200</v>
      </c>
      <c r="L165" s="6" t="s">
        <v>135</v>
      </c>
      <c r="M165" s="7" t="str">
        <f t="shared" si="34"/>
        <v>Home Office</v>
      </c>
      <c r="N165" s="6" t="s">
        <v>93</v>
      </c>
      <c r="O165" s="7" t="str">
        <f t="shared" si="35"/>
        <v>West</v>
      </c>
      <c r="P165" s="6" t="s">
        <v>255</v>
      </c>
      <c r="Q165" s="6" t="s">
        <v>256</v>
      </c>
      <c r="R165" s="6" t="s">
        <v>65</v>
      </c>
      <c r="S165" s="7" t="str">
        <f t="shared" si="36"/>
        <v>Furniture</v>
      </c>
      <c r="T165" s="6" t="s">
        <v>66</v>
      </c>
      <c r="U165" s="6" t="s">
        <v>924</v>
      </c>
      <c r="V165" s="6"/>
      <c r="W165" s="7" t="str">
        <f t="shared" si="37"/>
        <v>Unknown</v>
      </c>
      <c r="X165" s="6">
        <v>6</v>
      </c>
      <c r="Y165" s="6">
        <v>2903.58</v>
      </c>
      <c r="Z165" s="6">
        <v>0.1</v>
      </c>
      <c r="AA165" s="6">
        <f t="shared" si="39"/>
        <v>0.1</v>
      </c>
      <c r="AB165" s="6" t="str">
        <f t="shared" si="40"/>
        <v>Valid</v>
      </c>
      <c r="AC165" s="6">
        <v>15679.33</v>
      </c>
      <c r="AD165" s="6" t="str">
        <f>IF(OR(AO165="Cancelled",AM165="Failed"),"Exclude from Completed Sales","Include in Completed Sales")</f>
        <v>Include in Completed Sales</v>
      </c>
      <c r="AE165" s="6">
        <f t="shared" si="41"/>
        <v>15679.332</v>
      </c>
      <c r="AF165" s="6" t="str">
        <f t="shared" si="42"/>
        <v/>
      </c>
      <c r="AG165" s="6">
        <v>12477.82</v>
      </c>
      <c r="AH165" s="6">
        <v>3201.51</v>
      </c>
      <c r="AI165" s="6">
        <f t="shared" si="43"/>
        <v>3201.5120000000006</v>
      </c>
      <c r="AJ165" s="11">
        <f t="shared" si="44"/>
        <v>0.20418675999717339</v>
      </c>
      <c r="AK165" s="11" t="str">
        <f t="shared" si="45"/>
        <v>September</v>
      </c>
      <c r="AL165" s="12">
        <f t="shared" si="46"/>
        <v>2025</v>
      </c>
      <c r="AM165" s="6" t="s">
        <v>157</v>
      </c>
      <c r="AN165" s="6" t="s">
        <v>145</v>
      </c>
      <c r="AO165" s="6" t="str">
        <f t="shared" si="38"/>
        <v>Returned</v>
      </c>
    </row>
    <row r="166" spans="1:41">
      <c r="A166" s="6" t="s">
        <v>925</v>
      </c>
      <c r="B166" s="7" t="s">
        <v>926</v>
      </c>
      <c r="C166" s="8">
        <v>45909</v>
      </c>
      <c r="D166" s="7" t="s">
        <v>927</v>
      </c>
      <c r="E166" s="9">
        <v>45914</v>
      </c>
      <c r="F166" s="9" t="str">
        <f t="shared" si="31"/>
        <v>Valid</v>
      </c>
      <c r="G166" s="10">
        <f t="shared" si="32"/>
        <v>5</v>
      </c>
      <c r="H166" s="10" t="str">
        <f t="shared" si="33"/>
        <v>Valid</v>
      </c>
      <c r="I166" s="6" t="s">
        <v>928</v>
      </c>
      <c r="J166" s="6" t="s">
        <v>168</v>
      </c>
      <c r="K166" s="6" t="s">
        <v>168</v>
      </c>
      <c r="L166" s="6" t="s">
        <v>61</v>
      </c>
      <c r="M166" s="7" t="str">
        <f t="shared" si="34"/>
        <v>Small Business</v>
      </c>
      <c r="N166" s="6" t="s">
        <v>62</v>
      </c>
      <c r="O166" s="7" t="str">
        <f t="shared" si="35"/>
        <v>East</v>
      </c>
      <c r="P166" s="6" t="s">
        <v>141</v>
      </c>
      <c r="Q166" s="6" t="s">
        <v>142</v>
      </c>
      <c r="R166" s="6" t="s">
        <v>65</v>
      </c>
      <c r="S166" s="7" t="str">
        <f t="shared" si="36"/>
        <v>Furniture</v>
      </c>
      <c r="T166" s="6" t="s">
        <v>224</v>
      </c>
      <c r="U166" s="6" t="s">
        <v>929</v>
      </c>
      <c r="V166" s="6" t="s">
        <v>53</v>
      </c>
      <c r="W166" s="7" t="str">
        <f t="shared" si="37"/>
        <v>Second Class</v>
      </c>
      <c r="X166" s="6">
        <v>1</v>
      </c>
      <c r="Y166" s="6">
        <v>3154.42</v>
      </c>
      <c r="Z166" s="6">
        <v>0.25</v>
      </c>
      <c r="AA166" s="6">
        <f t="shared" si="39"/>
        <v>0.25</v>
      </c>
      <c r="AB166" s="6" t="str">
        <f t="shared" si="40"/>
        <v>Valid</v>
      </c>
      <c r="AC166" s="6">
        <v>2365.8200000000002</v>
      </c>
      <c r="AD166" s="6" t="str">
        <f>IF(OR(AO166="Cancelled",AM166="Failed"),"Exclude from Completed Sales","Include in Completed Sales")</f>
        <v>Include in Completed Sales</v>
      </c>
      <c r="AE166" s="6">
        <f t="shared" si="41"/>
        <v>2365.8150000000001</v>
      </c>
      <c r="AF166" s="6" t="str">
        <f t="shared" si="42"/>
        <v/>
      </c>
      <c r="AG166" s="6">
        <v>1547.99</v>
      </c>
      <c r="AH166" s="6">
        <v>817.83</v>
      </c>
      <c r="AI166" s="6">
        <f t="shared" si="43"/>
        <v>817.82500000000005</v>
      </c>
      <c r="AJ166" s="11">
        <f t="shared" si="44"/>
        <v>0.34568425679945392</v>
      </c>
      <c r="AK166" s="11" t="str">
        <f t="shared" si="45"/>
        <v>September</v>
      </c>
      <c r="AL166" s="12">
        <f t="shared" si="46"/>
        <v>2025</v>
      </c>
      <c r="AM166" s="6" t="s">
        <v>54</v>
      </c>
      <c r="AN166" s="6" t="s">
        <v>55</v>
      </c>
      <c r="AO166" s="6" t="str">
        <f t="shared" si="38"/>
        <v>Completed</v>
      </c>
    </row>
    <row r="167" spans="1:41">
      <c r="A167" s="6" t="s">
        <v>930</v>
      </c>
      <c r="B167" s="7" t="s">
        <v>931</v>
      </c>
      <c r="C167" s="8">
        <v>45618</v>
      </c>
      <c r="D167" s="7" t="s">
        <v>932</v>
      </c>
      <c r="E167" s="9">
        <v>45625</v>
      </c>
      <c r="F167" s="9" t="str">
        <f t="shared" si="31"/>
        <v>Valid</v>
      </c>
      <c r="G167" s="10">
        <f t="shared" si="32"/>
        <v>7</v>
      </c>
      <c r="H167" s="10" t="str">
        <f t="shared" si="33"/>
        <v>Valid</v>
      </c>
      <c r="I167" s="6" t="s">
        <v>933</v>
      </c>
      <c r="J167" s="6" t="s">
        <v>60</v>
      </c>
      <c r="K167" s="6" t="s">
        <v>60</v>
      </c>
      <c r="L167" s="6" t="s">
        <v>135</v>
      </c>
      <c r="M167" s="7" t="str">
        <f t="shared" si="34"/>
        <v>Home Office</v>
      </c>
      <c r="N167" s="6" t="s">
        <v>62</v>
      </c>
      <c r="O167" s="7" t="str">
        <f t="shared" si="35"/>
        <v>East</v>
      </c>
      <c r="P167" s="6" t="s">
        <v>206</v>
      </c>
      <c r="Q167" s="6" t="s">
        <v>207</v>
      </c>
      <c r="R167" s="6" t="s">
        <v>65</v>
      </c>
      <c r="S167" s="7" t="str">
        <f t="shared" si="36"/>
        <v>Furniture</v>
      </c>
      <c r="T167" s="6" t="s">
        <v>96</v>
      </c>
      <c r="U167" s="6" t="s">
        <v>934</v>
      </c>
      <c r="V167" s="6" t="s">
        <v>87</v>
      </c>
      <c r="W167" s="7" t="str">
        <f t="shared" si="37"/>
        <v>Standard Class</v>
      </c>
      <c r="X167" s="6">
        <v>4</v>
      </c>
      <c r="Y167" s="6">
        <v>3422.99</v>
      </c>
      <c r="Z167" s="6">
        <v>0.25</v>
      </c>
      <c r="AA167" s="6">
        <f t="shared" si="39"/>
        <v>0.25</v>
      </c>
      <c r="AB167" s="6" t="str">
        <f t="shared" si="40"/>
        <v>Valid</v>
      </c>
      <c r="AC167" s="6">
        <v>10268.969999999999</v>
      </c>
      <c r="AD167" s="6" t="str">
        <f>IF(OR(AO167="Cancelled",AM167="Failed"),"Exclude from Completed Sales","Include in Completed Sales")</f>
        <v>Include in Completed Sales</v>
      </c>
      <c r="AE167" s="6">
        <f t="shared" si="41"/>
        <v>10268.969999999999</v>
      </c>
      <c r="AF167" s="6" t="str">
        <f t="shared" si="42"/>
        <v/>
      </c>
      <c r="AG167" s="6">
        <v>6470.92</v>
      </c>
      <c r="AH167" s="6">
        <v>3798.05</v>
      </c>
      <c r="AI167" s="6">
        <f t="shared" si="43"/>
        <v>3798.0499999999993</v>
      </c>
      <c r="AJ167" s="11">
        <f t="shared" si="44"/>
        <v>0.36985695741637181</v>
      </c>
      <c r="AK167" s="11" t="str">
        <f t="shared" si="45"/>
        <v>November</v>
      </c>
      <c r="AL167" s="12">
        <f t="shared" si="46"/>
        <v>2024</v>
      </c>
      <c r="AM167" s="6" t="s">
        <v>54</v>
      </c>
      <c r="AN167" s="6" t="s">
        <v>55</v>
      </c>
      <c r="AO167" s="6" t="str">
        <f t="shared" si="38"/>
        <v>Completed</v>
      </c>
    </row>
    <row r="168" spans="1:41">
      <c r="A168" s="6" t="s">
        <v>935</v>
      </c>
      <c r="B168" s="7" t="s">
        <v>936</v>
      </c>
      <c r="C168" s="8">
        <v>45708</v>
      </c>
      <c r="D168" s="7" t="s">
        <v>118</v>
      </c>
      <c r="E168" s="9">
        <v>45714</v>
      </c>
      <c r="F168" s="9" t="str">
        <f t="shared" si="31"/>
        <v>Valid</v>
      </c>
      <c r="G168" s="10">
        <f t="shared" si="32"/>
        <v>6</v>
      </c>
      <c r="H168" s="10" t="str">
        <f t="shared" si="33"/>
        <v>Valid</v>
      </c>
      <c r="I168" s="6" t="s">
        <v>937</v>
      </c>
      <c r="J168" s="6" t="s">
        <v>45</v>
      </c>
      <c r="K168" s="6" t="s">
        <v>45</v>
      </c>
      <c r="L168" s="6" t="s">
        <v>61</v>
      </c>
      <c r="M168" s="7" t="str">
        <f t="shared" si="34"/>
        <v>Small Business</v>
      </c>
      <c r="N168" s="6" t="s">
        <v>93</v>
      </c>
      <c r="O168" s="7" t="str">
        <f t="shared" si="35"/>
        <v>West</v>
      </c>
      <c r="P168" s="6" t="s">
        <v>255</v>
      </c>
      <c r="Q168" s="6" t="s">
        <v>256</v>
      </c>
      <c r="R168" s="6" t="s">
        <v>938</v>
      </c>
      <c r="S168" s="7" t="str">
        <f t="shared" si="36"/>
        <v>Office Supplies</v>
      </c>
      <c r="T168" s="6" t="s">
        <v>129</v>
      </c>
      <c r="U168" s="6" t="s">
        <v>939</v>
      </c>
      <c r="V168" s="6" t="s">
        <v>76</v>
      </c>
      <c r="W168" s="7" t="str">
        <f t="shared" si="37"/>
        <v>First Class</v>
      </c>
      <c r="X168" s="6">
        <v>1</v>
      </c>
      <c r="Y168" s="6">
        <v>2557.85</v>
      </c>
      <c r="Z168" s="6">
        <v>0.2</v>
      </c>
      <c r="AA168" s="6">
        <f t="shared" si="39"/>
        <v>0.2</v>
      </c>
      <c r="AB168" s="6" t="str">
        <f t="shared" si="40"/>
        <v>Valid</v>
      </c>
      <c r="AC168" s="6">
        <v>2046.28</v>
      </c>
      <c r="AD168" s="6" t="str">
        <f>IF(OR(AO168="Cancelled",AM168="Failed"),"Exclude from Completed Sales","Include in Completed Sales")</f>
        <v>Include in Completed Sales</v>
      </c>
      <c r="AE168" s="6">
        <f t="shared" si="41"/>
        <v>2046.28</v>
      </c>
      <c r="AF168" s="6" t="str">
        <f t="shared" si="42"/>
        <v/>
      </c>
      <c r="AG168" s="6">
        <v>1449.54</v>
      </c>
      <c r="AH168" s="6">
        <v>596.74</v>
      </c>
      <c r="AI168" s="6">
        <f t="shared" si="43"/>
        <v>596.74</v>
      </c>
      <c r="AJ168" s="11">
        <f t="shared" si="44"/>
        <v>0.29162186992982386</v>
      </c>
      <c r="AK168" s="11" t="str">
        <f t="shared" si="45"/>
        <v>February</v>
      </c>
      <c r="AL168" s="12">
        <f t="shared" si="46"/>
        <v>2025</v>
      </c>
      <c r="AM168" s="6" t="s">
        <v>54</v>
      </c>
      <c r="AN168" s="6" t="s">
        <v>55</v>
      </c>
      <c r="AO168" s="6" t="str">
        <f t="shared" si="38"/>
        <v>Completed</v>
      </c>
    </row>
    <row r="169" spans="1:41">
      <c r="A169" s="6" t="s">
        <v>940</v>
      </c>
      <c r="B169" s="7" t="s">
        <v>941</v>
      </c>
      <c r="C169" s="8">
        <v>45887</v>
      </c>
      <c r="D169" s="7" t="s">
        <v>942</v>
      </c>
      <c r="E169" s="9">
        <v>45887</v>
      </c>
      <c r="F169" s="9" t="str">
        <f t="shared" si="31"/>
        <v>Valid</v>
      </c>
      <c r="G169" s="10">
        <f t="shared" si="32"/>
        <v>0</v>
      </c>
      <c r="H169" s="10" t="str">
        <f t="shared" si="33"/>
        <v>Valid</v>
      </c>
      <c r="I169" s="6" t="s">
        <v>943</v>
      </c>
      <c r="J169" s="6" t="s">
        <v>81</v>
      </c>
      <c r="K169" s="6" t="s">
        <v>81</v>
      </c>
      <c r="L169" s="6" t="s">
        <v>135</v>
      </c>
      <c r="M169" s="7" t="str">
        <f t="shared" si="34"/>
        <v>Home Office</v>
      </c>
      <c r="N169" s="6" t="s">
        <v>82</v>
      </c>
      <c r="O169" s="7" t="str">
        <f t="shared" si="35"/>
        <v>South</v>
      </c>
      <c r="P169" s="6" t="s">
        <v>249</v>
      </c>
      <c r="Q169" s="6" t="s">
        <v>250</v>
      </c>
      <c r="R169" s="6" t="s">
        <v>50</v>
      </c>
      <c r="S169" s="7" t="str">
        <f t="shared" si="36"/>
        <v>Office Supplies</v>
      </c>
      <c r="T169" s="6" t="s">
        <v>176</v>
      </c>
      <c r="U169" s="6" t="s">
        <v>944</v>
      </c>
      <c r="V169" s="6" t="s">
        <v>76</v>
      </c>
      <c r="W169" s="7" t="str">
        <f t="shared" si="37"/>
        <v>First Class</v>
      </c>
      <c r="X169" s="6">
        <v>9</v>
      </c>
      <c r="Y169" s="6">
        <v>3030.93</v>
      </c>
      <c r="Z169" s="6">
        <v>0.15</v>
      </c>
      <c r="AA169" s="6">
        <f t="shared" si="39"/>
        <v>0.15</v>
      </c>
      <c r="AB169" s="6" t="str">
        <f t="shared" si="40"/>
        <v>Valid</v>
      </c>
      <c r="AC169" s="6">
        <v>23186.61</v>
      </c>
      <c r="AD169" s="6" t="str">
        <f>IF(OR(AO169="Cancelled",AM169="Failed"),"Exclude from Completed Sales","Include in Completed Sales")</f>
        <v>Include in Completed Sales</v>
      </c>
      <c r="AE169" s="6">
        <f t="shared" si="41"/>
        <v>23186.6145</v>
      </c>
      <c r="AF169" s="6" t="str">
        <f t="shared" si="42"/>
        <v/>
      </c>
      <c r="AG169" s="6">
        <v>17906.54</v>
      </c>
      <c r="AH169" s="6">
        <v>5280.07</v>
      </c>
      <c r="AI169" s="6">
        <f t="shared" si="43"/>
        <v>5280.0744999999988</v>
      </c>
      <c r="AJ169" s="11">
        <f t="shared" si="44"/>
        <v>0.22772080417345961</v>
      </c>
      <c r="AK169" s="11" t="str">
        <f t="shared" si="45"/>
        <v>August</v>
      </c>
      <c r="AL169" s="12">
        <f t="shared" si="46"/>
        <v>2025</v>
      </c>
      <c r="AM169" s="6" t="s">
        <v>54</v>
      </c>
      <c r="AN169" s="6" t="s">
        <v>145</v>
      </c>
      <c r="AO169" s="6" t="str">
        <f t="shared" si="38"/>
        <v>Returned</v>
      </c>
    </row>
    <row r="170" spans="1:41">
      <c r="A170" s="6" t="s">
        <v>945</v>
      </c>
      <c r="B170" s="7" t="s">
        <v>946</v>
      </c>
      <c r="C170" s="8">
        <v>45677</v>
      </c>
      <c r="D170" s="7" t="s">
        <v>204</v>
      </c>
      <c r="E170" s="9">
        <v>45680</v>
      </c>
      <c r="F170" s="9" t="str">
        <f t="shared" si="31"/>
        <v>Valid</v>
      </c>
      <c r="G170" s="10">
        <f t="shared" si="32"/>
        <v>3</v>
      </c>
      <c r="H170" s="10" t="str">
        <f t="shared" si="33"/>
        <v>Valid</v>
      </c>
      <c r="I170" s="6" t="s">
        <v>947</v>
      </c>
      <c r="J170" s="6" t="s">
        <v>386</v>
      </c>
      <c r="K170" s="6" t="s">
        <v>386</v>
      </c>
      <c r="L170" s="6" t="s">
        <v>46</v>
      </c>
      <c r="M170" s="7" t="str">
        <f t="shared" si="34"/>
        <v>Consumer</v>
      </c>
      <c r="N170" s="6" t="s">
        <v>93</v>
      </c>
      <c r="O170" s="7" t="str">
        <f t="shared" si="35"/>
        <v>West</v>
      </c>
      <c r="P170" s="6" t="s">
        <v>94</v>
      </c>
      <c r="Q170" s="6" t="s">
        <v>95</v>
      </c>
      <c r="R170" s="6" t="s">
        <v>106</v>
      </c>
      <c r="S170" s="7" t="str">
        <f t="shared" si="36"/>
        <v>Technology</v>
      </c>
      <c r="T170" s="6" t="s">
        <v>107</v>
      </c>
      <c r="U170" s="6" t="s">
        <v>948</v>
      </c>
      <c r="V170" s="6" t="s">
        <v>68</v>
      </c>
      <c r="W170" s="7" t="str">
        <f t="shared" si="37"/>
        <v>Same Day</v>
      </c>
      <c r="X170" s="6">
        <v>5</v>
      </c>
      <c r="Y170" s="6">
        <v>639.27</v>
      </c>
      <c r="Z170" s="6">
        <v>0.2</v>
      </c>
      <c r="AA170" s="6">
        <f t="shared" si="39"/>
        <v>0.2</v>
      </c>
      <c r="AB170" s="6" t="str">
        <f t="shared" si="40"/>
        <v>Valid</v>
      </c>
      <c r="AC170" s="6">
        <v>2557.08</v>
      </c>
      <c r="AD170" s="6" t="str">
        <f>IF(OR(AO170="Cancelled",AM170="Failed"),"Exclude from Completed Sales","Include in Completed Sales")</f>
        <v>Exclude from Completed Sales</v>
      </c>
      <c r="AE170" s="6">
        <f t="shared" si="41"/>
        <v>2557.08</v>
      </c>
      <c r="AF170" s="6" t="str">
        <f t="shared" si="42"/>
        <v/>
      </c>
      <c r="AG170" s="6">
        <v>2025.69</v>
      </c>
      <c r="AH170" s="6">
        <v>531.39</v>
      </c>
      <c r="AI170" s="6">
        <f t="shared" si="43"/>
        <v>531.38999999999987</v>
      </c>
      <c r="AJ170" s="11">
        <f t="shared" si="44"/>
        <v>0.2078112534609789</v>
      </c>
      <c r="AK170" s="11" t="str">
        <f t="shared" si="45"/>
        <v>January</v>
      </c>
      <c r="AL170" s="12">
        <f t="shared" si="46"/>
        <v>2025</v>
      </c>
      <c r="AM170" s="6" t="s">
        <v>54</v>
      </c>
      <c r="AN170" s="6" t="s">
        <v>98</v>
      </c>
      <c r="AO170" s="6" t="str">
        <f t="shared" si="38"/>
        <v>Cancelled</v>
      </c>
    </row>
    <row r="171" spans="1:41">
      <c r="A171" s="6" t="s">
        <v>949</v>
      </c>
      <c r="B171" s="7" t="s">
        <v>950</v>
      </c>
      <c r="C171" s="8">
        <v>45913</v>
      </c>
      <c r="D171" s="7" t="s">
        <v>951</v>
      </c>
      <c r="E171" s="9">
        <v>45913</v>
      </c>
      <c r="F171" s="9" t="str">
        <f t="shared" si="31"/>
        <v>Valid</v>
      </c>
      <c r="G171" s="10">
        <f t="shared" si="32"/>
        <v>0</v>
      </c>
      <c r="H171" s="10" t="str">
        <f t="shared" si="33"/>
        <v>Valid</v>
      </c>
      <c r="I171" s="6" t="s">
        <v>952</v>
      </c>
      <c r="J171" s="6" t="s">
        <v>230</v>
      </c>
      <c r="K171" s="6" t="s">
        <v>230</v>
      </c>
      <c r="L171" s="6" t="s">
        <v>46</v>
      </c>
      <c r="M171" s="7" t="str">
        <f t="shared" si="34"/>
        <v>Consumer</v>
      </c>
      <c r="N171" s="6" t="s">
        <v>62</v>
      </c>
      <c r="O171" s="7" t="str">
        <f t="shared" si="35"/>
        <v>East</v>
      </c>
      <c r="P171" s="6" t="s">
        <v>236</v>
      </c>
      <c r="Q171" s="6" t="s">
        <v>237</v>
      </c>
      <c r="R171" s="6" t="s">
        <v>50</v>
      </c>
      <c r="S171" s="7" t="str">
        <f t="shared" si="36"/>
        <v>Office Supplies</v>
      </c>
      <c r="T171" s="6" t="s">
        <v>74</v>
      </c>
      <c r="U171" s="6" t="s">
        <v>953</v>
      </c>
      <c r="V171" s="6" t="s">
        <v>87</v>
      </c>
      <c r="W171" s="7" t="str">
        <f t="shared" si="37"/>
        <v>Standard Class</v>
      </c>
      <c r="X171" s="6">
        <v>8</v>
      </c>
      <c r="Y171" s="6">
        <v>733.9</v>
      </c>
      <c r="Z171" s="6">
        <v>0.05</v>
      </c>
      <c r="AA171" s="6">
        <f t="shared" si="39"/>
        <v>0.05</v>
      </c>
      <c r="AB171" s="6" t="str">
        <f t="shared" si="40"/>
        <v>Valid</v>
      </c>
      <c r="AC171" s="6">
        <v>5577.64</v>
      </c>
      <c r="AD171" s="6" t="str">
        <f>IF(OR(AO171="Cancelled",AM171="Failed"),"Exclude from Completed Sales","Include in Completed Sales")</f>
        <v>Include in Completed Sales</v>
      </c>
      <c r="AE171" s="6">
        <f t="shared" si="41"/>
        <v>5577.6399999999994</v>
      </c>
      <c r="AF171" s="6" t="str">
        <f t="shared" si="42"/>
        <v/>
      </c>
      <c r="AG171" s="6">
        <v>3541.29</v>
      </c>
      <c r="AH171" s="6">
        <v>2036.35</v>
      </c>
      <c r="AI171" s="6">
        <f t="shared" si="43"/>
        <v>2036.3499999999995</v>
      </c>
      <c r="AJ171" s="11">
        <f t="shared" si="44"/>
        <v>0.36509168752375548</v>
      </c>
      <c r="AK171" s="11" t="str">
        <f t="shared" si="45"/>
        <v>September</v>
      </c>
      <c r="AL171" s="12">
        <f t="shared" si="46"/>
        <v>2025</v>
      </c>
      <c r="AM171" s="6" t="s">
        <v>157</v>
      </c>
      <c r="AN171" s="6" t="s">
        <v>145</v>
      </c>
      <c r="AO171" s="6" t="str">
        <f t="shared" si="38"/>
        <v>Returned</v>
      </c>
    </row>
    <row r="172" spans="1:41">
      <c r="A172" s="6" t="s">
        <v>954</v>
      </c>
      <c r="B172" s="7" t="s">
        <v>132</v>
      </c>
      <c r="C172" s="8">
        <v>45907</v>
      </c>
      <c r="D172" s="7" t="s">
        <v>955</v>
      </c>
      <c r="E172" s="9">
        <v>45915</v>
      </c>
      <c r="F172" s="9" t="str">
        <f t="shared" si="31"/>
        <v>Valid</v>
      </c>
      <c r="G172" s="10">
        <f t="shared" si="32"/>
        <v>8</v>
      </c>
      <c r="H172" s="10" t="str">
        <f t="shared" si="33"/>
        <v>Valid</v>
      </c>
      <c r="I172" s="6" t="s">
        <v>956</v>
      </c>
      <c r="J172" s="6" t="s">
        <v>200</v>
      </c>
      <c r="K172" s="6" t="s">
        <v>200</v>
      </c>
      <c r="L172" s="6" t="s">
        <v>128</v>
      </c>
      <c r="M172" s="7" t="str">
        <f t="shared" si="34"/>
        <v>Corporate</v>
      </c>
      <c r="N172" s="6" t="s">
        <v>62</v>
      </c>
      <c r="O172" s="7" t="str">
        <f t="shared" si="35"/>
        <v>East</v>
      </c>
      <c r="P172" s="6" t="s">
        <v>206</v>
      </c>
      <c r="Q172" s="6" t="s">
        <v>207</v>
      </c>
      <c r="R172" s="6" t="s">
        <v>106</v>
      </c>
      <c r="S172" s="7" t="str">
        <f t="shared" si="36"/>
        <v>Technology</v>
      </c>
      <c r="T172" s="6" t="s">
        <v>114</v>
      </c>
      <c r="U172" s="6" t="s">
        <v>957</v>
      </c>
      <c r="V172" s="6" t="s">
        <v>87</v>
      </c>
      <c r="W172" s="7" t="str">
        <f t="shared" si="37"/>
        <v>Standard Class</v>
      </c>
      <c r="X172" s="6">
        <v>3</v>
      </c>
      <c r="Y172" s="6">
        <v>1711.32</v>
      </c>
      <c r="Z172" s="6">
        <v>0</v>
      </c>
      <c r="AA172" s="6">
        <f t="shared" si="39"/>
        <v>0</v>
      </c>
      <c r="AB172" s="6" t="str">
        <f t="shared" si="40"/>
        <v>Valid</v>
      </c>
      <c r="AC172" s="6">
        <v>5133.96</v>
      </c>
      <c r="AD172" s="6" t="str">
        <f>IF(OR(AO172="Cancelled",AM172="Failed"),"Exclude from Completed Sales","Include in Completed Sales")</f>
        <v>Include in Completed Sales</v>
      </c>
      <c r="AE172" s="6">
        <f t="shared" si="41"/>
        <v>5133.96</v>
      </c>
      <c r="AF172" s="6" t="str">
        <f t="shared" si="42"/>
        <v/>
      </c>
      <c r="AG172" s="6">
        <v>3930</v>
      </c>
      <c r="AH172" s="6">
        <v>1203.96</v>
      </c>
      <c r="AI172" s="6">
        <f t="shared" si="43"/>
        <v>1203.96</v>
      </c>
      <c r="AJ172" s="11">
        <f t="shared" si="44"/>
        <v>0.23450903396208775</v>
      </c>
      <c r="AK172" s="11" t="str">
        <f t="shared" si="45"/>
        <v>September</v>
      </c>
      <c r="AL172" s="12">
        <f t="shared" si="46"/>
        <v>2025</v>
      </c>
      <c r="AM172" s="6" t="s">
        <v>54</v>
      </c>
      <c r="AN172" s="6" t="s">
        <v>55</v>
      </c>
      <c r="AO172" s="6" t="str">
        <f t="shared" si="38"/>
        <v>Completed</v>
      </c>
    </row>
    <row r="173" spans="1:41">
      <c r="A173" s="6" t="s">
        <v>958</v>
      </c>
      <c r="B173" s="7" t="s">
        <v>117</v>
      </c>
      <c r="C173" s="8">
        <v>45711</v>
      </c>
      <c r="D173" s="7" t="s">
        <v>959</v>
      </c>
      <c r="E173" s="9">
        <v>45713</v>
      </c>
      <c r="F173" s="9" t="str">
        <f t="shared" si="31"/>
        <v>Valid</v>
      </c>
      <c r="G173" s="10">
        <f t="shared" si="32"/>
        <v>2</v>
      </c>
      <c r="H173" s="10" t="str">
        <f t="shared" si="33"/>
        <v>Valid</v>
      </c>
      <c r="I173" s="6" t="s">
        <v>960</v>
      </c>
      <c r="J173" s="6" t="s">
        <v>45</v>
      </c>
      <c r="K173" s="6" t="s">
        <v>45</v>
      </c>
      <c r="L173" s="6" t="s">
        <v>128</v>
      </c>
      <c r="M173" s="7" t="str">
        <f t="shared" si="34"/>
        <v>Corporate</v>
      </c>
      <c r="N173" s="6" t="s">
        <v>62</v>
      </c>
      <c r="O173" s="7" t="str">
        <f t="shared" si="35"/>
        <v>East</v>
      </c>
      <c r="P173" s="6" t="s">
        <v>206</v>
      </c>
      <c r="Q173" s="6" t="s">
        <v>207</v>
      </c>
      <c r="R173" s="6" t="s">
        <v>50</v>
      </c>
      <c r="S173" s="7" t="str">
        <f t="shared" si="36"/>
        <v>Office Supplies</v>
      </c>
      <c r="T173" s="6" t="s">
        <v>129</v>
      </c>
      <c r="U173" s="6" t="s">
        <v>961</v>
      </c>
      <c r="V173" s="6" t="s">
        <v>68</v>
      </c>
      <c r="W173" s="7" t="str">
        <f t="shared" si="37"/>
        <v>Same Day</v>
      </c>
      <c r="X173" s="6">
        <v>5</v>
      </c>
      <c r="Y173" s="6">
        <v>4246.2700000000004</v>
      </c>
      <c r="Z173" s="6">
        <v>0.25</v>
      </c>
      <c r="AA173" s="6">
        <f t="shared" si="39"/>
        <v>0.25</v>
      </c>
      <c r="AB173" s="6" t="str">
        <f t="shared" si="40"/>
        <v>Valid</v>
      </c>
      <c r="AC173" s="6">
        <v>15923.51</v>
      </c>
      <c r="AD173" s="6" t="str">
        <f>IF(OR(AO173="Cancelled",AM173="Failed"),"Exclude from Completed Sales","Include in Completed Sales")</f>
        <v>Include in Completed Sales</v>
      </c>
      <c r="AE173" s="6">
        <f t="shared" si="41"/>
        <v>15923.512500000001</v>
      </c>
      <c r="AF173" s="6" t="str">
        <f t="shared" si="42"/>
        <v/>
      </c>
      <c r="AG173" s="6">
        <v>11291.8</v>
      </c>
      <c r="AH173" s="6">
        <v>4631.71</v>
      </c>
      <c r="AI173" s="6">
        <f t="shared" si="43"/>
        <v>4631.7125000000015</v>
      </c>
      <c r="AJ173" s="11">
        <f t="shared" si="44"/>
        <v>0.29087253832971849</v>
      </c>
      <c r="AK173" s="11" t="str">
        <f t="shared" si="45"/>
        <v>February</v>
      </c>
      <c r="AL173" s="12">
        <f t="shared" si="46"/>
        <v>2025</v>
      </c>
      <c r="AM173" s="6" t="s">
        <v>54</v>
      </c>
      <c r="AN173" s="6" t="s">
        <v>55</v>
      </c>
      <c r="AO173" s="6" t="str">
        <f t="shared" si="38"/>
        <v>Completed</v>
      </c>
    </row>
    <row r="174" spans="1:41">
      <c r="A174" s="6" t="s">
        <v>962</v>
      </c>
      <c r="B174" s="7" t="s">
        <v>963</v>
      </c>
      <c r="C174" s="8">
        <v>45871</v>
      </c>
      <c r="D174" s="7" t="s">
        <v>964</v>
      </c>
      <c r="E174" s="9">
        <v>45879</v>
      </c>
      <c r="F174" s="9" t="str">
        <f t="shared" si="31"/>
        <v>Valid</v>
      </c>
      <c r="G174" s="10">
        <f t="shared" si="32"/>
        <v>8</v>
      </c>
      <c r="H174" s="10" t="str">
        <f t="shared" si="33"/>
        <v>Valid</v>
      </c>
      <c r="I174" s="6" t="s">
        <v>965</v>
      </c>
      <c r="J174" s="6" t="s">
        <v>45</v>
      </c>
      <c r="K174" s="6" t="s">
        <v>45</v>
      </c>
      <c r="L174" s="6" t="s">
        <v>128</v>
      </c>
      <c r="M174" s="7" t="str">
        <f t="shared" si="34"/>
        <v>Corporate</v>
      </c>
      <c r="N174" s="6" t="s">
        <v>47</v>
      </c>
      <c r="O174" s="7" t="str">
        <f t="shared" si="35"/>
        <v>North</v>
      </c>
      <c r="P174" s="6" t="s">
        <v>526</v>
      </c>
      <c r="Q174" s="6" t="s">
        <v>527</v>
      </c>
      <c r="R174" s="6" t="s">
        <v>65</v>
      </c>
      <c r="S174" s="7" t="str">
        <f t="shared" si="36"/>
        <v>Furniture</v>
      </c>
      <c r="T174" s="6" t="s">
        <v>85</v>
      </c>
      <c r="U174" s="6" t="s">
        <v>966</v>
      </c>
      <c r="V174" s="6" t="s">
        <v>68</v>
      </c>
      <c r="W174" s="7" t="str">
        <f t="shared" si="37"/>
        <v>Same Day</v>
      </c>
      <c r="X174" s="6">
        <v>9</v>
      </c>
      <c r="Y174" s="6">
        <v>2962.62</v>
      </c>
      <c r="Z174" s="6">
        <v>0.1</v>
      </c>
      <c r="AA174" s="6">
        <f t="shared" si="39"/>
        <v>0.1</v>
      </c>
      <c r="AB174" s="6" t="str">
        <f t="shared" si="40"/>
        <v>Valid</v>
      </c>
      <c r="AC174" s="6">
        <v>23997.22</v>
      </c>
      <c r="AD174" s="6" t="str">
        <f>IF(OR(AO174="Cancelled",AM174="Failed"),"Exclude from Completed Sales","Include in Completed Sales")</f>
        <v>Include in Completed Sales</v>
      </c>
      <c r="AE174" s="6">
        <f t="shared" si="41"/>
        <v>23997.221999999998</v>
      </c>
      <c r="AF174" s="6" t="str">
        <f t="shared" si="42"/>
        <v>Refunded</v>
      </c>
      <c r="AG174" s="6">
        <v>16134.63</v>
      </c>
      <c r="AH174" s="6">
        <v>7862.59</v>
      </c>
      <c r="AI174" s="6">
        <f t="shared" si="43"/>
        <v>7862.5919999999987</v>
      </c>
      <c r="AJ174" s="11">
        <f t="shared" si="44"/>
        <v>0.32764592501582057</v>
      </c>
      <c r="AK174" s="11" t="str">
        <f t="shared" si="45"/>
        <v>August</v>
      </c>
      <c r="AL174" s="12">
        <f t="shared" si="46"/>
        <v>2025</v>
      </c>
      <c r="AM174" s="6" t="s">
        <v>144</v>
      </c>
      <c r="AN174" s="6" t="s">
        <v>145</v>
      </c>
      <c r="AO174" s="6" t="str">
        <f t="shared" si="38"/>
        <v>Returned</v>
      </c>
    </row>
    <row r="175" spans="1:41">
      <c r="A175" s="6" t="s">
        <v>967</v>
      </c>
      <c r="B175" s="7" t="s">
        <v>968</v>
      </c>
      <c r="C175" s="8">
        <v>45414</v>
      </c>
      <c r="D175" s="7" t="s">
        <v>969</v>
      </c>
      <c r="E175" s="9">
        <v>45420</v>
      </c>
      <c r="F175" s="9" t="str">
        <f t="shared" si="31"/>
        <v>Valid</v>
      </c>
      <c r="G175" s="10">
        <f t="shared" si="32"/>
        <v>6</v>
      </c>
      <c r="H175" s="10" t="str">
        <f t="shared" si="33"/>
        <v>Valid</v>
      </c>
      <c r="I175" s="6" t="s">
        <v>970</v>
      </c>
      <c r="J175" s="6" t="s">
        <v>971</v>
      </c>
      <c r="K175" s="6" t="s">
        <v>971</v>
      </c>
      <c r="L175" s="6" t="s">
        <v>135</v>
      </c>
      <c r="M175" s="7" t="str">
        <f t="shared" si="34"/>
        <v>Home Office</v>
      </c>
      <c r="N175" s="6" t="s">
        <v>47</v>
      </c>
      <c r="O175" s="7" t="str">
        <f t="shared" si="35"/>
        <v>North</v>
      </c>
      <c r="P175" s="6" t="s">
        <v>174</v>
      </c>
      <c r="Q175" s="6" t="s">
        <v>175</v>
      </c>
      <c r="R175" s="6" t="s">
        <v>106</v>
      </c>
      <c r="S175" s="7" t="str">
        <f t="shared" si="36"/>
        <v>Technology</v>
      </c>
      <c r="T175" s="6" t="s">
        <v>114</v>
      </c>
      <c r="U175" s="6" t="s">
        <v>972</v>
      </c>
      <c r="V175" s="6" t="s">
        <v>53</v>
      </c>
      <c r="W175" s="7" t="str">
        <f t="shared" si="37"/>
        <v>Second Class</v>
      </c>
      <c r="X175" s="6">
        <v>1</v>
      </c>
      <c r="Y175" s="6">
        <v>2312.25</v>
      </c>
      <c r="Z175" s="6">
        <v>0.25</v>
      </c>
      <c r="AA175" s="6">
        <f t="shared" si="39"/>
        <v>0.25</v>
      </c>
      <c r="AB175" s="6" t="str">
        <f t="shared" si="40"/>
        <v>Valid</v>
      </c>
      <c r="AC175" s="6">
        <v>1734.19</v>
      </c>
      <c r="AD175" s="6" t="str">
        <f>IF(OR(AO175="Cancelled",AM175="Failed"),"Exclude from Completed Sales","Include in Completed Sales")</f>
        <v>Include in Completed Sales</v>
      </c>
      <c r="AE175" s="6">
        <f t="shared" si="41"/>
        <v>1734.1875</v>
      </c>
      <c r="AF175" s="6" t="str">
        <f t="shared" si="42"/>
        <v/>
      </c>
      <c r="AG175" s="6">
        <v>1386.07</v>
      </c>
      <c r="AH175" s="6">
        <v>348.12</v>
      </c>
      <c r="AI175" s="6">
        <f t="shared" si="43"/>
        <v>348.11750000000006</v>
      </c>
      <c r="AJ175" s="11">
        <f t="shared" si="44"/>
        <v>0.20073809781237614</v>
      </c>
      <c r="AK175" s="11" t="str">
        <f t="shared" si="45"/>
        <v>May</v>
      </c>
      <c r="AL175" s="12">
        <f t="shared" si="46"/>
        <v>2024</v>
      </c>
      <c r="AM175" s="6" t="s">
        <v>54</v>
      </c>
      <c r="AN175" s="6" t="s">
        <v>55</v>
      </c>
      <c r="AO175" s="6" t="str">
        <f t="shared" si="38"/>
        <v>Completed</v>
      </c>
    </row>
    <row r="176" spans="1:41">
      <c r="A176" s="6" t="s">
        <v>973</v>
      </c>
      <c r="B176" s="7" t="s">
        <v>974</v>
      </c>
      <c r="C176" s="8">
        <v>45928</v>
      </c>
      <c r="D176" s="7" t="s">
        <v>975</v>
      </c>
      <c r="E176" s="9">
        <v>45934</v>
      </c>
      <c r="F176" s="9" t="str">
        <f t="shared" si="31"/>
        <v>Valid</v>
      </c>
      <c r="G176" s="10">
        <f t="shared" si="32"/>
        <v>6</v>
      </c>
      <c r="H176" s="10" t="str">
        <f t="shared" si="33"/>
        <v>Valid</v>
      </c>
      <c r="I176" s="6" t="s">
        <v>976</v>
      </c>
      <c r="J176" s="6" t="s">
        <v>45</v>
      </c>
      <c r="K176" s="6" t="s">
        <v>45</v>
      </c>
      <c r="L176" s="6" t="s">
        <v>61</v>
      </c>
      <c r="M176" s="7" t="str">
        <f t="shared" si="34"/>
        <v>Small Business</v>
      </c>
      <c r="N176" s="6" t="s">
        <v>82</v>
      </c>
      <c r="O176" s="7" t="str">
        <f t="shared" si="35"/>
        <v>South</v>
      </c>
      <c r="P176" s="6" t="s">
        <v>249</v>
      </c>
      <c r="Q176" s="6" t="s">
        <v>250</v>
      </c>
      <c r="R176" s="6" t="s">
        <v>65</v>
      </c>
      <c r="S176" s="7" t="str">
        <f t="shared" si="36"/>
        <v>Furniture</v>
      </c>
      <c r="T176" s="6" t="s">
        <v>224</v>
      </c>
      <c r="U176" s="6" t="s">
        <v>977</v>
      </c>
      <c r="V176" s="6" t="s">
        <v>76</v>
      </c>
      <c r="W176" s="7" t="str">
        <f t="shared" si="37"/>
        <v>First Class</v>
      </c>
      <c r="X176" s="6">
        <v>6</v>
      </c>
      <c r="Y176" s="6">
        <v>1620.53</v>
      </c>
      <c r="Z176" s="6">
        <v>0.15</v>
      </c>
      <c r="AA176" s="6">
        <f t="shared" si="39"/>
        <v>0.15</v>
      </c>
      <c r="AB176" s="6" t="str">
        <f t="shared" si="40"/>
        <v>Valid</v>
      </c>
      <c r="AC176" s="6">
        <v>8264.7000000000007</v>
      </c>
      <c r="AD176" s="6" t="str">
        <f>IF(OR(AO176="Cancelled",AM176="Failed"),"Exclude from Completed Sales","Include in Completed Sales")</f>
        <v>Include in Completed Sales</v>
      </c>
      <c r="AE176" s="6">
        <f t="shared" si="41"/>
        <v>8264.7029999999995</v>
      </c>
      <c r="AF176" s="6" t="str">
        <f t="shared" si="42"/>
        <v/>
      </c>
      <c r="AG176" s="6">
        <v>4768.75</v>
      </c>
      <c r="AH176" s="6">
        <v>3495.95</v>
      </c>
      <c r="AI176" s="6">
        <f t="shared" si="43"/>
        <v>3495.9529999999995</v>
      </c>
      <c r="AJ176" s="11">
        <f t="shared" si="44"/>
        <v>0.42299801940856191</v>
      </c>
      <c r="AK176" s="11" t="str">
        <f t="shared" si="45"/>
        <v>September</v>
      </c>
      <c r="AL176" s="12">
        <f t="shared" si="46"/>
        <v>2025</v>
      </c>
      <c r="AM176" s="6" t="s">
        <v>157</v>
      </c>
      <c r="AN176" s="6" t="s">
        <v>145</v>
      </c>
      <c r="AO176" s="6" t="str">
        <f t="shared" si="38"/>
        <v>Returned</v>
      </c>
    </row>
    <row r="177" spans="1:41">
      <c r="A177" s="6" t="s">
        <v>978</v>
      </c>
      <c r="B177" s="7" t="s">
        <v>762</v>
      </c>
      <c r="C177" s="8">
        <v>45318</v>
      </c>
      <c r="D177" s="7" t="s">
        <v>979</v>
      </c>
      <c r="E177" s="9">
        <v>45325</v>
      </c>
      <c r="F177" s="9" t="str">
        <f t="shared" si="31"/>
        <v>Valid</v>
      </c>
      <c r="G177" s="10">
        <f t="shared" si="32"/>
        <v>7</v>
      </c>
      <c r="H177" s="10" t="str">
        <f t="shared" si="33"/>
        <v>Valid</v>
      </c>
      <c r="I177" s="6" t="s">
        <v>980</v>
      </c>
      <c r="J177" s="6" t="s">
        <v>81</v>
      </c>
      <c r="K177" s="6" t="s">
        <v>81</v>
      </c>
      <c r="L177" s="6" t="s">
        <v>61</v>
      </c>
      <c r="M177" s="7" t="str">
        <f t="shared" si="34"/>
        <v>Small Business</v>
      </c>
      <c r="N177" s="6" t="s">
        <v>62</v>
      </c>
      <c r="O177" s="7" t="str">
        <f t="shared" si="35"/>
        <v>East</v>
      </c>
      <c r="P177" s="6" t="s">
        <v>206</v>
      </c>
      <c r="Q177" s="6" t="s">
        <v>207</v>
      </c>
      <c r="R177" s="6" t="s">
        <v>106</v>
      </c>
      <c r="S177" s="7" t="str">
        <f t="shared" si="36"/>
        <v>Technology</v>
      </c>
      <c r="T177" s="6" t="s">
        <v>402</v>
      </c>
      <c r="U177" s="6" t="s">
        <v>981</v>
      </c>
      <c r="V177" s="6" t="s">
        <v>68</v>
      </c>
      <c r="W177" s="7" t="str">
        <f t="shared" si="37"/>
        <v>Same Day</v>
      </c>
      <c r="X177" s="6">
        <v>7</v>
      </c>
      <c r="Y177" s="6">
        <v>2673.42</v>
      </c>
      <c r="Z177" s="6">
        <v>0.15</v>
      </c>
      <c r="AA177" s="6">
        <f t="shared" si="39"/>
        <v>0.15</v>
      </c>
      <c r="AB177" s="6" t="str">
        <f t="shared" si="40"/>
        <v>Valid</v>
      </c>
      <c r="AC177" s="6">
        <v>15906.85</v>
      </c>
      <c r="AD177" s="6" t="str">
        <f>IF(OR(AO177="Cancelled",AM177="Failed"),"Exclude from Completed Sales","Include in Completed Sales")</f>
        <v>Include in Completed Sales</v>
      </c>
      <c r="AE177" s="6">
        <f t="shared" si="41"/>
        <v>15906.849000000002</v>
      </c>
      <c r="AF177" s="6" t="str">
        <f t="shared" si="42"/>
        <v/>
      </c>
      <c r="AG177" s="6">
        <v>11014.46</v>
      </c>
      <c r="AH177" s="6">
        <v>4892.3900000000003</v>
      </c>
      <c r="AI177" s="6">
        <f t="shared" si="43"/>
        <v>4892.3890000000029</v>
      </c>
      <c r="AJ177" s="11">
        <f t="shared" si="44"/>
        <v>0.30756493633654297</v>
      </c>
      <c r="AK177" s="11" t="str">
        <f t="shared" si="45"/>
        <v>January</v>
      </c>
      <c r="AL177" s="12">
        <f t="shared" si="46"/>
        <v>2024</v>
      </c>
      <c r="AM177" s="6" t="s">
        <v>54</v>
      </c>
      <c r="AN177" s="6" t="s">
        <v>145</v>
      </c>
      <c r="AO177" s="6" t="str">
        <f t="shared" si="38"/>
        <v>Returned</v>
      </c>
    </row>
    <row r="178" spans="1:41">
      <c r="A178" s="6" t="s">
        <v>982</v>
      </c>
      <c r="B178" s="7" t="s">
        <v>983</v>
      </c>
      <c r="C178" s="8">
        <v>45734</v>
      </c>
      <c r="D178" s="7" t="s">
        <v>984</v>
      </c>
      <c r="E178" s="9">
        <v>45742</v>
      </c>
      <c r="F178" s="9" t="str">
        <f t="shared" si="31"/>
        <v>Valid</v>
      </c>
      <c r="G178" s="10">
        <f t="shared" si="32"/>
        <v>8</v>
      </c>
      <c r="H178" s="10" t="str">
        <f t="shared" si="33"/>
        <v>Valid</v>
      </c>
      <c r="I178" s="6" t="s">
        <v>985</v>
      </c>
      <c r="J178" s="6" t="s">
        <v>103</v>
      </c>
      <c r="K178" s="6" t="s">
        <v>103</v>
      </c>
      <c r="L178" s="6" t="s">
        <v>128</v>
      </c>
      <c r="M178" s="7" t="str">
        <f t="shared" si="34"/>
        <v>Corporate</v>
      </c>
      <c r="N178" s="6" t="s">
        <v>62</v>
      </c>
      <c r="O178" s="7" t="str">
        <f t="shared" si="35"/>
        <v>East</v>
      </c>
      <c r="P178" s="6" t="s">
        <v>331</v>
      </c>
      <c r="Q178" s="6" t="s">
        <v>332</v>
      </c>
      <c r="R178" s="6" t="s">
        <v>65</v>
      </c>
      <c r="S178" s="7" t="str">
        <f t="shared" si="36"/>
        <v>Furniture</v>
      </c>
      <c r="T178" s="6" t="s">
        <v>224</v>
      </c>
      <c r="U178" s="6" t="s">
        <v>986</v>
      </c>
      <c r="V178" s="6" t="s">
        <v>87</v>
      </c>
      <c r="W178" s="7" t="str">
        <f t="shared" si="37"/>
        <v>Standard Class</v>
      </c>
      <c r="X178" s="6">
        <v>8</v>
      </c>
      <c r="Y178" s="6">
        <v>3563.09</v>
      </c>
      <c r="Z178" s="6">
        <v>0.15</v>
      </c>
      <c r="AA178" s="6">
        <f t="shared" si="39"/>
        <v>0.15</v>
      </c>
      <c r="AB178" s="6" t="str">
        <f t="shared" si="40"/>
        <v>Valid</v>
      </c>
      <c r="AC178" s="6">
        <v>24229.01</v>
      </c>
      <c r="AD178" s="6" t="str">
        <f>IF(OR(AO178="Cancelled",AM178="Failed"),"Exclude from Completed Sales","Include in Completed Sales")</f>
        <v>Include in Completed Sales</v>
      </c>
      <c r="AE178" s="6">
        <f t="shared" si="41"/>
        <v>24229.011999999999</v>
      </c>
      <c r="AF178" s="6" t="str">
        <f t="shared" si="42"/>
        <v/>
      </c>
      <c r="AG178" s="6">
        <v>13910.64</v>
      </c>
      <c r="AH178" s="6">
        <v>10318.370000000001</v>
      </c>
      <c r="AI178" s="6">
        <f t="shared" si="43"/>
        <v>10318.371999999999</v>
      </c>
      <c r="AJ178" s="11">
        <f t="shared" si="44"/>
        <v>0.42586845885420338</v>
      </c>
      <c r="AK178" s="11" t="str">
        <f t="shared" si="45"/>
        <v>March</v>
      </c>
      <c r="AL178" s="12">
        <f t="shared" si="46"/>
        <v>2025</v>
      </c>
      <c r="AM178" s="6" t="s">
        <v>54</v>
      </c>
      <c r="AN178" s="6" t="s">
        <v>55</v>
      </c>
      <c r="AO178" s="6" t="str">
        <f t="shared" si="38"/>
        <v>Completed</v>
      </c>
    </row>
    <row r="179" spans="1:41">
      <c r="A179" s="6" t="s">
        <v>987</v>
      </c>
      <c r="B179" s="7" t="s">
        <v>988</v>
      </c>
      <c r="C179" s="8">
        <v>45444</v>
      </c>
      <c r="D179" s="7" t="s">
        <v>989</v>
      </c>
      <c r="E179" s="9">
        <v>45446</v>
      </c>
      <c r="F179" s="9" t="str">
        <f t="shared" si="31"/>
        <v>Valid</v>
      </c>
      <c r="G179" s="10">
        <f t="shared" si="32"/>
        <v>2</v>
      </c>
      <c r="H179" s="10" t="str">
        <f t="shared" si="33"/>
        <v>Valid</v>
      </c>
      <c r="I179" s="6" t="s">
        <v>990</v>
      </c>
      <c r="J179" s="6" t="s">
        <v>188</v>
      </c>
      <c r="K179" s="6" t="s">
        <v>188</v>
      </c>
      <c r="L179" s="6" t="s">
        <v>135</v>
      </c>
      <c r="M179" s="7" t="str">
        <f t="shared" si="34"/>
        <v>Home Office</v>
      </c>
      <c r="N179" s="6"/>
      <c r="O179" s="7" t="str">
        <f t="shared" si="35"/>
        <v>Unknown</v>
      </c>
      <c r="P179" s="6" t="s">
        <v>206</v>
      </c>
      <c r="Q179" s="6" t="s">
        <v>207</v>
      </c>
      <c r="R179" s="6" t="s">
        <v>50</v>
      </c>
      <c r="S179" s="7" t="str">
        <f t="shared" si="36"/>
        <v>Office Supplies</v>
      </c>
      <c r="T179" s="6" t="s">
        <v>74</v>
      </c>
      <c r="U179" s="6" t="s">
        <v>991</v>
      </c>
      <c r="V179" s="6" t="s">
        <v>68</v>
      </c>
      <c r="W179" s="7" t="str">
        <f t="shared" si="37"/>
        <v>Same Day</v>
      </c>
      <c r="X179" s="6">
        <v>8</v>
      </c>
      <c r="Y179" s="6">
        <v>3879.95</v>
      </c>
      <c r="Z179" s="6">
        <v>0</v>
      </c>
      <c r="AA179" s="6">
        <f t="shared" si="39"/>
        <v>0</v>
      </c>
      <c r="AB179" s="6" t="str">
        <f t="shared" si="40"/>
        <v>Valid</v>
      </c>
      <c r="AC179" s="6">
        <v>31039.599999999999</v>
      </c>
      <c r="AD179" s="6" t="str">
        <f>IF(OR(AO179="Cancelled",AM179="Failed"),"Exclude from Completed Sales","Include in Completed Sales")</f>
        <v>Include in Completed Sales</v>
      </c>
      <c r="AE179" s="6">
        <f t="shared" si="41"/>
        <v>31039.599999999999</v>
      </c>
      <c r="AF179" s="6" t="str">
        <f t="shared" si="42"/>
        <v/>
      </c>
      <c r="AG179" s="6">
        <v>20866.72</v>
      </c>
      <c r="AH179" s="6">
        <v>10172.879999999999</v>
      </c>
      <c r="AI179" s="6">
        <f t="shared" si="43"/>
        <v>10172.879999999997</v>
      </c>
      <c r="AJ179" s="11">
        <f t="shared" si="44"/>
        <v>0.32773875952009685</v>
      </c>
      <c r="AK179" s="11" t="str">
        <f t="shared" si="45"/>
        <v>June</v>
      </c>
      <c r="AL179" s="12">
        <f t="shared" si="46"/>
        <v>2024</v>
      </c>
      <c r="AM179" s="6" t="s">
        <v>54</v>
      </c>
      <c r="AN179" s="6" t="s">
        <v>55</v>
      </c>
      <c r="AO179" s="6" t="str">
        <f t="shared" si="38"/>
        <v>Completed</v>
      </c>
    </row>
    <row r="180" spans="1:41">
      <c r="A180" s="6" t="s">
        <v>992</v>
      </c>
      <c r="B180" s="7" t="s">
        <v>993</v>
      </c>
      <c r="C180" s="8">
        <v>45565</v>
      </c>
      <c r="D180" s="7" t="s">
        <v>994</v>
      </c>
      <c r="E180" s="9">
        <v>45565</v>
      </c>
      <c r="F180" s="9" t="str">
        <f t="shared" si="31"/>
        <v>Valid</v>
      </c>
      <c r="G180" s="10">
        <f t="shared" si="32"/>
        <v>0</v>
      </c>
      <c r="H180" s="10" t="str">
        <f t="shared" si="33"/>
        <v>Valid</v>
      </c>
      <c r="I180" s="6" t="s">
        <v>995</v>
      </c>
      <c r="J180" s="6" t="s">
        <v>73</v>
      </c>
      <c r="K180" s="6" t="s">
        <v>73</v>
      </c>
      <c r="L180" s="6" t="s">
        <v>128</v>
      </c>
      <c r="M180" s="7" t="str">
        <f t="shared" si="34"/>
        <v>Corporate</v>
      </c>
      <c r="N180" s="6" t="s">
        <v>82</v>
      </c>
      <c r="O180" s="7" t="str">
        <f t="shared" si="35"/>
        <v>South</v>
      </c>
      <c r="P180" s="6" t="s">
        <v>83</v>
      </c>
      <c r="Q180" s="6" t="s">
        <v>84</v>
      </c>
      <c r="R180" s="6" t="s">
        <v>50</v>
      </c>
      <c r="S180" s="7" t="str">
        <f t="shared" si="36"/>
        <v>Office Supplies</v>
      </c>
      <c r="T180" s="6" t="s">
        <v>74</v>
      </c>
      <c r="U180" s="6" t="s">
        <v>996</v>
      </c>
      <c r="V180" s="6" t="s">
        <v>87</v>
      </c>
      <c r="W180" s="7" t="str">
        <f t="shared" si="37"/>
        <v>Standard Class</v>
      </c>
      <c r="X180" s="6">
        <v>4</v>
      </c>
      <c r="Y180" s="6">
        <v>3281.74</v>
      </c>
      <c r="Z180" s="6">
        <v>0</v>
      </c>
      <c r="AA180" s="6">
        <f t="shared" si="39"/>
        <v>0</v>
      </c>
      <c r="AB180" s="6" t="str">
        <f t="shared" si="40"/>
        <v>Valid</v>
      </c>
      <c r="AC180" s="6">
        <v>13126.96</v>
      </c>
      <c r="AD180" s="6" t="str">
        <f>IF(OR(AO180="Cancelled",AM180="Failed"),"Exclude from Completed Sales","Include in Completed Sales")</f>
        <v>Include in Completed Sales</v>
      </c>
      <c r="AE180" s="6">
        <f t="shared" si="41"/>
        <v>13126.96</v>
      </c>
      <c r="AF180" s="6" t="str">
        <f t="shared" si="42"/>
        <v/>
      </c>
      <c r="AG180" s="6">
        <v>10732.44</v>
      </c>
      <c r="AH180" s="6">
        <v>2394.52</v>
      </c>
      <c r="AI180" s="6">
        <f t="shared" si="43"/>
        <v>2394.5199999999986</v>
      </c>
      <c r="AJ180" s="11">
        <f t="shared" si="44"/>
        <v>0.18241237879905162</v>
      </c>
      <c r="AK180" s="11" t="str">
        <f t="shared" si="45"/>
        <v>September</v>
      </c>
      <c r="AL180" s="12">
        <f t="shared" si="46"/>
        <v>2024</v>
      </c>
      <c r="AM180" s="6" t="s">
        <v>54</v>
      </c>
      <c r="AN180" s="6" t="s">
        <v>55</v>
      </c>
      <c r="AO180" s="6" t="str">
        <f t="shared" si="38"/>
        <v>Completed</v>
      </c>
    </row>
    <row r="181" spans="1:41">
      <c r="A181" s="6" t="s">
        <v>997</v>
      </c>
      <c r="B181" s="7" t="s">
        <v>998</v>
      </c>
      <c r="C181" s="8">
        <v>45366</v>
      </c>
      <c r="D181" s="7" t="s">
        <v>999</v>
      </c>
      <c r="E181" s="9">
        <v>45370</v>
      </c>
      <c r="F181" s="9" t="str">
        <f t="shared" si="31"/>
        <v>Valid</v>
      </c>
      <c r="G181" s="10">
        <f t="shared" si="32"/>
        <v>4</v>
      </c>
      <c r="H181" s="10" t="str">
        <f t="shared" si="33"/>
        <v>Valid</v>
      </c>
      <c r="I181" s="6" t="s">
        <v>1000</v>
      </c>
      <c r="J181" s="6" t="s">
        <v>92</v>
      </c>
      <c r="K181" s="6" t="s">
        <v>92</v>
      </c>
      <c r="L181" s="6" t="s">
        <v>61</v>
      </c>
      <c r="M181" s="7" t="str">
        <f t="shared" si="34"/>
        <v>Small Business</v>
      </c>
      <c r="N181" s="6" t="s">
        <v>82</v>
      </c>
      <c r="O181" s="7" t="str">
        <f t="shared" si="35"/>
        <v>South</v>
      </c>
      <c r="P181" s="6" t="s">
        <v>359</v>
      </c>
      <c r="Q181" s="6" t="s">
        <v>360</v>
      </c>
      <c r="R181" s="6" t="s">
        <v>65</v>
      </c>
      <c r="S181" s="7" t="str">
        <f t="shared" si="36"/>
        <v>Furniture</v>
      </c>
      <c r="T181" s="6" t="s">
        <v>85</v>
      </c>
      <c r="U181" s="6" t="s">
        <v>1001</v>
      </c>
      <c r="V181" s="6" t="s">
        <v>87</v>
      </c>
      <c r="W181" s="7" t="str">
        <f t="shared" si="37"/>
        <v>Standard Class</v>
      </c>
      <c r="X181" s="6">
        <v>4</v>
      </c>
      <c r="Y181" s="6">
        <v>3186.3</v>
      </c>
      <c r="Z181" s="6">
        <v>0.25</v>
      </c>
      <c r="AA181" s="6">
        <f t="shared" si="39"/>
        <v>0.25</v>
      </c>
      <c r="AB181" s="6" t="str">
        <f t="shared" si="40"/>
        <v>Valid</v>
      </c>
      <c r="AC181" s="6">
        <v>9558.9</v>
      </c>
      <c r="AD181" s="6" t="str">
        <f>IF(OR(AO181="Cancelled",AM181="Failed"),"Exclude from Completed Sales","Include in Completed Sales")</f>
        <v>Include in Completed Sales</v>
      </c>
      <c r="AE181" s="6">
        <f t="shared" si="41"/>
        <v>9558.9000000000015</v>
      </c>
      <c r="AF181" s="6" t="str">
        <f t="shared" si="42"/>
        <v>Refunded</v>
      </c>
      <c r="AG181" s="6">
        <v>5516.76</v>
      </c>
      <c r="AH181" s="6">
        <v>4042.14</v>
      </c>
      <c r="AI181" s="6">
        <f t="shared" si="43"/>
        <v>4042.1400000000012</v>
      </c>
      <c r="AJ181" s="11">
        <f t="shared" si="44"/>
        <v>0.42286664783604816</v>
      </c>
      <c r="AK181" s="11" t="str">
        <f t="shared" si="45"/>
        <v>March</v>
      </c>
      <c r="AL181" s="12">
        <f t="shared" si="46"/>
        <v>2024</v>
      </c>
      <c r="AM181" s="6" t="s">
        <v>144</v>
      </c>
      <c r="AN181" s="6" t="s">
        <v>145</v>
      </c>
      <c r="AO181" s="6" t="str">
        <f t="shared" si="38"/>
        <v>Returned</v>
      </c>
    </row>
    <row r="182" spans="1:41">
      <c r="A182" s="6" t="s">
        <v>1002</v>
      </c>
      <c r="B182" s="7" t="s">
        <v>1003</v>
      </c>
      <c r="C182" s="8">
        <v>45530</v>
      </c>
      <c r="D182" s="7" t="s">
        <v>1004</v>
      </c>
      <c r="E182" s="9">
        <v>45530</v>
      </c>
      <c r="F182" s="9" t="str">
        <f t="shared" si="31"/>
        <v>Valid</v>
      </c>
      <c r="G182" s="10">
        <f t="shared" si="32"/>
        <v>0</v>
      </c>
      <c r="H182" s="10" t="str">
        <f t="shared" si="33"/>
        <v>Valid</v>
      </c>
      <c r="I182" s="6" t="s">
        <v>1005</v>
      </c>
      <c r="J182" s="6" t="s">
        <v>60</v>
      </c>
      <c r="K182" s="6" t="s">
        <v>60</v>
      </c>
      <c r="L182" s="6" t="s">
        <v>135</v>
      </c>
      <c r="M182" s="7" t="str">
        <f t="shared" si="34"/>
        <v>Home Office</v>
      </c>
      <c r="N182" s="6" t="s">
        <v>47</v>
      </c>
      <c r="O182" s="7" t="str">
        <f t="shared" si="35"/>
        <v>North</v>
      </c>
      <c r="P182" s="6" t="s">
        <v>194</v>
      </c>
      <c r="Q182" s="6" t="s">
        <v>195</v>
      </c>
      <c r="R182" s="6" t="s">
        <v>938</v>
      </c>
      <c r="S182" s="7" t="str">
        <f t="shared" si="36"/>
        <v>Office Supplies</v>
      </c>
      <c r="T182" s="6" t="s">
        <v>218</v>
      </c>
      <c r="U182" s="6" t="s">
        <v>1006</v>
      </c>
      <c r="V182" s="6" t="s">
        <v>76</v>
      </c>
      <c r="W182" s="7" t="str">
        <f t="shared" si="37"/>
        <v>First Class</v>
      </c>
      <c r="X182" s="6">
        <v>7</v>
      </c>
      <c r="Y182" s="6">
        <v>844.59</v>
      </c>
      <c r="Z182" s="6">
        <v>0.1</v>
      </c>
      <c r="AA182" s="6">
        <f t="shared" si="39"/>
        <v>0.1</v>
      </c>
      <c r="AB182" s="6" t="str">
        <f t="shared" si="40"/>
        <v>Valid</v>
      </c>
      <c r="AC182" s="6">
        <v>5320.92</v>
      </c>
      <c r="AD182" s="6" t="str">
        <f>IF(OR(AO182="Cancelled",AM182="Failed"),"Exclude from Completed Sales","Include in Completed Sales")</f>
        <v>Include in Completed Sales</v>
      </c>
      <c r="AE182" s="6">
        <f t="shared" si="41"/>
        <v>5320.9170000000004</v>
      </c>
      <c r="AF182" s="6" t="str">
        <f t="shared" si="42"/>
        <v/>
      </c>
      <c r="AG182" s="6">
        <v>3041.5</v>
      </c>
      <c r="AH182" s="6">
        <v>2279.42</v>
      </c>
      <c r="AI182" s="6">
        <f t="shared" si="43"/>
        <v>2279.4170000000004</v>
      </c>
      <c r="AJ182" s="11">
        <f t="shared" si="44"/>
        <v>0.42838800154183954</v>
      </c>
      <c r="AK182" s="11" t="str">
        <f t="shared" si="45"/>
        <v>August</v>
      </c>
      <c r="AL182" s="12">
        <f t="shared" si="46"/>
        <v>2024</v>
      </c>
      <c r="AM182" s="6" t="s">
        <v>54</v>
      </c>
      <c r="AN182" s="6" t="s">
        <v>55</v>
      </c>
      <c r="AO182" s="6" t="str">
        <f t="shared" si="38"/>
        <v>Completed</v>
      </c>
    </row>
    <row r="183" spans="1:41">
      <c r="A183" s="6" t="s">
        <v>1007</v>
      </c>
      <c r="B183" s="7" t="s">
        <v>1008</v>
      </c>
      <c r="C183" s="8">
        <v>45909</v>
      </c>
      <c r="D183" s="7" t="s">
        <v>1009</v>
      </c>
      <c r="E183" s="9">
        <v>45910</v>
      </c>
      <c r="F183" s="9" t="str">
        <f t="shared" si="31"/>
        <v>Valid</v>
      </c>
      <c r="G183" s="10">
        <f t="shared" si="32"/>
        <v>1</v>
      </c>
      <c r="H183" s="10" t="str">
        <f t="shared" si="33"/>
        <v>Valid</v>
      </c>
      <c r="I183" s="6" t="s">
        <v>1010</v>
      </c>
      <c r="J183" s="6" t="s">
        <v>162</v>
      </c>
      <c r="K183" s="6" t="s">
        <v>162</v>
      </c>
      <c r="L183" s="6" t="s">
        <v>135</v>
      </c>
      <c r="M183" s="7" t="str">
        <f t="shared" si="34"/>
        <v>Home Office</v>
      </c>
      <c r="N183" s="6" t="s">
        <v>82</v>
      </c>
      <c r="O183" s="7" t="str">
        <f t="shared" si="35"/>
        <v>South</v>
      </c>
      <c r="P183" s="6" t="s">
        <v>359</v>
      </c>
      <c r="Q183" s="6" t="s">
        <v>360</v>
      </c>
      <c r="R183" s="6" t="s">
        <v>50</v>
      </c>
      <c r="S183" s="7" t="str">
        <f t="shared" si="36"/>
        <v>Office Supplies</v>
      </c>
      <c r="T183" s="6" t="s">
        <v>74</v>
      </c>
      <c r="U183" s="6" t="s">
        <v>1011</v>
      </c>
      <c r="V183" s="6" t="s">
        <v>53</v>
      </c>
      <c r="W183" s="7" t="str">
        <f t="shared" si="37"/>
        <v>Second Class</v>
      </c>
      <c r="X183" s="6">
        <v>4</v>
      </c>
      <c r="Y183" s="6">
        <v>2551.4499999999998</v>
      </c>
      <c r="Z183" s="6">
        <v>0</v>
      </c>
      <c r="AA183" s="6">
        <f t="shared" si="39"/>
        <v>0</v>
      </c>
      <c r="AB183" s="6" t="str">
        <f t="shared" si="40"/>
        <v>Valid</v>
      </c>
      <c r="AC183" s="6">
        <v>10205.799999999999</v>
      </c>
      <c r="AD183" s="6" t="str">
        <f>IF(OR(AO183="Cancelled",AM183="Failed"),"Exclude from Completed Sales","Include in Completed Sales")</f>
        <v>Include in Completed Sales</v>
      </c>
      <c r="AE183" s="6">
        <f t="shared" si="41"/>
        <v>10205.799999999999</v>
      </c>
      <c r="AF183" s="6" t="str">
        <f t="shared" si="42"/>
        <v/>
      </c>
      <c r="AG183" s="6">
        <v>5986.31</v>
      </c>
      <c r="AH183" s="6">
        <v>4219.49</v>
      </c>
      <c r="AI183" s="6">
        <f t="shared" si="43"/>
        <v>4219.4899999999989</v>
      </c>
      <c r="AJ183" s="11">
        <f t="shared" si="44"/>
        <v>0.41344039663720622</v>
      </c>
      <c r="AK183" s="11" t="str">
        <f t="shared" si="45"/>
        <v>September</v>
      </c>
      <c r="AL183" s="12">
        <f t="shared" si="46"/>
        <v>2025</v>
      </c>
      <c r="AM183" s="6" t="s">
        <v>54</v>
      </c>
      <c r="AN183" s="6" t="s">
        <v>55</v>
      </c>
      <c r="AO183" s="6" t="str">
        <f t="shared" si="38"/>
        <v>Completed</v>
      </c>
    </row>
    <row r="184" spans="1:41">
      <c r="A184" s="6" t="s">
        <v>1012</v>
      </c>
      <c r="B184" s="7" t="s">
        <v>319</v>
      </c>
      <c r="C184" s="8">
        <v>45581</v>
      </c>
      <c r="D184" s="7" t="s">
        <v>319</v>
      </c>
      <c r="E184" s="9">
        <v>45581</v>
      </c>
      <c r="F184" s="9" t="str">
        <f t="shared" si="31"/>
        <v>Valid</v>
      </c>
      <c r="G184" s="10">
        <f t="shared" si="32"/>
        <v>0</v>
      </c>
      <c r="H184" s="10" t="str">
        <f t="shared" si="33"/>
        <v>Valid</v>
      </c>
      <c r="I184" s="6" t="s">
        <v>1013</v>
      </c>
      <c r="J184" s="6" t="s">
        <v>92</v>
      </c>
      <c r="K184" s="6" t="s">
        <v>92</v>
      </c>
      <c r="L184" s="6" t="s">
        <v>135</v>
      </c>
      <c r="M184" s="7" t="str">
        <f t="shared" si="34"/>
        <v>Home Office</v>
      </c>
      <c r="N184" s="6" t="s">
        <v>62</v>
      </c>
      <c r="O184" s="7" t="str">
        <f t="shared" si="35"/>
        <v>East</v>
      </c>
      <c r="P184" s="6" t="s">
        <v>206</v>
      </c>
      <c r="Q184" s="6" t="s">
        <v>207</v>
      </c>
      <c r="R184" s="6" t="s">
        <v>106</v>
      </c>
      <c r="S184" s="7" t="str">
        <f t="shared" si="36"/>
        <v>Technology</v>
      </c>
      <c r="T184" s="6" t="s">
        <v>402</v>
      </c>
      <c r="U184" s="6" t="s">
        <v>1014</v>
      </c>
      <c r="V184" s="6" t="s">
        <v>87</v>
      </c>
      <c r="W184" s="7" t="str">
        <f t="shared" si="37"/>
        <v>Standard Class</v>
      </c>
      <c r="X184" s="6">
        <v>7</v>
      </c>
      <c r="Y184" s="6">
        <v>775.77</v>
      </c>
      <c r="Z184" s="6">
        <v>0</v>
      </c>
      <c r="AA184" s="6">
        <f t="shared" si="39"/>
        <v>0</v>
      </c>
      <c r="AB184" s="6" t="str">
        <f t="shared" si="40"/>
        <v>Valid</v>
      </c>
      <c r="AC184" s="6">
        <v>5430.39</v>
      </c>
      <c r="AD184" s="6" t="str">
        <f>IF(OR(AO184="Cancelled",AM184="Failed"),"Exclude from Completed Sales","Include in Completed Sales")</f>
        <v>Include in Completed Sales</v>
      </c>
      <c r="AE184" s="6">
        <f t="shared" si="41"/>
        <v>5430.3899999999994</v>
      </c>
      <c r="AF184" s="6" t="str">
        <f t="shared" si="42"/>
        <v/>
      </c>
      <c r="AG184" s="6">
        <v>3707.66</v>
      </c>
      <c r="AH184" s="6">
        <v>1722.73</v>
      </c>
      <c r="AI184" s="6">
        <f t="shared" si="43"/>
        <v>1722.7299999999996</v>
      </c>
      <c r="AJ184" s="11">
        <f t="shared" si="44"/>
        <v>0.31723872502711586</v>
      </c>
      <c r="AK184" s="11" t="str">
        <f t="shared" si="45"/>
        <v>October</v>
      </c>
      <c r="AL184" s="12">
        <f t="shared" si="46"/>
        <v>2024</v>
      </c>
      <c r="AM184" s="6" t="s">
        <v>54</v>
      </c>
      <c r="AN184" s="6" t="s">
        <v>55</v>
      </c>
      <c r="AO184" s="6" t="str">
        <f t="shared" si="38"/>
        <v>Completed</v>
      </c>
    </row>
    <row r="185" spans="1:41">
      <c r="A185" s="6" t="s">
        <v>1015</v>
      </c>
      <c r="B185" s="7" t="s">
        <v>1016</v>
      </c>
      <c r="C185" s="8">
        <v>45832</v>
      </c>
      <c r="D185" s="7" t="s">
        <v>1017</v>
      </c>
      <c r="E185" s="9">
        <v>45835</v>
      </c>
      <c r="F185" s="9" t="str">
        <f t="shared" si="31"/>
        <v>Valid</v>
      </c>
      <c r="G185" s="10">
        <f t="shared" si="32"/>
        <v>3</v>
      </c>
      <c r="H185" s="10" t="str">
        <f t="shared" si="33"/>
        <v>Valid</v>
      </c>
      <c r="I185" s="6" t="s">
        <v>1018</v>
      </c>
      <c r="J185" s="6" t="s">
        <v>103</v>
      </c>
      <c r="K185" s="6" t="s">
        <v>103</v>
      </c>
      <c r="L185" s="6" t="s">
        <v>135</v>
      </c>
      <c r="M185" s="7" t="str">
        <f t="shared" si="34"/>
        <v>Home Office</v>
      </c>
      <c r="N185" s="6" t="s">
        <v>82</v>
      </c>
      <c r="O185" s="7" t="str">
        <f t="shared" si="35"/>
        <v>South</v>
      </c>
      <c r="P185" s="6" t="s">
        <v>83</v>
      </c>
      <c r="Q185" s="6" t="s">
        <v>84</v>
      </c>
      <c r="R185" s="6" t="s">
        <v>106</v>
      </c>
      <c r="S185" s="7" t="str">
        <f t="shared" si="36"/>
        <v>Technology</v>
      </c>
      <c r="T185" s="6" t="s">
        <v>114</v>
      </c>
      <c r="U185" s="6" t="s">
        <v>1019</v>
      </c>
      <c r="V185" s="6" t="s">
        <v>87</v>
      </c>
      <c r="W185" s="7" t="str">
        <f t="shared" si="37"/>
        <v>Standard Class</v>
      </c>
      <c r="X185" s="6">
        <v>7</v>
      </c>
      <c r="Y185" s="6">
        <v>2304.86</v>
      </c>
      <c r="Z185" s="6">
        <v>0.2</v>
      </c>
      <c r="AA185" s="6">
        <f t="shared" si="39"/>
        <v>0.2</v>
      </c>
      <c r="AB185" s="6" t="str">
        <f t="shared" si="40"/>
        <v>Valid</v>
      </c>
      <c r="AC185" s="6">
        <v>12907.22</v>
      </c>
      <c r="AD185" s="6" t="str">
        <f>IF(OR(AO185="Cancelled",AM185="Failed"),"Exclude from Completed Sales","Include in Completed Sales")</f>
        <v>Include in Completed Sales</v>
      </c>
      <c r="AE185" s="6">
        <f t="shared" si="41"/>
        <v>12907.216</v>
      </c>
      <c r="AF185" s="6" t="str">
        <f t="shared" si="42"/>
        <v/>
      </c>
      <c r="AG185" s="6">
        <v>8327.89</v>
      </c>
      <c r="AH185" s="6">
        <v>4579.33</v>
      </c>
      <c r="AI185" s="6">
        <f t="shared" si="43"/>
        <v>4579.3260000000009</v>
      </c>
      <c r="AJ185" s="11">
        <f t="shared" si="44"/>
        <v>0.3547880503433119</v>
      </c>
      <c r="AK185" s="11" t="str">
        <f t="shared" si="45"/>
        <v>June</v>
      </c>
      <c r="AL185" s="12">
        <f t="shared" si="46"/>
        <v>2025</v>
      </c>
      <c r="AM185" s="6" t="s">
        <v>54</v>
      </c>
      <c r="AN185" s="6" t="s">
        <v>145</v>
      </c>
      <c r="AO185" s="6" t="str">
        <f t="shared" si="38"/>
        <v>Returned</v>
      </c>
    </row>
    <row r="186" spans="1:41">
      <c r="A186" s="6" t="s">
        <v>1020</v>
      </c>
      <c r="B186" s="7" t="s">
        <v>1021</v>
      </c>
      <c r="C186" s="8">
        <v>45384</v>
      </c>
      <c r="D186" s="7" t="s">
        <v>368</v>
      </c>
      <c r="E186" s="9">
        <v>45388</v>
      </c>
      <c r="F186" s="9" t="str">
        <f t="shared" si="31"/>
        <v>Valid</v>
      </c>
      <c r="G186" s="10">
        <f t="shared" si="32"/>
        <v>4</v>
      </c>
      <c r="H186" s="10" t="str">
        <f t="shared" si="33"/>
        <v>Valid</v>
      </c>
      <c r="I186" s="6" t="s">
        <v>1022</v>
      </c>
      <c r="J186" s="6" t="s">
        <v>103</v>
      </c>
      <c r="K186" s="6" t="s">
        <v>103</v>
      </c>
      <c r="L186" s="6" t="s">
        <v>128</v>
      </c>
      <c r="M186" s="7" t="str">
        <f t="shared" si="34"/>
        <v>Corporate</v>
      </c>
      <c r="N186" s="6" t="s">
        <v>93</v>
      </c>
      <c r="O186" s="7" t="str">
        <f t="shared" si="35"/>
        <v>West</v>
      </c>
      <c r="P186" s="6" t="s">
        <v>104</v>
      </c>
      <c r="Q186" s="6" t="s">
        <v>105</v>
      </c>
      <c r="R186" s="6" t="s">
        <v>65</v>
      </c>
      <c r="S186" s="7" t="str">
        <f t="shared" si="36"/>
        <v>Furniture</v>
      </c>
      <c r="T186" s="6" t="s">
        <v>224</v>
      </c>
      <c r="U186" s="6" t="s">
        <v>1023</v>
      </c>
      <c r="V186" s="6" t="s">
        <v>87</v>
      </c>
      <c r="W186" s="7" t="str">
        <f t="shared" si="37"/>
        <v>Standard Class</v>
      </c>
      <c r="X186" s="6">
        <v>2</v>
      </c>
      <c r="Y186" s="6">
        <v>888.98</v>
      </c>
      <c r="Z186" s="6">
        <v>0</v>
      </c>
      <c r="AA186" s="6">
        <f t="shared" si="39"/>
        <v>0</v>
      </c>
      <c r="AB186" s="6" t="str">
        <f t="shared" si="40"/>
        <v>Valid</v>
      </c>
      <c r="AC186" s="6">
        <v>1777.96</v>
      </c>
      <c r="AD186" s="6" t="str">
        <f>IF(OR(AO186="Cancelled",AM186="Failed"),"Exclude from Completed Sales","Include in Completed Sales")</f>
        <v>Include in Completed Sales</v>
      </c>
      <c r="AE186" s="6">
        <f t="shared" si="41"/>
        <v>1777.96</v>
      </c>
      <c r="AF186" s="6" t="str">
        <f t="shared" si="42"/>
        <v>Refunded</v>
      </c>
      <c r="AG186" s="6">
        <v>1021.16</v>
      </c>
      <c r="AH186" s="6">
        <v>756.8</v>
      </c>
      <c r="AI186" s="6">
        <f t="shared" si="43"/>
        <v>756.80000000000007</v>
      </c>
      <c r="AJ186" s="11">
        <f t="shared" si="44"/>
        <v>0.42565637022205227</v>
      </c>
      <c r="AK186" s="11" t="str">
        <f t="shared" si="45"/>
        <v>April</v>
      </c>
      <c r="AL186" s="12">
        <f t="shared" si="46"/>
        <v>2024</v>
      </c>
      <c r="AM186" s="6" t="s">
        <v>144</v>
      </c>
      <c r="AN186" s="6" t="s">
        <v>145</v>
      </c>
      <c r="AO186" s="6" t="str">
        <f t="shared" si="38"/>
        <v>Returned</v>
      </c>
    </row>
    <row r="187" spans="1:41">
      <c r="A187" s="6" t="s">
        <v>1024</v>
      </c>
      <c r="B187" s="7" t="s">
        <v>124</v>
      </c>
      <c r="C187" s="8">
        <v>45601</v>
      </c>
      <c r="D187" s="7" t="s">
        <v>1025</v>
      </c>
      <c r="E187" s="9">
        <v>45609</v>
      </c>
      <c r="F187" s="9" t="str">
        <f t="shared" si="31"/>
        <v>Valid</v>
      </c>
      <c r="G187" s="10">
        <f t="shared" si="32"/>
        <v>8</v>
      </c>
      <c r="H187" s="10" t="str">
        <f t="shared" si="33"/>
        <v>Valid</v>
      </c>
      <c r="I187" s="6" t="s">
        <v>1026</v>
      </c>
      <c r="J187" s="6" t="s">
        <v>81</v>
      </c>
      <c r="K187" s="6" t="s">
        <v>81</v>
      </c>
      <c r="L187" s="6" t="s">
        <v>46</v>
      </c>
      <c r="M187" s="7" t="str">
        <f t="shared" si="34"/>
        <v>Consumer</v>
      </c>
      <c r="N187" s="6"/>
      <c r="O187" s="7" t="str">
        <f t="shared" si="35"/>
        <v>Unknown</v>
      </c>
      <c r="P187" s="6" t="s">
        <v>174</v>
      </c>
      <c r="Q187" s="6" t="s">
        <v>175</v>
      </c>
      <c r="R187" s="6" t="s">
        <v>50</v>
      </c>
      <c r="S187" s="7" t="str">
        <f t="shared" si="36"/>
        <v>Office Supplies</v>
      </c>
      <c r="T187" s="6" t="s">
        <v>129</v>
      </c>
      <c r="U187" s="6" t="s">
        <v>1027</v>
      </c>
      <c r="V187" s="6" t="s">
        <v>53</v>
      </c>
      <c r="W187" s="7" t="str">
        <f t="shared" si="37"/>
        <v>Second Class</v>
      </c>
      <c r="X187" s="6">
        <v>2</v>
      </c>
      <c r="Y187" s="6">
        <v>1003.17</v>
      </c>
      <c r="Z187" s="6">
        <v>0.2</v>
      </c>
      <c r="AA187" s="6">
        <f t="shared" si="39"/>
        <v>0.2</v>
      </c>
      <c r="AB187" s="6" t="str">
        <f t="shared" si="40"/>
        <v>Valid</v>
      </c>
      <c r="AC187" s="6">
        <v>1605.07</v>
      </c>
      <c r="AD187" s="6" t="str">
        <f>IF(OR(AO187="Cancelled",AM187="Failed"),"Exclude from Completed Sales","Include in Completed Sales")</f>
        <v>Include in Completed Sales</v>
      </c>
      <c r="AE187" s="6">
        <f t="shared" si="41"/>
        <v>1605.0720000000001</v>
      </c>
      <c r="AF187" s="6" t="str">
        <f t="shared" si="42"/>
        <v/>
      </c>
      <c r="AG187" s="6">
        <v>1337.28</v>
      </c>
      <c r="AH187" s="6">
        <v>267.79000000000002</v>
      </c>
      <c r="AI187" s="6">
        <f t="shared" si="43"/>
        <v>267.79200000000014</v>
      </c>
      <c r="AJ187" s="11">
        <f t="shared" si="44"/>
        <v>0.16684111366966722</v>
      </c>
      <c r="AK187" s="11" t="str">
        <f t="shared" si="45"/>
        <v>November</v>
      </c>
      <c r="AL187" s="12">
        <f t="shared" si="46"/>
        <v>2024</v>
      </c>
      <c r="AM187" s="6" t="s">
        <v>54</v>
      </c>
      <c r="AN187" s="6" t="s">
        <v>55</v>
      </c>
      <c r="AO187" s="6" t="str">
        <f t="shared" si="38"/>
        <v>Completed</v>
      </c>
    </row>
    <row r="188" spans="1:41">
      <c r="A188" s="6" t="s">
        <v>1028</v>
      </c>
      <c r="B188" s="7" t="s">
        <v>352</v>
      </c>
      <c r="C188" s="8">
        <v>45492</v>
      </c>
      <c r="D188" s="7" t="s">
        <v>1029</v>
      </c>
      <c r="E188" s="9">
        <v>45493</v>
      </c>
      <c r="F188" s="9" t="str">
        <f t="shared" si="31"/>
        <v>Valid</v>
      </c>
      <c r="G188" s="10">
        <f t="shared" si="32"/>
        <v>1</v>
      </c>
      <c r="H188" s="10" t="str">
        <f t="shared" si="33"/>
        <v>Valid</v>
      </c>
      <c r="I188" s="6" t="s">
        <v>385</v>
      </c>
      <c r="J188" s="6" t="s">
        <v>103</v>
      </c>
      <c r="K188" s="6" t="s">
        <v>103</v>
      </c>
      <c r="L188" s="6" t="s">
        <v>46</v>
      </c>
      <c r="M188" s="7" t="str">
        <f t="shared" si="34"/>
        <v>Consumer</v>
      </c>
      <c r="N188" s="6" t="s">
        <v>82</v>
      </c>
      <c r="O188" s="7" t="str">
        <f t="shared" si="35"/>
        <v>South</v>
      </c>
      <c r="P188" s="6" t="s">
        <v>359</v>
      </c>
      <c r="Q188" s="6" t="s">
        <v>360</v>
      </c>
      <c r="R188" s="6" t="s">
        <v>65</v>
      </c>
      <c r="S188" s="7" t="str">
        <f t="shared" si="36"/>
        <v>Furniture</v>
      </c>
      <c r="T188" s="6" t="s">
        <v>66</v>
      </c>
      <c r="U188" s="6" t="s">
        <v>1030</v>
      </c>
      <c r="V188" s="6" t="s">
        <v>76</v>
      </c>
      <c r="W188" s="7" t="str">
        <f t="shared" si="37"/>
        <v>First Class</v>
      </c>
      <c r="X188" s="6">
        <v>7</v>
      </c>
      <c r="Y188" s="6">
        <v>3608.43</v>
      </c>
      <c r="Z188" s="6">
        <v>0.05</v>
      </c>
      <c r="AA188" s="6">
        <f t="shared" si="39"/>
        <v>0.05</v>
      </c>
      <c r="AB188" s="6" t="str">
        <f t="shared" si="40"/>
        <v>Valid</v>
      </c>
      <c r="AC188" s="6">
        <v>23996.06</v>
      </c>
      <c r="AD188" s="6" t="str">
        <f>IF(OR(AO188="Cancelled",AM188="Failed"),"Exclude from Completed Sales","Include in Completed Sales")</f>
        <v>Include in Completed Sales</v>
      </c>
      <c r="AE188" s="6">
        <f t="shared" si="41"/>
        <v>23996.059499999996</v>
      </c>
      <c r="AF188" s="6" t="str">
        <f t="shared" si="42"/>
        <v/>
      </c>
      <c r="AG188" s="6">
        <v>20167.28</v>
      </c>
      <c r="AH188" s="6">
        <v>3828.78</v>
      </c>
      <c r="AI188" s="6">
        <f t="shared" si="43"/>
        <v>3828.7794999999969</v>
      </c>
      <c r="AJ188" s="11">
        <f t="shared" si="44"/>
        <v>0.15955867670689838</v>
      </c>
      <c r="AK188" s="11" t="str">
        <f t="shared" si="45"/>
        <v>July</v>
      </c>
      <c r="AL188" s="12">
        <f t="shared" si="46"/>
        <v>2024</v>
      </c>
      <c r="AM188" s="6" t="s">
        <v>54</v>
      </c>
      <c r="AN188" s="6" t="s">
        <v>55</v>
      </c>
      <c r="AO188" s="6" t="str">
        <f t="shared" si="38"/>
        <v>Completed</v>
      </c>
    </row>
    <row r="189" spans="1:41">
      <c r="A189" s="6" t="s">
        <v>1031</v>
      </c>
      <c r="B189" s="7" t="s">
        <v>1032</v>
      </c>
      <c r="C189" s="8">
        <v>45778</v>
      </c>
      <c r="D189" s="7" t="s">
        <v>1033</v>
      </c>
      <c r="E189" s="9">
        <v>45779</v>
      </c>
      <c r="F189" s="9" t="str">
        <f t="shared" si="31"/>
        <v>Valid</v>
      </c>
      <c r="G189" s="10">
        <f t="shared" si="32"/>
        <v>1</v>
      </c>
      <c r="H189" s="10" t="str">
        <f t="shared" si="33"/>
        <v>Valid</v>
      </c>
      <c r="I189" s="6" t="s">
        <v>1034</v>
      </c>
      <c r="J189" s="6" t="s">
        <v>60</v>
      </c>
      <c r="K189" s="6" t="s">
        <v>60</v>
      </c>
      <c r="L189" s="6" t="s">
        <v>46</v>
      </c>
      <c r="M189" s="7" t="str">
        <f t="shared" si="34"/>
        <v>Consumer</v>
      </c>
      <c r="N189" s="6" t="s">
        <v>93</v>
      </c>
      <c r="O189" s="7" t="str">
        <f t="shared" si="35"/>
        <v>West</v>
      </c>
      <c r="P189" s="6" t="s">
        <v>104</v>
      </c>
      <c r="Q189" s="6" t="s">
        <v>105</v>
      </c>
      <c r="R189" s="6" t="s">
        <v>65</v>
      </c>
      <c r="S189" s="7" t="str">
        <f t="shared" si="36"/>
        <v>Furniture</v>
      </c>
      <c r="T189" s="6" t="s">
        <v>96</v>
      </c>
      <c r="U189" s="6" t="s">
        <v>1035</v>
      </c>
      <c r="V189" s="6" t="s">
        <v>68</v>
      </c>
      <c r="W189" s="7" t="str">
        <f t="shared" si="37"/>
        <v>Same Day</v>
      </c>
      <c r="X189" s="6">
        <v>3</v>
      </c>
      <c r="Y189" s="6">
        <v>2905.74</v>
      </c>
      <c r="Z189" s="6">
        <v>0</v>
      </c>
      <c r="AA189" s="6">
        <f t="shared" si="39"/>
        <v>0</v>
      </c>
      <c r="AB189" s="6" t="str">
        <f t="shared" si="40"/>
        <v>Valid</v>
      </c>
      <c r="AC189" s="6">
        <v>8717.2199999999993</v>
      </c>
      <c r="AD189" s="6" t="str">
        <f>IF(OR(AO189="Cancelled",AM189="Failed"),"Exclude from Completed Sales","Include in Completed Sales")</f>
        <v>Include in Completed Sales</v>
      </c>
      <c r="AE189" s="6">
        <f t="shared" si="41"/>
        <v>8717.2199999999993</v>
      </c>
      <c r="AF189" s="6" t="str">
        <f t="shared" si="42"/>
        <v/>
      </c>
      <c r="AG189" s="6">
        <v>6215.96</v>
      </c>
      <c r="AH189" s="6">
        <v>2501.2600000000002</v>
      </c>
      <c r="AI189" s="6">
        <f t="shared" si="43"/>
        <v>2501.2599999999993</v>
      </c>
      <c r="AJ189" s="11">
        <f t="shared" si="44"/>
        <v>0.28693321953558582</v>
      </c>
      <c r="AK189" s="11" t="str">
        <f t="shared" si="45"/>
        <v>May</v>
      </c>
      <c r="AL189" s="12">
        <f t="shared" si="46"/>
        <v>2025</v>
      </c>
      <c r="AM189" s="6" t="s">
        <v>54</v>
      </c>
      <c r="AN189" s="6" t="s">
        <v>145</v>
      </c>
      <c r="AO189" s="6" t="str">
        <f t="shared" si="38"/>
        <v>Returned</v>
      </c>
    </row>
    <row r="190" spans="1:41">
      <c r="A190" s="6" t="s">
        <v>1036</v>
      </c>
      <c r="B190" s="7" t="s">
        <v>1037</v>
      </c>
      <c r="C190" s="8">
        <v>45798</v>
      </c>
      <c r="D190" s="7" t="s">
        <v>1038</v>
      </c>
      <c r="E190" s="9">
        <v>45805</v>
      </c>
      <c r="F190" s="9" t="str">
        <f t="shared" si="31"/>
        <v>Valid</v>
      </c>
      <c r="G190" s="10">
        <f t="shared" si="32"/>
        <v>7</v>
      </c>
      <c r="H190" s="10" t="str">
        <f t="shared" si="33"/>
        <v>Valid</v>
      </c>
      <c r="I190" s="6" t="s">
        <v>1039</v>
      </c>
      <c r="J190" s="6" t="s">
        <v>162</v>
      </c>
      <c r="K190" s="6" t="s">
        <v>162</v>
      </c>
      <c r="L190" s="6" t="s">
        <v>128</v>
      </c>
      <c r="M190" s="7" t="str">
        <f t="shared" si="34"/>
        <v>Corporate</v>
      </c>
      <c r="N190" s="6" t="s">
        <v>62</v>
      </c>
      <c r="O190" s="7" t="str">
        <f t="shared" si="35"/>
        <v>East</v>
      </c>
      <c r="P190" s="6" t="s">
        <v>141</v>
      </c>
      <c r="Q190" s="6" t="s">
        <v>142</v>
      </c>
      <c r="R190" s="6" t="s">
        <v>65</v>
      </c>
      <c r="S190" s="7" t="str">
        <f t="shared" si="36"/>
        <v>Furniture</v>
      </c>
      <c r="T190" s="6" t="s">
        <v>224</v>
      </c>
      <c r="U190" s="6" t="s">
        <v>1040</v>
      </c>
      <c r="V190" s="6" t="s">
        <v>68</v>
      </c>
      <c r="W190" s="7" t="str">
        <f t="shared" si="37"/>
        <v>Same Day</v>
      </c>
      <c r="X190" s="6">
        <v>2</v>
      </c>
      <c r="Y190" s="6">
        <v>3559.57</v>
      </c>
      <c r="Z190" s="6">
        <v>0.1</v>
      </c>
      <c r="AA190" s="6">
        <f t="shared" si="39"/>
        <v>0.1</v>
      </c>
      <c r="AB190" s="6" t="str">
        <f t="shared" si="40"/>
        <v>Valid</v>
      </c>
      <c r="AC190" s="6">
        <v>6553.95</v>
      </c>
      <c r="AD190" s="6" t="str">
        <f>IF(OR(AO190="Cancelled",AM190="Failed"),"Exclude from Completed Sales","Include in Completed Sales")</f>
        <v>Include in Completed Sales</v>
      </c>
      <c r="AE190" s="6">
        <f t="shared" si="41"/>
        <v>6407.2260000000006</v>
      </c>
      <c r="AF190" s="6" t="str">
        <f t="shared" si="42"/>
        <v/>
      </c>
      <c r="AG190" s="6">
        <v>4923.09</v>
      </c>
      <c r="AH190" s="6">
        <v>1484.14</v>
      </c>
      <c r="AI190" s="6">
        <f t="shared" si="43"/>
        <v>1484.1360000000004</v>
      </c>
      <c r="AJ190" s="11">
        <f t="shared" si="44"/>
        <v>0.23163471992403581</v>
      </c>
      <c r="AK190" s="11" t="str">
        <f t="shared" si="45"/>
        <v>May</v>
      </c>
      <c r="AL190" s="12">
        <f t="shared" si="46"/>
        <v>2025</v>
      </c>
      <c r="AM190" s="6" t="s">
        <v>54</v>
      </c>
      <c r="AN190" s="6" t="s">
        <v>55</v>
      </c>
      <c r="AO190" s="6" t="str">
        <f t="shared" si="38"/>
        <v>Completed</v>
      </c>
    </row>
    <row r="191" spans="1:41">
      <c r="A191" s="6" t="s">
        <v>1041</v>
      </c>
      <c r="B191" s="7" t="s">
        <v>1042</v>
      </c>
      <c r="C191" s="8">
        <v>45783</v>
      </c>
      <c r="D191" s="7" t="s">
        <v>1043</v>
      </c>
      <c r="E191" s="9">
        <v>45784</v>
      </c>
      <c r="F191" s="9" t="str">
        <f t="shared" si="31"/>
        <v>Valid</v>
      </c>
      <c r="G191" s="10">
        <f t="shared" si="32"/>
        <v>1</v>
      </c>
      <c r="H191" s="10" t="str">
        <f t="shared" si="33"/>
        <v>Valid</v>
      </c>
      <c r="I191" s="6" t="s">
        <v>1044</v>
      </c>
      <c r="J191" s="6" t="s">
        <v>81</v>
      </c>
      <c r="K191" s="6" t="s">
        <v>81</v>
      </c>
      <c r="L191" s="6" t="s">
        <v>46</v>
      </c>
      <c r="M191" s="7" t="str">
        <f t="shared" si="34"/>
        <v>Consumer</v>
      </c>
      <c r="N191" s="6" t="s">
        <v>93</v>
      </c>
      <c r="O191" s="7" t="str">
        <f t="shared" si="35"/>
        <v>West</v>
      </c>
      <c r="P191" s="6" t="s">
        <v>48</v>
      </c>
      <c r="Q191" s="6" t="s">
        <v>155</v>
      </c>
      <c r="R191" s="6" t="s">
        <v>65</v>
      </c>
      <c r="S191" s="7" t="str">
        <f t="shared" si="36"/>
        <v>Furniture</v>
      </c>
      <c r="T191" s="6" t="s">
        <v>224</v>
      </c>
      <c r="U191" s="6" t="s">
        <v>1045</v>
      </c>
      <c r="V191" s="6" t="s">
        <v>76</v>
      </c>
      <c r="W191" s="7" t="str">
        <f t="shared" si="37"/>
        <v>First Class</v>
      </c>
      <c r="X191" s="6">
        <v>9</v>
      </c>
      <c r="Y191" s="6">
        <v>3318.24</v>
      </c>
      <c r="Z191" s="6"/>
      <c r="AA191" s="6">
        <f t="shared" si="39"/>
        <v>0</v>
      </c>
      <c r="AB191" s="6" t="str">
        <f t="shared" si="40"/>
        <v>Valid</v>
      </c>
      <c r="AC191" s="6">
        <v>25384.54</v>
      </c>
      <c r="AD191" s="6" t="str">
        <f>IF(OR(AO191="Cancelled",AM191="Failed"),"Exclude from Completed Sales","Include in Completed Sales")</f>
        <v>Include in Completed Sales</v>
      </c>
      <c r="AE191" s="6">
        <f t="shared" si="41"/>
        <v>29864.159999999996</v>
      </c>
      <c r="AF191" s="6" t="str">
        <f t="shared" si="42"/>
        <v/>
      </c>
      <c r="AG191" s="6">
        <v>16872.39</v>
      </c>
      <c r="AH191" s="6">
        <v>8512.15</v>
      </c>
      <c r="AI191" s="6">
        <f t="shared" si="43"/>
        <v>12991.769999999997</v>
      </c>
      <c r="AJ191" s="11">
        <f t="shared" si="44"/>
        <v>0.43502881045373448</v>
      </c>
      <c r="AK191" s="11" t="str">
        <f t="shared" si="45"/>
        <v>May</v>
      </c>
      <c r="AL191" s="12">
        <f t="shared" si="46"/>
        <v>2025</v>
      </c>
      <c r="AM191" s="6" t="s">
        <v>54</v>
      </c>
      <c r="AN191" s="6" t="s">
        <v>1046</v>
      </c>
      <c r="AO191" s="6" t="str">
        <f t="shared" si="38"/>
        <v>Completed</v>
      </c>
    </row>
    <row r="192" spans="1:41">
      <c r="A192" s="6" t="s">
        <v>1047</v>
      </c>
      <c r="B192" s="7" t="s">
        <v>1048</v>
      </c>
      <c r="C192" s="8">
        <v>45767</v>
      </c>
      <c r="D192" s="7" t="s">
        <v>1049</v>
      </c>
      <c r="E192" s="9">
        <v>45768</v>
      </c>
      <c r="F192" s="9" t="str">
        <f t="shared" si="31"/>
        <v>Valid</v>
      </c>
      <c r="G192" s="10">
        <f t="shared" si="32"/>
        <v>1</v>
      </c>
      <c r="H192" s="10" t="str">
        <f t="shared" si="33"/>
        <v>Valid</v>
      </c>
      <c r="I192" s="6" t="s">
        <v>1050</v>
      </c>
      <c r="J192" s="6" t="s">
        <v>127</v>
      </c>
      <c r="K192" s="6" t="s">
        <v>127</v>
      </c>
      <c r="L192" s="6" t="s">
        <v>46</v>
      </c>
      <c r="M192" s="7" t="str">
        <f t="shared" si="34"/>
        <v>Consumer</v>
      </c>
      <c r="N192" s="6" t="s">
        <v>82</v>
      </c>
      <c r="O192" s="7" t="str">
        <f t="shared" si="35"/>
        <v>South</v>
      </c>
      <c r="P192" s="6" t="s">
        <v>359</v>
      </c>
      <c r="Q192" s="6" t="s">
        <v>360</v>
      </c>
      <c r="R192" s="6" t="s">
        <v>50</v>
      </c>
      <c r="S192" s="7" t="str">
        <f t="shared" si="36"/>
        <v>Office Supplies</v>
      </c>
      <c r="T192" s="6" t="s">
        <v>176</v>
      </c>
      <c r="U192" s="6" t="s">
        <v>1051</v>
      </c>
      <c r="V192" s="6" t="s">
        <v>76</v>
      </c>
      <c r="W192" s="7" t="str">
        <f t="shared" si="37"/>
        <v>First Class</v>
      </c>
      <c r="X192" s="6">
        <v>3</v>
      </c>
      <c r="Y192" s="6">
        <v>540.09</v>
      </c>
      <c r="Z192" s="6">
        <v>0.1</v>
      </c>
      <c r="AA192" s="6">
        <f t="shared" si="39"/>
        <v>0.1</v>
      </c>
      <c r="AB192" s="6" t="str">
        <f t="shared" si="40"/>
        <v>Valid</v>
      </c>
      <c r="AC192" s="6">
        <v>1458.24</v>
      </c>
      <c r="AD192" s="6" t="str">
        <f>IF(OR(AO192="Cancelled",AM192="Failed"),"Exclude from Completed Sales","Include in Completed Sales")</f>
        <v>Include in Completed Sales</v>
      </c>
      <c r="AE192" s="6">
        <f t="shared" si="41"/>
        <v>1458.2429999999999</v>
      </c>
      <c r="AF192" s="6" t="str">
        <f t="shared" si="42"/>
        <v/>
      </c>
      <c r="AG192" s="6">
        <v>943.32</v>
      </c>
      <c r="AH192" s="6">
        <v>514.91999999999996</v>
      </c>
      <c r="AI192" s="6">
        <f t="shared" si="43"/>
        <v>514.92299999999989</v>
      </c>
      <c r="AJ192" s="11">
        <f t="shared" si="44"/>
        <v>0.35311192990468659</v>
      </c>
      <c r="AK192" s="11" t="str">
        <f t="shared" si="45"/>
        <v>April</v>
      </c>
      <c r="AL192" s="12">
        <f t="shared" si="46"/>
        <v>2025</v>
      </c>
      <c r="AM192" s="6" t="s">
        <v>54</v>
      </c>
      <c r="AN192" s="6" t="s">
        <v>55</v>
      </c>
      <c r="AO192" s="6" t="str">
        <f t="shared" si="38"/>
        <v>Completed</v>
      </c>
    </row>
    <row r="193" spans="1:41">
      <c r="A193" s="6" t="s">
        <v>1052</v>
      </c>
      <c r="B193" s="7" t="s">
        <v>1053</v>
      </c>
      <c r="C193" s="8">
        <v>45584</v>
      </c>
      <c r="D193" s="7" t="s">
        <v>665</v>
      </c>
      <c r="E193" s="9">
        <v>45589</v>
      </c>
      <c r="F193" s="9" t="str">
        <f t="shared" si="31"/>
        <v>Valid</v>
      </c>
      <c r="G193" s="10">
        <f t="shared" si="32"/>
        <v>5</v>
      </c>
      <c r="H193" s="10" t="str">
        <f t="shared" si="33"/>
        <v>Valid</v>
      </c>
      <c r="I193" s="6" t="s">
        <v>1054</v>
      </c>
      <c r="J193" s="6" t="s">
        <v>188</v>
      </c>
      <c r="K193" s="6" t="s">
        <v>188</v>
      </c>
      <c r="L193" s="6" t="s">
        <v>61</v>
      </c>
      <c r="M193" s="7" t="str">
        <f t="shared" si="34"/>
        <v>Small Business</v>
      </c>
      <c r="N193" s="6" t="s">
        <v>82</v>
      </c>
      <c r="O193" s="7" t="str">
        <f t="shared" si="35"/>
        <v>South</v>
      </c>
      <c r="P193" s="6" t="s">
        <v>359</v>
      </c>
      <c r="Q193" s="6" t="s">
        <v>360</v>
      </c>
      <c r="R193" s="6" t="s">
        <v>65</v>
      </c>
      <c r="S193" s="7" t="str">
        <f t="shared" si="36"/>
        <v>Furniture</v>
      </c>
      <c r="T193" s="6" t="s">
        <v>224</v>
      </c>
      <c r="U193" s="6" t="s">
        <v>1055</v>
      </c>
      <c r="V193" s="6" t="s">
        <v>53</v>
      </c>
      <c r="W193" s="7" t="str">
        <f t="shared" si="37"/>
        <v>Second Class</v>
      </c>
      <c r="X193" s="6">
        <v>6</v>
      </c>
      <c r="Y193" s="6">
        <v>4308.3999999999996</v>
      </c>
      <c r="Z193" s="6">
        <v>0.65</v>
      </c>
      <c r="AA193" s="6">
        <f t="shared" si="39"/>
        <v>0.65</v>
      </c>
      <c r="AB193" s="6" t="str">
        <f t="shared" si="40"/>
        <v>Valid</v>
      </c>
      <c r="AC193" s="6">
        <v>25850.400000000001</v>
      </c>
      <c r="AD193" s="6" t="str">
        <f>IF(OR(AO193="Cancelled",AM193="Failed"),"Exclude from Completed Sales","Include in Completed Sales")</f>
        <v>Include in Completed Sales</v>
      </c>
      <c r="AE193" s="6">
        <f t="shared" si="41"/>
        <v>9047.64</v>
      </c>
      <c r="AF193" s="6" t="str">
        <f t="shared" si="42"/>
        <v/>
      </c>
      <c r="AG193" s="6">
        <v>19397.68</v>
      </c>
      <c r="AH193" s="6">
        <v>6452.72</v>
      </c>
      <c r="AI193" s="6">
        <f t="shared" si="43"/>
        <v>-10350.040000000001</v>
      </c>
      <c r="AJ193" s="11">
        <f t="shared" si="44"/>
        <v>-1.1439491403283069</v>
      </c>
      <c r="AK193" s="11" t="str">
        <f t="shared" si="45"/>
        <v>October</v>
      </c>
      <c r="AL193" s="12">
        <f t="shared" si="46"/>
        <v>2024</v>
      </c>
      <c r="AM193" s="6" t="s">
        <v>54</v>
      </c>
      <c r="AN193" s="6" t="s">
        <v>55</v>
      </c>
      <c r="AO193" s="6" t="str">
        <f t="shared" si="38"/>
        <v>Completed</v>
      </c>
    </row>
    <row r="194" spans="1:41">
      <c r="A194" s="6" t="s">
        <v>1056</v>
      </c>
      <c r="B194" s="7" t="s">
        <v>1057</v>
      </c>
      <c r="C194" s="8">
        <v>45635</v>
      </c>
      <c r="D194" s="7" t="s">
        <v>1058</v>
      </c>
      <c r="E194" s="9">
        <v>45642</v>
      </c>
      <c r="F194" s="9" t="str">
        <f t="shared" ref="F194:F257" si="47">IF(E194&lt;C194,"Invalid Shipping Record","Valid")</f>
        <v>Valid</v>
      </c>
      <c r="G194" s="10">
        <f t="shared" ref="G194:G257" si="48">E194-C194</f>
        <v>7</v>
      </c>
      <c r="H194" s="10" t="str">
        <f t="shared" ref="H194:H257" si="49">IF(OR(C194="",E194=""),"Missing Date",IF(OR(NOT(ISNUMBER(C194)),NOT(ISNUMBER(E194))),"Invalid Date",IF(E194&lt;C194,"Invalid Shipping Record","Valid")))</f>
        <v>Valid</v>
      </c>
      <c r="I194" s="6" t="s">
        <v>1059</v>
      </c>
      <c r="J194" s="6" t="s">
        <v>73</v>
      </c>
      <c r="K194" s="6" t="s">
        <v>73</v>
      </c>
      <c r="L194" s="6" t="s">
        <v>135</v>
      </c>
      <c r="M194" s="7" t="str">
        <f t="shared" ref="M194:M257" si="50">PROPER(TRIM(L194))</f>
        <v>Home Office</v>
      </c>
      <c r="N194" s="6" t="s">
        <v>93</v>
      </c>
      <c r="O194" s="7" t="str">
        <f t="shared" ref="O194:O257" si="51">IF(TRIM(N194)="","Unknown",PROPER(TRIM(N194)))</f>
        <v>West</v>
      </c>
      <c r="P194" s="6" t="s">
        <v>255</v>
      </c>
      <c r="Q194" s="6" t="s">
        <v>256</v>
      </c>
      <c r="R194" s="6" t="s">
        <v>65</v>
      </c>
      <c r="S194" s="7" t="str">
        <f t="shared" ref="S194:S257" si="52">PROPER(TRIM(R194))</f>
        <v>Furniture</v>
      </c>
      <c r="T194" s="6" t="s">
        <v>96</v>
      </c>
      <c r="U194" s="6" t="s">
        <v>1060</v>
      </c>
      <c r="V194" s="6" t="s">
        <v>76</v>
      </c>
      <c r="W194" s="7" t="str">
        <f t="shared" ref="W194:W257" si="53">IF(TRIM(V194)="","Unknown",PROPER(TRIM(V194)))</f>
        <v>First Class</v>
      </c>
      <c r="X194" s="6">
        <v>4</v>
      </c>
      <c r="Y194" s="6">
        <v>2191.0300000000002</v>
      </c>
      <c r="Z194" s="6">
        <v>0</v>
      </c>
      <c r="AA194" s="6">
        <f t="shared" si="39"/>
        <v>0</v>
      </c>
      <c r="AB194" s="6" t="str">
        <f t="shared" si="40"/>
        <v>Valid</v>
      </c>
      <c r="AC194" s="6">
        <v>8764.1200000000008</v>
      </c>
      <c r="AD194" s="6" t="str">
        <f>IF(OR(AO194="Cancelled",AM194="Failed"),"Exclude from Completed Sales","Include in Completed Sales")</f>
        <v>Include in Completed Sales</v>
      </c>
      <c r="AE194" s="6">
        <f t="shared" si="41"/>
        <v>8764.1200000000008</v>
      </c>
      <c r="AF194" s="6" t="str">
        <f t="shared" si="42"/>
        <v/>
      </c>
      <c r="AG194" s="6">
        <v>7220.05</v>
      </c>
      <c r="AH194" s="6">
        <v>1544.07</v>
      </c>
      <c r="AI194" s="6">
        <f t="shared" si="43"/>
        <v>1544.0700000000006</v>
      </c>
      <c r="AJ194" s="11">
        <f t="shared" si="44"/>
        <v>0.17618083732308554</v>
      </c>
      <c r="AK194" s="11" t="str">
        <f t="shared" si="45"/>
        <v>December</v>
      </c>
      <c r="AL194" s="12">
        <f t="shared" si="46"/>
        <v>2024</v>
      </c>
      <c r="AM194" s="6" t="s">
        <v>54</v>
      </c>
      <c r="AN194" s="6" t="s">
        <v>55</v>
      </c>
      <c r="AO194" s="6" t="str">
        <f t="shared" ref="AO194:AO257" si="54">PROPER(TRIM(AN194))</f>
        <v>Completed</v>
      </c>
    </row>
    <row r="195" spans="1:41">
      <c r="A195" s="6" t="s">
        <v>1061</v>
      </c>
      <c r="B195" s="7" t="s">
        <v>1062</v>
      </c>
      <c r="C195" s="8">
        <v>45466</v>
      </c>
      <c r="D195" s="7" t="s">
        <v>1063</v>
      </c>
      <c r="E195" s="9">
        <v>45471</v>
      </c>
      <c r="F195" s="9" t="str">
        <f t="shared" si="47"/>
        <v>Valid</v>
      </c>
      <c r="G195" s="10">
        <f t="shared" si="48"/>
        <v>5</v>
      </c>
      <c r="H195" s="10" t="str">
        <f t="shared" si="49"/>
        <v>Valid</v>
      </c>
      <c r="I195" s="6" t="s">
        <v>1064</v>
      </c>
      <c r="J195" s="6" t="s">
        <v>162</v>
      </c>
      <c r="K195" s="6" t="s">
        <v>162</v>
      </c>
      <c r="L195" s="6" t="s">
        <v>61</v>
      </c>
      <c r="M195" s="7" t="str">
        <f t="shared" si="50"/>
        <v>Small Business</v>
      </c>
      <c r="N195" s="6" t="s">
        <v>47</v>
      </c>
      <c r="O195" s="7" t="str">
        <f t="shared" si="51"/>
        <v>North</v>
      </c>
      <c r="P195" s="6" t="s">
        <v>174</v>
      </c>
      <c r="Q195" s="6" t="s">
        <v>175</v>
      </c>
      <c r="R195" s="6" t="s">
        <v>106</v>
      </c>
      <c r="S195" s="7" t="str">
        <f t="shared" si="52"/>
        <v>Technology</v>
      </c>
      <c r="T195" s="6" t="s">
        <v>114</v>
      </c>
      <c r="U195" s="6" t="s">
        <v>1065</v>
      </c>
      <c r="V195" s="6" t="s">
        <v>68</v>
      </c>
      <c r="W195" s="7" t="str">
        <f t="shared" si="53"/>
        <v>Same Day</v>
      </c>
      <c r="X195" s="6">
        <v>6</v>
      </c>
      <c r="Y195" s="6">
        <v>1956.63</v>
      </c>
      <c r="Z195" s="6">
        <v>0.2</v>
      </c>
      <c r="AA195" s="6">
        <f t="shared" ref="AA195:AA258" si="55">IF(Z195="",0,Z195)</f>
        <v>0.2</v>
      </c>
      <c r="AB195" s="6" t="str">
        <f t="shared" ref="AB195:AB258" si="56">IF(AA195&lt;0,"Invalid - Negative Discount",IF(AA195&gt;1,"Invalid - Discount Above Limit","Valid"))</f>
        <v>Valid</v>
      </c>
      <c r="AC195" s="6">
        <v>9391.82</v>
      </c>
      <c r="AD195" s="6" t="str">
        <f>IF(OR(AO195="Cancelled",AM195="Failed"),"Exclude from Completed Sales","Include in Completed Sales")</f>
        <v>Include in Completed Sales</v>
      </c>
      <c r="AE195" s="6">
        <f t="shared" ref="AE195:AE258" si="57">X195*Y195*(1-AA195)</f>
        <v>9391.8240000000005</v>
      </c>
      <c r="AF195" s="6" t="str">
        <f t="shared" ref="AF195:AF258" si="58">IF(TRIM(AM195)="Refunded","Refunded","")</f>
        <v>Refunded</v>
      </c>
      <c r="AG195" s="6">
        <v>6013.22</v>
      </c>
      <c r="AH195" s="6">
        <v>3378.6</v>
      </c>
      <c r="AI195" s="6">
        <f t="shared" ref="AI195:AI258" si="59">AE195-AG195</f>
        <v>3378.6040000000003</v>
      </c>
      <c r="AJ195" s="11">
        <f t="shared" ref="AJ195:AJ258" si="60">IF(AE195=0,0,AI195/AE195)</f>
        <v>0.35973885370935399</v>
      </c>
      <c r="AK195" s="11" t="str">
        <f t="shared" ref="AK195:AK258" si="61">TEXT(C195,"mmmm")</f>
        <v>June</v>
      </c>
      <c r="AL195" s="12">
        <f t="shared" ref="AL195:AL258" si="62">YEAR(C195)</f>
        <v>2024</v>
      </c>
      <c r="AM195" s="6" t="s">
        <v>144</v>
      </c>
      <c r="AN195" s="6" t="s">
        <v>145</v>
      </c>
      <c r="AO195" s="6" t="str">
        <f t="shared" si="54"/>
        <v>Returned</v>
      </c>
    </row>
    <row r="196" spans="1:41">
      <c r="A196" s="6" t="s">
        <v>1066</v>
      </c>
      <c r="B196" s="7" t="s">
        <v>1067</v>
      </c>
      <c r="C196" s="8">
        <v>45685</v>
      </c>
      <c r="D196" s="7" t="s">
        <v>1068</v>
      </c>
      <c r="E196" s="9">
        <v>45688</v>
      </c>
      <c r="F196" s="9" t="str">
        <f t="shared" si="47"/>
        <v>Valid</v>
      </c>
      <c r="G196" s="10">
        <f t="shared" si="48"/>
        <v>3</v>
      </c>
      <c r="H196" s="10" t="str">
        <f t="shared" si="49"/>
        <v>Valid</v>
      </c>
      <c r="I196" s="6" t="s">
        <v>1069</v>
      </c>
      <c r="J196" s="6" t="s">
        <v>162</v>
      </c>
      <c r="K196" s="6" t="s">
        <v>162</v>
      </c>
      <c r="L196" s="6" t="s">
        <v>46</v>
      </c>
      <c r="M196" s="7" t="str">
        <f t="shared" si="50"/>
        <v>Consumer</v>
      </c>
      <c r="N196" s="6" t="s">
        <v>1070</v>
      </c>
      <c r="O196" s="7" t="str">
        <f t="shared" si="51"/>
        <v>West</v>
      </c>
      <c r="P196" s="6" t="s">
        <v>94</v>
      </c>
      <c r="Q196" s="6" t="s">
        <v>95</v>
      </c>
      <c r="R196" s="6" t="s">
        <v>65</v>
      </c>
      <c r="S196" s="7" t="str">
        <f t="shared" si="52"/>
        <v>Furniture</v>
      </c>
      <c r="T196" s="6" t="s">
        <v>85</v>
      </c>
      <c r="U196" s="6" t="s">
        <v>1071</v>
      </c>
      <c r="V196" s="6" t="s">
        <v>76</v>
      </c>
      <c r="W196" s="7" t="str">
        <f t="shared" si="53"/>
        <v>First Class</v>
      </c>
      <c r="X196" s="6">
        <v>9</v>
      </c>
      <c r="Y196" s="6">
        <v>858.39</v>
      </c>
      <c r="Z196" s="6">
        <v>0.05</v>
      </c>
      <c r="AA196" s="6">
        <f t="shared" si="55"/>
        <v>0.05</v>
      </c>
      <c r="AB196" s="6" t="str">
        <f t="shared" si="56"/>
        <v>Valid</v>
      </c>
      <c r="AC196" s="6">
        <v>7339.23</v>
      </c>
      <c r="AD196" s="6" t="str">
        <f>IF(OR(AO196="Cancelled",AM196="Failed"),"Exclude from Completed Sales","Include in Completed Sales")</f>
        <v>Include in Completed Sales</v>
      </c>
      <c r="AE196" s="6">
        <f t="shared" si="57"/>
        <v>7339.2344999999996</v>
      </c>
      <c r="AF196" s="6" t="str">
        <f t="shared" si="58"/>
        <v/>
      </c>
      <c r="AG196" s="6">
        <v>5434.12</v>
      </c>
      <c r="AH196" s="6">
        <v>1905.11</v>
      </c>
      <c r="AI196" s="6">
        <f t="shared" si="59"/>
        <v>1905.1144999999997</v>
      </c>
      <c r="AJ196" s="11">
        <f t="shared" si="60"/>
        <v>0.25957945614082772</v>
      </c>
      <c r="AK196" s="11" t="str">
        <f t="shared" si="61"/>
        <v>January</v>
      </c>
      <c r="AL196" s="12">
        <f t="shared" si="62"/>
        <v>2025</v>
      </c>
      <c r="AM196" s="6" t="s">
        <v>157</v>
      </c>
      <c r="AN196" s="6" t="s">
        <v>145</v>
      </c>
      <c r="AO196" s="6" t="str">
        <f t="shared" si="54"/>
        <v>Returned</v>
      </c>
    </row>
    <row r="197" spans="1:41">
      <c r="A197" s="6" t="s">
        <v>1072</v>
      </c>
      <c r="B197" s="7" t="s">
        <v>1073</v>
      </c>
      <c r="C197" s="8">
        <v>45860</v>
      </c>
      <c r="D197" s="7" t="s">
        <v>1074</v>
      </c>
      <c r="E197" s="9">
        <v>45862</v>
      </c>
      <c r="F197" s="9" t="str">
        <f t="shared" si="47"/>
        <v>Valid</v>
      </c>
      <c r="G197" s="10">
        <f t="shared" si="48"/>
        <v>2</v>
      </c>
      <c r="H197" s="10" t="str">
        <f t="shared" si="49"/>
        <v>Valid</v>
      </c>
      <c r="I197" s="6" t="s">
        <v>1075</v>
      </c>
      <c r="J197" s="6" t="s">
        <v>113</v>
      </c>
      <c r="K197" s="6" t="s">
        <v>113</v>
      </c>
      <c r="L197" s="6" t="s">
        <v>135</v>
      </c>
      <c r="M197" s="7" t="str">
        <f t="shared" si="50"/>
        <v>Home Office</v>
      </c>
      <c r="N197" s="6" t="s">
        <v>82</v>
      </c>
      <c r="O197" s="7" t="str">
        <f t="shared" si="51"/>
        <v>South</v>
      </c>
      <c r="P197" s="6" t="s">
        <v>120</v>
      </c>
      <c r="Q197" s="6" t="s">
        <v>121</v>
      </c>
      <c r="R197" s="6" t="s">
        <v>65</v>
      </c>
      <c r="S197" s="7" t="str">
        <f t="shared" si="52"/>
        <v>Furniture</v>
      </c>
      <c r="T197" s="6" t="s">
        <v>85</v>
      </c>
      <c r="U197" s="6" t="s">
        <v>1076</v>
      </c>
      <c r="V197" s="6" t="s">
        <v>68</v>
      </c>
      <c r="W197" s="7" t="str">
        <f t="shared" si="53"/>
        <v>Same Day</v>
      </c>
      <c r="X197" s="6">
        <v>5</v>
      </c>
      <c r="Y197" s="6">
        <v>1922.83</v>
      </c>
      <c r="Z197" s="6">
        <v>0</v>
      </c>
      <c r="AA197" s="6">
        <f t="shared" si="55"/>
        <v>0</v>
      </c>
      <c r="AB197" s="6" t="str">
        <f t="shared" si="56"/>
        <v>Valid</v>
      </c>
      <c r="AC197" s="6">
        <v>9614.15</v>
      </c>
      <c r="AD197" s="6" t="str">
        <f>IF(OR(AO197="Cancelled",AM197="Failed"),"Exclude from Completed Sales","Include in Completed Sales")</f>
        <v>Include in Completed Sales</v>
      </c>
      <c r="AE197" s="6">
        <f t="shared" si="57"/>
        <v>9614.15</v>
      </c>
      <c r="AF197" s="6" t="str">
        <f t="shared" si="58"/>
        <v/>
      </c>
      <c r="AG197" s="6">
        <v>7576.84</v>
      </c>
      <c r="AH197" s="6">
        <v>2037.31</v>
      </c>
      <c r="AI197" s="6">
        <f t="shared" si="59"/>
        <v>2037.3099999999995</v>
      </c>
      <c r="AJ197" s="11">
        <f t="shared" si="60"/>
        <v>0.21190744891644084</v>
      </c>
      <c r="AK197" s="11" t="str">
        <f t="shared" si="61"/>
        <v>July</v>
      </c>
      <c r="AL197" s="12">
        <f t="shared" si="62"/>
        <v>2025</v>
      </c>
      <c r="AM197" s="6" t="s">
        <v>54</v>
      </c>
      <c r="AN197" s="6" t="s">
        <v>55</v>
      </c>
      <c r="AO197" s="6" t="str">
        <f t="shared" si="54"/>
        <v>Completed</v>
      </c>
    </row>
    <row r="198" spans="1:41">
      <c r="A198" s="6" t="s">
        <v>1077</v>
      </c>
      <c r="B198" s="7" t="s">
        <v>1078</v>
      </c>
      <c r="C198" s="8">
        <v>45313</v>
      </c>
      <c r="D198" s="7" t="s">
        <v>1079</v>
      </c>
      <c r="E198" s="9">
        <v>45316</v>
      </c>
      <c r="F198" s="9" t="str">
        <f t="shared" si="47"/>
        <v>Valid</v>
      </c>
      <c r="G198" s="10">
        <f t="shared" si="48"/>
        <v>3</v>
      </c>
      <c r="H198" s="10" t="str">
        <f t="shared" si="49"/>
        <v>Valid</v>
      </c>
      <c r="I198" s="6" t="s">
        <v>1080</v>
      </c>
      <c r="J198" s="6" t="s">
        <v>386</v>
      </c>
      <c r="K198" s="6" t="s">
        <v>386</v>
      </c>
      <c r="L198" s="6" t="s">
        <v>135</v>
      </c>
      <c r="M198" s="7" t="str">
        <f t="shared" si="50"/>
        <v>Home Office</v>
      </c>
      <c r="N198" s="6" t="s">
        <v>47</v>
      </c>
      <c r="O198" s="7" t="str">
        <f t="shared" si="51"/>
        <v>North</v>
      </c>
      <c r="P198" s="6" t="s">
        <v>194</v>
      </c>
      <c r="Q198" s="6" t="s">
        <v>195</v>
      </c>
      <c r="R198" s="6" t="s">
        <v>50</v>
      </c>
      <c r="S198" s="7" t="str">
        <f t="shared" si="52"/>
        <v>Office Supplies</v>
      </c>
      <c r="T198" s="6" t="s">
        <v>176</v>
      </c>
      <c r="U198" s="6" t="s">
        <v>1081</v>
      </c>
      <c r="V198" s="6" t="s">
        <v>76</v>
      </c>
      <c r="W198" s="7" t="str">
        <f t="shared" si="53"/>
        <v>First Class</v>
      </c>
      <c r="X198" s="6">
        <v>3</v>
      </c>
      <c r="Y198" s="6">
        <v>1212.03</v>
      </c>
      <c r="Z198" s="6">
        <v>0.1</v>
      </c>
      <c r="AA198" s="6">
        <f t="shared" si="55"/>
        <v>0.1</v>
      </c>
      <c r="AB198" s="6" t="str">
        <f t="shared" si="56"/>
        <v>Valid</v>
      </c>
      <c r="AC198" s="6">
        <v>3272.48</v>
      </c>
      <c r="AD198" s="6" t="str">
        <f>IF(OR(AO198="Cancelled",AM198="Failed"),"Exclude from Completed Sales","Include in Completed Sales")</f>
        <v>Include in Completed Sales</v>
      </c>
      <c r="AE198" s="6">
        <f t="shared" si="57"/>
        <v>3272.4810000000002</v>
      </c>
      <c r="AF198" s="6" t="str">
        <f t="shared" si="58"/>
        <v/>
      </c>
      <c r="AG198" s="6">
        <v>2517.44</v>
      </c>
      <c r="AH198" s="6">
        <v>755.04</v>
      </c>
      <c r="AI198" s="6">
        <f t="shared" si="59"/>
        <v>755.04100000000017</v>
      </c>
      <c r="AJ198" s="11">
        <f t="shared" si="60"/>
        <v>0.23072433422837293</v>
      </c>
      <c r="AK198" s="11" t="str">
        <f t="shared" si="61"/>
        <v>January</v>
      </c>
      <c r="AL198" s="12">
        <f t="shared" si="62"/>
        <v>2024</v>
      </c>
      <c r="AM198" s="6" t="s">
        <v>54</v>
      </c>
      <c r="AN198" s="6" t="s">
        <v>55</v>
      </c>
      <c r="AO198" s="6" t="str">
        <f t="shared" si="54"/>
        <v>Completed</v>
      </c>
    </row>
    <row r="199" spans="1:41">
      <c r="A199" s="6" t="s">
        <v>1082</v>
      </c>
      <c r="B199" s="7" t="s">
        <v>389</v>
      </c>
      <c r="C199" s="8">
        <v>45747</v>
      </c>
      <c r="D199" s="7" t="s">
        <v>1083</v>
      </c>
      <c r="E199" s="9">
        <v>45754</v>
      </c>
      <c r="F199" s="9" t="str">
        <f t="shared" si="47"/>
        <v>Valid</v>
      </c>
      <c r="G199" s="10">
        <f t="shared" si="48"/>
        <v>7</v>
      </c>
      <c r="H199" s="10" t="str">
        <f t="shared" si="49"/>
        <v>Valid</v>
      </c>
      <c r="I199" s="6" t="s">
        <v>584</v>
      </c>
      <c r="J199" s="6" t="s">
        <v>168</v>
      </c>
      <c r="K199" s="6" t="s">
        <v>168</v>
      </c>
      <c r="L199" s="6" t="s">
        <v>721</v>
      </c>
      <c r="M199" s="7" t="str">
        <f t="shared" si="50"/>
        <v>Small Business</v>
      </c>
      <c r="N199" s="6" t="s">
        <v>62</v>
      </c>
      <c r="O199" s="7" t="str">
        <f t="shared" si="51"/>
        <v>East</v>
      </c>
      <c r="P199" s="6" t="s">
        <v>206</v>
      </c>
      <c r="Q199" s="6" t="s">
        <v>207</v>
      </c>
      <c r="R199" s="6" t="s">
        <v>50</v>
      </c>
      <c r="S199" s="7" t="str">
        <f t="shared" si="52"/>
        <v>Office Supplies</v>
      </c>
      <c r="T199" s="6" t="s">
        <v>176</v>
      </c>
      <c r="U199" s="6" t="s">
        <v>1084</v>
      </c>
      <c r="V199" s="6" t="s">
        <v>53</v>
      </c>
      <c r="W199" s="7" t="str">
        <f t="shared" si="53"/>
        <v>Second Class</v>
      </c>
      <c r="X199" s="6">
        <v>5</v>
      </c>
      <c r="Y199" s="6">
        <v>4096.4399999999996</v>
      </c>
      <c r="Z199" s="6">
        <v>0.15</v>
      </c>
      <c r="AA199" s="6">
        <f t="shared" si="55"/>
        <v>0.15</v>
      </c>
      <c r="AB199" s="6" t="str">
        <f t="shared" si="56"/>
        <v>Valid</v>
      </c>
      <c r="AC199" s="6">
        <v>17409.87</v>
      </c>
      <c r="AD199" s="6" t="str">
        <f>IF(OR(AO199="Cancelled",AM199="Failed"),"Exclude from Completed Sales","Include in Completed Sales")</f>
        <v>Include in Completed Sales</v>
      </c>
      <c r="AE199" s="6">
        <f t="shared" si="57"/>
        <v>17409.869999999995</v>
      </c>
      <c r="AF199" s="6" t="str">
        <f t="shared" si="58"/>
        <v/>
      </c>
      <c r="AG199" s="6">
        <v>14076.25</v>
      </c>
      <c r="AH199" s="6">
        <v>3333.62</v>
      </c>
      <c r="AI199" s="6">
        <f t="shared" si="59"/>
        <v>3333.6199999999953</v>
      </c>
      <c r="AJ199" s="11">
        <f t="shared" si="60"/>
        <v>0.19147874165631312</v>
      </c>
      <c r="AK199" s="11" t="str">
        <f t="shared" si="61"/>
        <v>March</v>
      </c>
      <c r="AL199" s="12">
        <f t="shared" si="62"/>
        <v>2025</v>
      </c>
      <c r="AM199" s="6" t="s">
        <v>54</v>
      </c>
      <c r="AN199" s="6" t="s">
        <v>55</v>
      </c>
      <c r="AO199" s="6" t="str">
        <f t="shared" si="54"/>
        <v>Completed</v>
      </c>
    </row>
    <row r="200" spans="1:41">
      <c r="A200" s="6" t="s">
        <v>1085</v>
      </c>
      <c r="B200" s="7" t="s">
        <v>1086</v>
      </c>
      <c r="C200" s="8">
        <v>45448</v>
      </c>
      <c r="D200" s="7" t="s">
        <v>1087</v>
      </c>
      <c r="E200" s="9">
        <v>45449</v>
      </c>
      <c r="F200" s="9" t="str">
        <f t="shared" si="47"/>
        <v>Valid</v>
      </c>
      <c r="G200" s="10">
        <f t="shared" si="48"/>
        <v>1</v>
      </c>
      <c r="H200" s="10" t="str">
        <f t="shared" si="49"/>
        <v>Valid</v>
      </c>
      <c r="I200" s="6" t="s">
        <v>1088</v>
      </c>
      <c r="J200" s="6" t="s">
        <v>188</v>
      </c>
      <c r="K200" s="6" t="s">
        <v>188</v>
      </c>
      <c r="L200" s="6" t="s">
        <v>46</v>
      </c>
      <c r="M200" s="7" t="str">
        <f t="shared" si="50"/>
        <v>Consumer</v>
      </c>
      <c r="N200" s="6" t="s">
        <v>93</v>
      </c>
      <c r="O200" s="7" t="str">
        <f t="shared" si="51"/>
        <v>West</v>
      </c>
      <c r="P200" s="6" t="s">
        <v>255</v>
      </c>
      <c r="Q200" s="6" t="s">
        <v>256</v>
      </c>
      <c r="R200" s="6" t="s">
        <v>50</v>
      </c>
      <c r="S200" s="7" t="str">
        <f t="shared" si="52"/>
        <v>Office Supplies</v>
      </c>
      <c r="T200" s="6" t="s">
        <v>74</v>
      </c>
      <c r="U200" s="6" t="s">
        <v>1089</v>
      </c>
      <c r="V200" s="6" t="s">
        <v>53</v>
      </c>
      <c r="W200" s="7" t="str">
        <f t="shared" si="53"/>
        <v>Second Class</v>
      </c>
      <c r="X200" s="6">
        <v>1</v>
      </c>
      <c r="Y200" s="6">
        <v>1184.58</v>
      </c>
      <c r="Z200" s="6">
        <v>0.05</v>
      </c>
      <c r="AA200" s="6">
        <f t="shared" si="55"/>
        <v>0.05</v>
      </c>
      <c r="AB200" s="6" t="str">
        <f t="shared" si="56"/>
        <v>Valid</v>
      </c>
      <c r="AC200" s="6">
        <v>1125.3499999999999</v>
      </c>
      <c r="AD200" s="6" t="str">
        <f>IF(OR(AO200="Cancelled",AM200="Failed"),"Exclude from Completed Sales","Include in Completed Sales")</f>
        <v>Exclude from Completed Sales</v>
      </c>
      <c r="AE200" s="6">
        <f t="shared" si="57"/>
        <v>1125.3509999999999</v>
      </c>
      <c r="AF200" s="6" t="str">
        <f t="shared" si="58"/>
        <v/>
      </c>
      <c r="AG200" s="6">
        <v>676.97</v>
      </c>
      <c r="AH200" s="6">
        <v>448.38</v>
      </c>
      <c r="AI200" s="6">
        <f t="shared" si="59"/>
        <v>448.38099999999986</v>
      </c>
      <c r="AJ200" s="11">
        <f t="shared" si="60"/>
        <v>0.39843657667696558</v>
      </c>
      <c r="AK200" s="11" t="str">
        <f t="shared" si="61"/>
        <v>June</v>
      </c>
      <c r="AL200" s="12">
        <f t="shared" si="62"/>
        <v>2024</v>
      </c>
      <c r="AM200" s="6" t="s">
        <v>220</v>
      </c>
      <c r="AN200" s="6" t="s">
        <v>98</v>
      </c>
      <c r="AO200" s="6" t="str">
        <f t="shared" si="54"/>
        <v>Cancelled</v>
      </c>
    </row>
    <row r="201" spans="1:41">
      <c r="A201" s="6" t="s">
        <v>1090</v>
      </c>
      <c r="B201" s="7" t="s">
        <v>323</v>
      </c>
      <c r="C201" s="8">
        <v>45363</v>
      </c>
      <c r="D201" s="7" t="s">
        <v>1091</v>
      </c>
      <c r="E201" s="9">
        <v>45363</v>
      </c>
      <c r="F201" s="9" t="str">
        <f t="shared" si="47"/>
        <v>Valid</v>
      </c>
      <c r="G201" s="10">
        <f t="shared" si="48"/>
        <v>0</v>
      </c>
      <c r="H201" s="10" t="str">
        <f t="shared" si="49"/>
        <v>Valid</v>
      </c>
      <c r="I201" s="6" t="s">
        <v>1092</v>
      </c>
      <c r="J201" s="6" t="s">
        <v>168</v>
      </c>
      <c r="K201" s="6" t="s">
        <v>168</v>
      </c>
      <c r="L201" s="6" t="s">
        <v>135</v>
      </c>
      <c r="M201" s="7" t="str">
        <f t="shared" si="50"/>
        <v>Home Office</v>
      </c>
      <c r="N201" s="6" t="s">
        <v>62</v>
      </c>
      <c r="O201" s="7" t="str">
        <f t="shared" si="51"/>
        <v>East</v>
      </c>
      <c r="P201" s="6" t="s">
        <v>206</v>
      </c>
      <c r="Q201" s="6" t="s">
        <v>207</v>
      </c>
      <c r="R201" s="6" t="s">
        <v>106</v>
      </c>
      <c r="S201" s="7" t="str">
        <f t="shared" si="52"/>
        <v>Technology</v>
      </c>
      <c r="T201" s="6" t="s">
        <v>402</v>
      </c>
      <c r="U201" s="6" t="s">
        <v>1093</v>
      </c>
      <c r="V201" s="6"/>
      <c r="W201" s="7" t="str">
        <f t="shared" si="53"/>
        <v>Unknown</v>
      </c>
      <c r="X201" s="6">
        <v>6</v>
      </c>
      <c r="Y201" s="6">
        <v>2185.58</v>
      </c>
      <c r="Z201" s="6">
        <v>0.25</v>
      </c>
      <c r="AA201" s="6">
        <f t="shared" si="55"/>
        <v>0.25</v>
      </c>
      <c r="AB201" s="6" t="str">
        <f t="shared" si="56"/>
        <v>Valid</v>
      </c>
      <c r="AC201" s="6">
        <v>9835.11</v>
      </c>
      <c r="AD201" s="6" t="str">
        <f>IF(OR(AO201="Cancelled",AM201="Failed"),"Exclude from Completed Sales","Include in Completed Sales")</f>
        <v>Include in Completed Sales</v>
      </c>
      <c r="AE201" s="6">
        <f t="shared" si="57"/>
        <v>9835.11</v>
      </c>
      <c r="AF201" s="6" t="str">
        <f t="shared" si="58"/>
        <v/>
      </c>
      <c r="AG201" s="6">
        <v>5437.64</v>
      </c>
      <c r="AH201" s="6">
        <v>4397.47</v>
      </c>
      <c r="AI201" s="6">
        <f t="shared" si="59"/>
        <v>4397.47</v>
      </c>
      <c r="AJ201" s="11">
        <f t="shared" si="60"/>
        <v>0.44711955433136996</v>
      </c>
      <c r="AK201" s="11" t="str">
        <f t="shared" si="61"/>
        <v>March</v>
      </c>
      <c r="AL201" s="12">
        <f t="shared" si="62"/>
        <v>2024</v>
      </c>
      <c r="AM201" s="6" t="s">
        <v>54</v>
      </c>
      <c r="AN201" s="6" t="s">
        <v>55</v>
      </c>
      <c r="AO201" s="6" t="str">
        <f t="shared" si="54"/>
        <v>Completed</v>
      </c>
    </row>
    <row r="202" spans="1:41">
      <c r="A202" s="6" t="s">
        <v>1094</v>
      </c>
      <c r="B202" s="7" t="s">
        <v>1017</v>
      </c>
      <c r="C202" s="8">
        <v>45835</v>
      </c>
      <c r="D202" s="7" t="s">
        <v>1095</v>
      </c>
      <c r="E202" s="9">
        <v>45843</v>
      </c>
      <c r="F202" s="9" t="str">
        <f t="shared" si="47"/>
        <v>Valid</v>
      </c>
      <c r="G202" s="10">
        <f t="shared" si="48"/>
        <v>8</v>
      </c>
      <c r="H202" s="10" t="str">
        <f t="shared" si="49"/>
        <v>Valid</v>
      </c>
      <c r="I202" s="6" t="s">
        <v>1096</v>
      </c>
      <c r="J202" s="6" t="s">
        <v>162</v>
      </c>
      <c r="K202" s="6" t="s">
        <v>162</v>
      </c>
      <c r="L202" s="6" t="s">
        <v>61</v>
      </c>
      <c r="M202" s="7" t="str">
        <f t="shared" si="50"/>
        <v>Small Business</v>
      </c>
      <c r="N202" s="6" t="s">
        <v>47</v>
      </c>
      <c r="O202" s="7" t="str">
        <f t="shared" si="51"/>
        <v>North</v>
      </c>
      <c r="P202" s="6" t="s">
        <v>48</v>
      </c>
      <c r="Q202" s="6" t="s">
        <v>49</v>
      </c>
      <c r="R202" s="6" t="s">
        <v>106</v>
      </c>
      <c r="S202" s="7" t="str">
        <f t="shared" si="52"/>
        <v>Technology</v>
      </c>
      <c r="T202" s="6" t="s">
        <v>114</v>
      </c>
      <c r="U202" s="6" t="s">
        <v>1097</v>
      </c>
      <c r="V202" s="6" t="s">
        <v>76</v>
      </c>
      <c r="W202" s="7" t="str">
        <f t="shared" si="53"/>
        <v>First Class</v>
      </c>
      <c r="X202" s="6">
        <v>5</v>
      </c>
      <c r="Y202" s="6">
        <v>2868.44</v>
      </c>
      <c r="Z202" s="6">
        <v>0.1</v>
      </c>
      <c r="AA202" s="6">
        <f t="shared" si="55"/>
        <v>0.1</v>
      </c>
      <c r="AB202" s="6" t="str">
        <f t="shared" si="56"/>
        <v>Valid</v>
      </c>
      <c r="AC202" s="6">
        <v>12907.98</v>
      </c>
      <c r="AD202" s="6" t="str">
        <f>IF(OR(AO202="Cancelled",AM202="Failed"),"Exclude from Completed Sales","Include in Completed Sales")</f>
        <v>Exclude from Completed Sales</v>
      </c>
      <c r="AE202" s="6">
        <f t="shared" si="57"/>
        <v>12907.980000000001</v>
      </c>
      <c r="AF202" s="6" t="str">
        <f t="shared" si="58"/>
        <v/>
      </c>
      <c r="AG202" s="6">
        <v>9197.08</v>
      </c>
      <c r="AH202" s="6">
        <v>3710.9</v>
      </c>
      <c r="AI202" s="6">
        <f t="shared" si="59"/>
        <v>3710.9000000000015</v>
      </c>
      <c r="AJ202" s="11">
        <f t="shared" si="60"/>
        <v>0.28748882474252369</v>
      </c>
      <c r="AK202" s="11" t="str">
        <f t="shared" si="61"/>
        <v>June</v>
      </c>
      <c r="AL202" s="12">
        <f t="shared" si="62"/>
        <v>2025</v>
      </c>
      <c r="AM202" s="6" t="s">
        <v>157</v>
      </c>
      <c r="AN202" s="6" t="s">
        <v>98</v>
      </c>
      <c r="AO202" s="6" t="str">
        <f t="shared" si="54"/>
        <v>Cancelled</v>
      </c>
    </row>
    <row r="203" spans="1:41">
      <c r="A203" s="6" t="s">
        <v>1098</v>
      </c>
      <c r="B203" s="7" t="s">
        <v>1099</v>
      </c>
      <c r="C203" s="8">
        <v>45864</v>
      </c>
      <c r="D203" s="7" t="s">
        <v>1100</v>
      </c>
      <c r="E203" s="9">
        <v>45872</v>
      </c>
      <c r="F203" s="9" t="str">
        <f t="shared" si="47"/>
        <v>Valid</v>
      </c>
      <c r="G203" s="10">
        <f t="shared" si="48"/>
        <v>8</v>
      </c>
      <c r="H203" s="10" t="str">
        <f t="shared" si="49"/>
        <v>Valid</v>
      </c>
      <c r="I203" s="6" t="s">
        <v>1101</v>
      </c>
      <c r="J203" s="6" t="s">
        <v>103</v>
      </c>
      <c r="K203" s="6" t="s">
        <v>103</v>
      </c>
      <c r="L203" s="6" t="s">
        <v>46</v>
      </c>
      <c r="M203" s="7" t="str">
        <f t="shared" si="50"/>
        <v>Consumer</v>
      </c>
      <c r="N203" s="6" t="s">
        <v>93</v>
      </c>
      <c r="O203" s="7" t="str">
        <f t="shared" si="51"/>
        <v>West</v>
      </c>
      <c r="P203" s="6" t="s">
        <v>104</v>
      </c>
      <c r="Q203" s="6" t="s">
        <v>105</v>
      </c>
      <c r="R203" s="6" t="s">
        <v>50</v>
      </c>
      <c r="S203" s="7" t="str">
        <f t="shared" si="52"/>
        <v>Office Supplies</v>
      </c>
      <c r="T203" s="6" t="s">
        <v>129</v>
      </c>
      <c r="U203" s="6" t="s">
        <v>1102</v>
      </c>
      <c r="V203" s="6" t="s">
        <v>53</v>
      </c>
      <c r="W203" s="7" t="str">
        <f t="shared" si="53"/>
        <v>Second Class</v>
      </c>
      <c r="X203" s="6">
        <v>2</v>
      </c>
      <c r="Y203" s="6">
        <v>2503.5300000000002</v>
      </c>
      <c r="Z203" s="6">
        <v>-0.16</v>
      </c>
      <c r="AA203" s="6">
        <f t="shared" si="55"/>
        <v>-0.16</v>
      </c>
      <c r="AB203" s="6" t="str">
        <f t="shared" si="56"/>
        <v>Invalid - Negative Discount</v>
      </c>
      <c r="AC203" s="6">
        <v>4756.71</v>
      </c>
      <c r="AD203" s="6" t="str">
        <f>IF(OR(AO203="Cancelled",AM203="Failed"),"Exclude from Completed Sales","Include in Completed Sales")</f>
        <v>Exclude from Completed Sales</v>
      </c>
      <c r="AE203" s="6">
        <f t="shared" si="57"/>
        <v>5808.1895999999997</v>
      </c>
      <c r="AF203" s="6" t="str">
        <f t="shared" si="58"/>
        <v>Refunded</v>
      </c>
      <c r="AG203" s="6">
        <v>2954.86</v>
      </c>
      <c r="AH203" s="6">
        <v>1801.85</v>
      </c>
      <c r="AI203" s="6">
        <f t="shared" si="59"/>
        <v>2853.3295999999996</v>
      </c>
      <c r="AJ203" s="11">
        <f t="shared" si="60"/>
        <v>0.49125972058487893</v>
      </c>
      <c r="AK203" s="11" t="str">
        <f t="shared" si="61"/>
        <v>July</v>
      </c>
      <c r="AL203" s="12">
        <f t="shared" si="62"/>
        <v>2025</v>
      </c>
      <c r="AM203" s="6" t="s">
        <v>144</v>
      </c>
      <c r="AN203" s="6" t="s">
        <v>98</v>
      </c>
      <c r="AO203" s="6" t="str">
        <f t="shared" si="54"/>
        <v>Cancelled</v>
      </c>
    </row>
    <row r="204" spans="1:41">
      <c r="A204" s="6" t="s">
        <v>1103</v>
      </c>
      <c r="B204" s="7" t="s">
        <v>1104</v>
      </c>
      <c r="C204" s="8">
        <v>45744</v>
      </c>
      <c r="D204" s="7" t="s">
        <v>1105</v>
      </c>
      <c r="E204" s="9">
        <v>45744</v>
      </c>
      <c r="F204" s="9" t="str">
        <f t="shared" si="47"/>
        <v>Valid</v>
      </c>
      <c r="G204" s="10">
        <f t="shared" si="48"/>
        <v>0</v>
      </c>
      <c r="H204" s="10" t="str">
        <f t="shared" si="49"/>
        <v>Valid</v>
      </c>
      <c r="I204" s="6" t="s">
        <v>1106</v>
      </c>
      <c r="J204" s="6" t="s">
        <v>188</v>
      </c>
      <c r="K204" s="6" t="s">
        <v>188</v>
      </c>
      <c r="L204" s="6" t="s">
        <v>128</v>
      </c>
      <c r="M204" s="7" t="str">
        <f t="shared" si="50"/>
        <v>Corporate</v>
      </c>
      <c r="N204" s="6" t="s">
        <v>93</v>
      </c>
      <c r="O204" s="7" t="str">
        <f t="shared" si="51"/>
        <v>West</v>
      </c>
      <c r="P204" s="6" t="s">
        <v>269</v>
      </c>
      <c r="Q204" s="6" t="s">
        <v>270</v>
      </c>
      <c r="R204" s="6" t="s">
        <v>106</v>
      </c>
      <c r="S204" s="7" t="str">
        <f t="shared" si="52"/>
        <v>Technology</v>
      </c>
      <c r="T204" s="6" t="s">
        <v>107</v>
      </c>
      <c r="U204" s="6" t="s">
        <v>1107</v>
      </c>
      <c r="V204" s="6" t="s">
        <v>87</v>
      </c>
      <c r="W204" s="7" t="str">
        <f t="shared" si="53"/>
        <v>Standard Class</v>
      </c>
      <c r="X204" s="6">
        <v>8</v>
      </c>
      <c r="Y204" s="6">
        <v>1740.94</v>
      </c>
      <c r="Z204" s="6">
        <v>0.05</v>
      </c>
      <c r="AA204" s="6">
        <f t="shared" si="55"/>
        <v>0.05</v>
      </c>
      <c r="AB204" s="6" t="str">
        <f t="shared" si="56"/>
        <v>Valid</v>
      </c>
      <c r="AC204" s="6">
        <v>13231.14</v>
      </c>
      <c r="AD204" s="6" t="str">
        <f>IF(OR(AO204="Cancelled",AM204="Failed"),"Exclude from Completed Sales","Include in Completed Sales")</f>
        <v>Include in Completed Sales</v>
      </c>
      <c r="AE204" s="6">
        <f t="shared" si="57"/>
        <v>13231.144</v>
      </c>
      <c r="AF204" s="6" t="str">
        <f t="shared" si="58"/>
        <v/>
      </c>
      <c r="AG204" s="6">
        <v>11290.06</v>
      </c>
      <c r="AH204" s="6">
        <v>1941.08</v>
      </c>
      <c r="AI204" s="6">
        <f t="shared" si="59"/>
        <v>1941.0840000000007</v>
      </c>
      <c r="AJ204" s="11">
        <f t="shared" si="60"/>
        <v>0.14670568168557463</v>
      </c>
      <c r="AK204" s="11" t="str">
        <f t="shared" si="61"/>
        <v>March</v>
      </c>
      <c r="AL204" s="12">
        <f t="shared" si="62"/>
        <v>2025</v>
      </c>
      <c r="AM204" s="6" t="s">
        <v>54</v>
      </c>
      <c r="AN204" s="6" t="s">
        <v>55</v>
      </c>
      <c r="AO204" s="6" t="str">
        <f t="shared" si="54"/>
        <v>Completed</v>
      </c>
    </row>
    <row r="205" spans="1:41">
      <c r="A205" s="6" t="s">
        <v>1108</v>
      </c>
      <c r="B205" s="7" t="s">
        <v>1109</v>
      </c>
      <c r="C205" s="8">
        <v>45379</v>
      </c>
      <c r="D205" s="7" t="s">
        <v>1110</v>
      </c>
      <c r="E205" s="9">
        <v>45381</v>
      </c>
      <c r="F205" s="9" t="str">
        <f t="shared" si="47"/>
        <v>Valid</v>
      </c>
      <c r="G205" s="10">
        <f t="shared" si="48"/>
        <v>2</v>
      </c>
      <c r="H205" s="10" t="str">
        <f t="shared" si="49"/>
        <v>Valid</v>
      </c>
      <c r="I205" s="6" t="s">
        <v>1111</v>
      </c>
      <c r="J205" s="6" t="s">
        <v>188</v>
      </c>
      <c r="K205" s="6" t="s">
        <v>188</v>
      </c>
      <c r="L205" s="6" t="s">
        <v>128</v>
      </c>
      <c r="M205" s="7" t="str">
        <f t="shared" si="50"/>
        <v>Corporate</v>
      </c>
      <c r="N205" s="6" t="s">
        <v>93</v>
      </c>
      <c r="O205" s="7" t="str">
        <f t="shared" si="51"/>
        <v>West</v>
      </c>
      <c r="P205" s="6" t="s">
        <v>48</v>
      </c>
      <c r="Q205" s="6" t="s">
        <v>155</v>
      </c>
      <c r="R205" s="6" t="s">
        <v>106</v>
      </c>
      <c r="S205" s="7" t="str">
        <f t="shared" si="52"/>
        <v>Technology</v>
      </c>
      <c r="T205" s="6" t="s">
        <v>107</v>
      </c>
      <c r="U205" s="6" t="s">
        <v>1112</v>
      </c>
      <c r="V205" s="6" t="s">
        <v>53</v>
      </c>
      <c r="W205" s="7" t="str">
        <f t="shared" si="53"/>
        <v>Second Class</v>
      </c>
      <c r="X205" s="6">
        <v>1</v>
      </c>
      <c r="Y205" s="6">
        <v>570.34</v>
      </c>
      <c r="Z205" s="6">
        <v>0.15</v>
      </c>
      <c r="AA205" s="6">
        <f t="shared" si="55"/>
        <v>0.15</v>
      </c>
      <c r="AB205" s="6" t="str">
        <f t="shared" si="56"/>
        <v>Valid</v>
      </c>
      <c r="AC205" s="6">
        <v>484.79</v>
      </c>
      <c r="AD205" s="6" t="str">
        <f>IF(OR(AO205="Cancelled",AM205="Failed"),"Exclude from Completed Sales","Include in Completed Sales")</f>
        <v>Include in Completed Sales</v>
      </c>
      <c r="AE205" s="6">
        <f t="shared" si="57"/>
        <v>484.78899999999999</v>
      </c>
      <c r="AF205" s="6" t="str">
        <f t="shared" si="58"/>
        <v/>
      </c>
      <c r="AG205" s="6">
        <v>333.54</v>
      </c>
      <c r="AH205" s="6">
        <v>151.25</v>
      </c>
      <c r="AI205" s="6">
        <f t="shared" si="59"/>
        <v>151.24899999999997</v>
      </c>
      <c r="AJ205" s="11">
        <f t="shared" si="60"/>
        <v>0.3119893396921134</v>
      </c>
      <c r="AK205" s="11" t="str">
        <f t="shared" si="61"/>
        <v>March</v>
      </c>
      <c r="AL205" s="12">
        <f t="shared" si="62"/>
        <v>2024</v>
      </c>
      <c r="AM205" s="6" t="s">
        <v>54</v>
      </c>
      <c r="AN205" s="6" t="s">
        <v>55</v>
      </c>
      <c r="AO205" s="6" t="str">
        <f t="shared" si="54"/>
        <v>Completed</v>
      </c>
    </row>
    <row r="206" spans="1:41">
      <c r="A206" s="6" t="s">
        <v>1113</v>
      </c>
      <c r="B206" s="7" t="s">
        <v>1114</v>
      </c>
      <c r="C206" s="8">
        <v>45858</v>
      </c>
      <c r="D206" s="7" t="s">
        <v>1115</v>
      </c>
      <c r="E206" s="9">
        <v>45861</v>
      </c>
      <c r="F206" s="9" t="str">
        <f t="shared" si="47"/>
        <v>Valid</v>
      </c>
      <c r="G206" s="10">
        <f t="shared" si="48"/>
        <v>3</v>
      </c>
      <c r="H206" s="10" t="str">
        <f t="shared" si="49"/>
        <v>Valid</v>
      </c>
      <c r="I206" s="6" t="s">
        <v>1116</v>
      </c>
      <c r="J206" s="6" t="s">
        <v>60</v>
      </c>
      <c r="K206" s="6" t="s">
        <v>60</v>
      </c>
      <c r="L206" s="6" t="s">
        <v>135</v>
      </c>
      <c r="M206" s="7" t="str">
        <f t="shared" si="50"/>
        <v>Home Office</v>
      </c>
      <c r="N206" s="6" t="s">
        <v>62</v>
      </c>
      <c r="O206" s="7" t="str">
        <f t="shared" si="51"/>
        <v>East</v>
      </c>
      <c r="P206" s="6" t="s">
        <v>141</v>
      </c>
      <c r="Q206" s="6" t="s">
        <v>142</v>
      </c>
      <c r="R206" s="6" t="s">
        <v>65</v>
      </c>
      <c r="S206" s="7" t="str">
        <f t="shared" si="52"/>
        <v>Furniture</v>
      </c>
      <c r="T206" s="6" t="s">
        <v>66</v>
      </c>
      <c r="U206" s="6" t="s">
        <v>1117</v>
      </c>
      <c r="V206" s="6" t="s">
        <v>53</v>
      </c>
      <c r="W206" s="7" t="str">
        <f t="shared" si="53"/>
        <v>Second Class</v>
      </c>
      <c r="X206" s="6">
        <v>4</v>
      </c>
      <c r="Y206" s="6">
        <v>477.69</v>
      </c>
      <c r="Z206" s="6">
        <v>0.15</v>
      </c>
      <c r="AA206" s="6">
        <f t="shared" si="55"/>
        <v>0.15</v>
      </c>
      <c r="AB206" s="6" t="str">
        <f t="shared" si="56"/>
        <v>Valid</v>
      </c>
      <c r="AC206" s="6">
        <v>1624.15</v>
      </c>
      <c r="AD206" s="6" t="str">
        <f>IF(OR(AO206="Cancelled",AM206="Failed"),"Exclude from Completed Sales","Include in Completed Sales")</f>
        <v>Include in Completed Sales</v>
      </c>
      <c r="AE206" s="6">
        <f t="shared" si="57"/>
        <v>1624.146</v>
      </c>
      <c r="AF206" s="6" t="str">
        <f t="shared" si="58"/>
        <v/>
      </c>
      <c r="AG206" s="6">
        <v>1217.99</v>
      </c>
      <c r="AH206" s="6">
        <v>406.16</v>
      </c>
      <c r="AI206" s="6">
        <f t="shared" si="59"/>
        <v>406.15599999999995</v>
      </c>
      <c r="AJ206" s="11">
        <f t="shared" si="60"/>
        <v>0.25007357712914968</v>
      </c>
      <c r="AK206" s="11" t="str">
        <f t="shared" si="61"/>
        <v>July</v>
      </c>
      <c r="AL206" s="12">
        <f t="shared" si="62"/>
        <v>2025</v>
      </c>
      <c r="AM206" s="6" t="s">
        <v>54</v>
      </c>
      <c r="AN206" s="6" t="s">
        <v>55</v>
      </c>
      <c r="AO206" s="6" t="str">
        <f t="shared" si="54"/>
        <v>Completed</v>
      </c>
    </row>
    <row r="207" spans="1:41">
      <c r="A207" s="6" t="s">
        <v>1118</v>
      </c>
      <c r="B207" s="7" t="s">
        <v>1119</v>
      </c>
      <c r="C207" s="8">
        <v>45768</v>
      </c>
      <c r="D207" s="7" t="s">
        <v>1120</v>
      </c>
      <c r="E207" s="9">
        <v>45773</v>
      </c>
      <c r="F207" s="9" t="str">
        <f t="shared" si="47"/>
        <v>Valid</v>
      </c>
      <c r="G207" s="10">
        <f t="shared" si="48"/>
        <v>5</v>
      </c>
      <c r="H207" s="10" t="str">
        <f t="shared" si="49"/>
        <v>Valid</v>
      </c>
      <c r="I207" s="6" t="s">
        <v>1121</v>
      </c>
      <c r="J207" s="6" t="s">
        <v>92</v>
      </c>
      <c r="K207" s="6" t="s">
        <v>92</v>
      </c>
      <c r="L207" s="6" t="s">
        <v>46</v>
      </c>
      <c r="M207" s="7" t="str">
        <f t="shared" si="50"/>
        <v>Consumer</v>
      </c>
      <c r="N207" s="6" t="s">
        <v>93</v>
      </c>
      <c r="O207" s="7" t="str">
        <f t="shared" si="51"/>
        <v>West</v>
      </c>
      <c r="P207" s="6" t="s">
        <v>94</v>
      </c>
      <c r="Q207" s="6" t="s">
        <v>95</v>
      </c>
      <c r="R207" s="6" t="s">
        <v>938</v>
      </c>
      <c r="S207" s="7" t="str">
        <f t="shared" si="52"/>
        <v>Office Supplies</v>
      </c>
      <c r="T207" s="6" t="s">
        <v>129</v>
      </c>
      <c r="U207" s="6" t="s">
        <v>1122</v>
      </c>
      <c r="V207" s="6" t="s">
        <v>68</v>
      </c>
      <c r="W207" s="7" t="str">
        <f t="shared" si="53"/>
        <v>Same Day</v>
      </c>
      <c r="X207" s="6">
        <v>6</v>
      </c>
      <c r="Y207" s="6">
        <v>873.59</v>
      </c>
      <c r="Z207" s="6">
        <v>0.2</v>
      </c>
      <c r="AA207" s="6">
        <f t="shared" si="55"/>
        <v>0.2</v>
      </c>
      <c r="AB207" s="6" t="str">
        <f t="shared" si="56"/>
        <v>Valid</v>
      </c>
      <c r="AC207" s="6">
        <v>4193.2299999999996</v>
      </c>
      <c r="AD207" s="6" t="str">
        <f>IF(OR(AO207="Cancelled",AM207="Failed"),"Exclude from Completed Sales","Include in Completed Sales")</f>
        <v>Include in Completed Sales</v>
      </c>
      <c r="AE207" s="6">
        <f t="shared" si="57"/>
        <v>4193.232</v>
      </c>
      <c r="AF207" s="6" t="str">
        <f t="shared" si="58"/>
        <v/>
      </c>
      <c r="AG207" s="6">
        <v>3329.99</v>
      </c>
      <c r="AH207" s="6">
        <v>863.24</v>
      </c>
      <c r="AI207" s="6">
        <f t="shared" si="59"/>
        <v>863.24200000000019</v>
      </c>
      <c r="AJ207" s="11">
        <f t="shared" si="60"/>
        <v>0.2058655471483572</v>
      </c>
      <c r="AK207" s="11" t="str">
        <f t="shared" si="61"/>
        <v>April</v>
      </c>
      <c r="AL207" s="12">
        <f t="shared" si="62"/>
        <v>2025</v>
      </c>
      <c r="AM207" s="6" t="s">
        <v>54</v>
      </c>
      <c r="AN207" s="6" t="s">
        <v>55</v>
      </c>
      <c r="AO207" s="6" t="str">
        <f t="shared" si="54"/>
        <v>Completed</v>
      </c>
    </row>
    <row r="208" spans="1:41">
      <c r="A208" s="6" t="s">
        <v>1123</v>
      </c>
      <c r="B208" s="7" t="s">
        <v>1124</v>
      </c>
      <c r="C208" s="8">
        <v>45795</v>
      </c>
      <c r="D208" s="7" t="s">
        <v>138</v>
      </c>
      <c r="E208" s="9">
        <v>45797</v>
      </c>
      <c r="F208" s="9" t="str">
        <f t="shared" si="47"/>
        <v>Valid</v>
      </c>
      <c r="G208" s="10">
        <f t="shared" si="48"/>
        <v>2</v>
      </c>
      <c r="H208" s="10" t="str">
        <f t="shared" si="49"/>
        <v>Valid</v>
      </c>
      <c r="I208" s="6" t="s">
        <v>1125</v>
      </c>
      <c r="J208" s="6" t="s">
        <v>230</v>
      </c>
      <c r="K208" s="6" t="s">
        <v>230</v>
      </c>
      <c r="L208" s="6" t="s">
        <v>61</v>
      </c>
      <c r="M208" s="7" t="str">
        <f t="shared" si="50"/>
        <v>Small Business</v>
      </c>
      <c r="N208" s="6" t="s">
        <v>47</v>
      </c>
      <c r="O208" s="7" t="str">
        <f t="shared" si="51"/>
        <v>North</v>
      </c>
      <c r="P208" s="6" t="s">
        <v>194</v>
      </c>
      <c r="Q208" s="6" t="s">
        <v>195</v>
      </c>
      <c r="R208" s="6" t="s">
        <v>65</v>
      </c>
      <c r="S208" s="7" t="str">
        <f t="shared" si="52"/>
        <v>Furniture</v>
      </c>
      <c r="T208" s="6" t="s">
        <v>85</v>
      </c>
      <c r="U208" s="6" t="s">
        <v>1126</v>
      </c>
      <c r="V208" s="6" t="s">
        <v>76</v>
      </c>
      <c r="W208" s="7" t="str">
        <f t="shared" si="53"/>
        <v>First Class</v>
      </c>
      <c r="X208" s="6">
        <v>2</v>
      </c>
      <c r="Y208" s="6">
        <v>215.13</v>
      </c>
      <c r="Z208" s="6">
        <v>0</v>
      </c>
      <c r="AA208" s="6">
        <f t="shared" si="55"/>
        <v>0</v>
      </c>
      <c r="AB208" s="6" t="str">
        <f t="shared" si="56"/>
        <v>Valid</v>
      </c>
      <c r="AC208" s="6">
        <v>430.26</v>
      </c>
      <c r="AD208" s="6" t="str">
        <f>IF(OR(AO208="Cancelled",AM208="Failed"),"Exclude from Completed Sales","Include in Completed Sales")</f>
        <v>Include in Completed Sales</v>
      </c>
      <c r="AE208" s="6">
        <f t="shared" si="57"/>
        <v>430.26</v>
      </c>
      <c r="AF208" s="6" t="str">
        <f t="shared" si="58"/>
        <v/>
      </c>
      <c r="AG208" s="6">
        <v>286.38</v>
      </c>
      <c r="AH208" s="6">
        <v>143.88</v>
      </c>
      <c r="AI208" s="6">
        <f t="shared" si="59"/>
        <v>143.88</v>
      </c>
      <c r="AJ208" s="11">
        <f t="shared" si="60"/>
        <v>0.33440245432994004</v>
      </c>
      <c r="AK208" s="11" t="str">
        <f t="shared" si="61"/>
        <v>May</v>
      </c>
      <c r="AL208" s="12">
        <f t="shared" si="62"/>
        <v>2025</v>
      </c>
      <c r="AM208" s="6" t="s">
        <v>54</v>
      </c>
      <c r="AN208" s="6" t="s">
        <v>55</v>
      </c>
      <c r="AO208" s="6" t="str">
        <f t="shared" si="54"/>
        <v>Completed</v>
      </c>
    </row>
    <row r="209" spans="1:41">
      <c r="A209" s="6" t="s">
        <v>1127</v>
      </c>
      <c r="B209" s="7" t="s">
        <v>1128</v>
      </c>
      <c r="C209" s="8">
        <v>45483</v>
      </c>
      <c r="D209" s="7" t="s">
        <v>1129</v>
      </c>
      <c r="E209" s="9">
        <v>45489</v>
      </c>
      <c r="F209" s="9" t="str">
        <f t="shared" si="47"/>
        <v>Valid</v>
      </c>
      <c r="G209" s="10">
        <f t="shared" si="48"/>
        <v>6</v>
      </c>
      <c r="H209" s="10" t="str">
        <f t="shared" si="49"/>
        <v>Valid</v>
      </c>
      <c r="I209" s="6" t="s">
        <v>1130</v>
      </c>
      <c r="J209" s="6" t="s">
        <v>182</v>
      </c>
      <c r="K209" s="6" t="s">
        <v>182</v>
      </c>
      <c r="L209" s="6" t="s">
        <v>135</v>
      </c>
      <c r="M209" s="7" t="str">
        <f t="shared" si="50"/>
        <v>Home Office</v>
      </c>
      <c r="N209" s="6" t="s">
        <v>93</v>
      </c>
      <c r="O209" s="7" t="str">
        <f t="shared" si="51"/>
        <v>West</v>
      </c>
      <c r="P209" s="6" t="s">
        <v>269</v>
      </c>
      <c r="Q209" s="6" t="s">
        <v>270</v>
      </c>
      <c r="R209" s="6" t="s">
        <v>65</v>
      </c>
      <c r="S209" s="7" t="str">
        <f t="shared" si="52"/>
        <v>Furniture</v>
      </c>
      <c r="T209" s="6" t="s">
        <v>224</v>
      </c>
      <c r="U209" s="6" t="s">
        <v>1131</v>
      </c>
      <c r="V209" s="6" t="s">
        <v>53</v>
      </c>
      <c r="W209" s="7" t="str">
        <f t="shared" si="53"/>
        <v>Second Class</v>
      </c>
      <c r="X209" s="6">
        <v>2</v>
      </c>
      <c r="Y209" s="6">
        <v>1095.45</v>
      </c>
      <c r="Z209" s="6">
        <v>0.2</v>
      </c>
      <c r="AA209" s="6">
        <f t="shared" si="55"/>
        <v>0.2</v>
      </c>
      <c r="AB209" s="6" t="str">
        <f t="shared" si="56"/>
        <v>Valid</v>
      </c>
      <c r="AC209" s="6">
        <v>1752.72</v>
      </c>
      <c r="AD209" s="6" t="str">
        <f>IF(OR(AO209="Cancelled",AM209="Failed"),"Exclude from Completed Sales","Include in Completed Sales")</f>
        <v>Include in Completed Sales</v>
      </c>
      <c r="AE209" s="6">
        <f t="shared" si="57"/>
        <v>1752.7200000000003</v>
      </c>
      <c r="AF209" s="6" t="str">
        <f t="shared" si="58"/>
        <v/>
      </c>
      <c r="AG209" s="6">
        <v>996.41</v>
      </c>
      <c r="AH209" s="6">
        <v>756.31</v>
      </c>
      <c r="AI209" s="6">
        <f t="shared" si="59"/>
        <v>756.31000000000029</v>
      </c>
      <c r="AJ209" s="11">
        <f t="shared" si="60"/>
        <v>0.43150645853302305</v>
      </c>
      <c r="AK209" s="11" t="str">
        <f t="shared" si="61"/>
        <v>July</v>
      </c>
      <c r="AL209" s="12">
        <f t="shared" si="62"/>
        <v>2024</v>
      </c>
      <c r="AM209" s="6" t="s">
        <v>54</v>
      </c>
      <c r="AN209" s="6" t="s">
        <v>55</v>
      </c>
      <c r="AO209" s="6" t="str">
        <f t="shared" si="54"/>
        <v>Completed</v>
      </c>
    </row>
    <row r="210" spans="1:41">
      <c r="A210" s="6" t="s">
        <v>1132</v>
      </c>
      <c r="B210" s="7" t="s">
        <v>1133</v>
      </c>
      <c r="C210" s="8">
        <v>45837</v>
      </c>
      <c r="D210" s="7" t="s">
        <v>1134</v>
      </c>
      <c r="E210" s="9">
        <v>45843</v>
      </c>
      <c r="F210" s="9" t="str">
        <f t="shared" si="47"/>
        <v>Valid</v>
      </c>
      <c r="G210" s="10">
        <f t="shared" si="48"/>
        <v>6</v>
      </c>
      <c r="H210" s="10" t="str">
        <f t="shared" si="49"/>
        <v>Valid</v>
      </c>
      <c r="I210" s="6" t="s">
        <v>1135</v>
      </c>
      <c r="J210" s="6" t="s">
        <v>230</v>
      </c>
      <c r="K210" s="6" t="s">
        <v>230</v>
      </c>
      <c r="L210" s="6" t="s">
        <v>46</v>
      </c>
      <c r="M210" s="7" t="str">
        <f t="shared" si="50"/>
        <v>Consumer</v>
      </c>
      <c r="N210" s="6" t="s">
        <v>47</v>
      </c>
      <c r="O210" s="7" t="str">
        <f t="shared" si="51"/>
        <v>North</v>
      </c>
      <c r="P210" s="6" t="s">
        <v>174</v>
      </c>
      <c r="Q210" s="6" t="s">
        <v>175</v>
      </c>
      <c r="R210" s="6" t="s">
        <v>65</v>
      </c>
      <c r="S210" s="7" t="str">
        <f t="shared" si="52"/>
        <v>Furniture</v>
      </c>
      <c r="T210" s="6" t="s">
        <v>96</v>
      </c>
      <c r="U210" s="6" t="s">
        <v>1136</v>
      </c>
      <c r="V210" s="6" t="s">
        <v>68</v>
      </c>
      <c r="W210" s="7" t="str">
        <f t="shared" si="53"/>
        <v>Same Day</v>
      </c>
      <c r="X210" s="6">
        <v>1</v>
      </c>
      <c r="Y210" s="6">
        <v>999.83</v>
      </c>
      <c r="Z210" s="6">
        <v>0</v>
      </c>
      <c r="AA210" s="6">
        <f t="shared" si="55"/>
        <v>0</v>
      </c>
      <c r="AB210" s="6" t="str">
        <f t="shared" si="56"/>
        <v>Valid</v>
      </c>
      <c r="AC210" s="6">
        <v>999.83</v>
      </c>
      <c r="AD210" s="6" t="str">
        <f>IF(OR(AO210="Cancelled",AM210="Failed"),"Exclude from Completed Sales","Include in Completed Sales")</f>
        <v>Include in Completed Sales</v>
      </c>
      <c r="AE210" s="6">
        <f t="shared" si="57"/>
        <v>999.83</v>
      </c>
      <c r="AF210" s="6" t="str">
        <f t="shared" si="58"/>
        <v/>
      </c>
      <c r="AG210" s="6">
        <v>634.91</v>
      </c>
      <c r="AH210" s="6">
        <v>364.92</v>
      </c>
      <c r="AI210" s="6">
        <f t="shared" si="59"/>
        <v>364.92000000000007</v>
      </c>
      <c r="AJ210" s="11">
        <f t="shared" si="60"/>
        <v>0.3649820469479812</v>
      </c>
      <c r="AK210" s="11" t="str">
        <f t="shared" si="61"/>
        <v>June</v>
      </c>
      <c r="AL210" s="12">
        <f t="shared" si="62"/>
        <v>2025</v>
      </c>
      <c r="AM210" s="6" t="s">
        <v>54</v>
      </c>
      <c r="AN210" s="6" t="s">
        <v>55</v>
      </c>
      <c r="AO210" s="6" t="str">
        <f t="shared" si="54"/>
        <v>Completed</v>
      </c>
    </row>
    <row r="211" spans="1:41">
      <c r="A211" s="6" t="s">
        <v>1137</v>
      </c>
      <c r="B211" s="7" t="s">
        <v>1138</v>
      </c>
      <c r="C211" s="8">
        <v>45882</v>
      </c>
      <c r="D211" s="7" t="s">
        <v>1139</v>
      </c>
      <c r="E211" s="9">
        <v>45883</v>
      </c>
      <c r="F211" s="9" t="str">
        <f t="shared" si="47"/>
        <v>Valid</v>
      </c>
      <c r="G211" s="10">
        <f t="shared" si="48"/>
        <v>1</v>
      </c>
      <c r="H211" s="10" t="str">
        <f t="shared" si="49"/>
        <v>Valid</v>
      </c>
      <c r="I211" s="6" t="s">
        <v>1140</v>
      </c>
      <c r="J211" s="6" t="s">
        <v>200</v>
      </c>
      <c r="K211" s="6" t="s">
        <v>200</v>
      </c>
      <c r="L211" s="6" t="s">
        <v>61</v>
      </c>
      <c r="M211" s="7" t="str">
        <f t="shared" si="50"/>
        <v>Small Business</v>
      </c>
      <c r="N211" s="6" t="s">
        <v>82</v>
      </c>
      <c r="O211" s="7" t="str">
        <f t="shared" si="51"/>
        <v>South</v>
      </c>
      <c r="P211" s="6" t="s">
        <v>120</v>
      </c>
      <c r="Q211" s="6" t="s">
        <v>121</v>
      </c>
      <c r="R211" s="6" t="s">
        <v>50</v>
      </c>
      <c r="S211" s="7" t="str">
        <f t="shared" si="52"/>
        <v>Office Supplies</v>
      </c>
      <c r="T211" s="6" t="s">
        <v>51</v>
      </c>
      <c r="U211" s="6" t="s">
        <v>1141</v>
      </c>
      <c r="V211" s="6" t="s">
        <v>76</v>
      </c>
      <c r="W211" s="7" t="str">
        <f t="shared" si="53"/>
        <v>First Class</v>
      </c>
      <c r="X211" s="6">
        <v>9</v>
      </c>
      <c r="Y211" s="6">
        <v>864.98</v>
      </c>
      <c r="Z211" s="6">
        <v>0.1</v>
      </c>
      <c r="AA211" s="6">
        <f t="shared" si="55"/>
        <v>0.1</v>
      </c>
      <c r="AB211" s="6" t="str">
        <f t="shared" si="56"/>
        <v>Valid</v>
      </c>
      <c r="AC211" s="6">
        <v>7006.34</v>
      </c>
      <c r="AD211" s="6" t="str">
        <f>IF(OR(AO211="Cancelled",AM211="Failed"),"Exclude from Completed Sales","Include in Completed Sales")</f>
        <v>Include in Completed Sales</v>
      </c>
      <c r="AE211" s="6">
        <f t="shared" si="57"/>
        <v>7006.3379999999997</v>
      </c>
      <c r="AF211" s="6" t="str">
        <f t="shared" si="58"/>
        <v/>
      </c>
      <c r="AG211" s="6">
        <v>4640.88</v>
      </c>
      <c r="AH211" s="6">
        <v>2365.46</v>
      </c>
      <c r="AI211" s="6">
        <f t="shared" si="59"/>
        <v>2365.4579999999996</v>
      </c>
      <c r="AJ211" s="11">
        <f t="shared" si="60"/>
        <v>0.33761688345609359</v>
      </c>
      <c r="AK211" s="11" t="str">
        <f t="shared" si="61"/>
        <v>August</v>
      </c>
      <c r="AL211" s="12">
        <f t="shared" si="62"/>
        <v>2025</v>
      </c>
      <c r="AM211" s="6" t="s">
        <v>54</v>
      </c>
      <c r="AN211" s="6" t="s">
        <v>55</v>
      </c>
      <c r="AO211" s="6" t="str">
        <f t="shared" si="54"/>
        <v>Completed</v>
      </c>
    </row>
    <row r="212" spans="1:41">
      <c r="A212" s="6" t="s">
        <v>1142</v>
      </c>
      <c r="B212" s="7" t="s">
        <v>1143</v>
      </c>
      <c r="C212" s="8">
        <v>45366</v>
      </c>
      <c r="D212" s="7" t="s">
        <v>1144</v>
      </c>
      <c r="E212" s="9">
        <v>45369</v>
      </c>
      <c r="F212" s="9" t="str">
        <f t="shared" si="47"/>
        <v>Valid</v>
      </c>
      <c r="G212" s="10">
        <f t="shared" si="48"/>
        <v>3</v>
      </c>
      <c r="H212" s="10" t="str">
        <f t="shared" si="49"/>
        <v>Valid</v>
      </c>
      <c r="I212" s="6" t="s">
        <v>1145</v>
      </c>
      <c r="J212" s="6" t="s">
        <v>386</v>
      </c>
      <c r="K212" s="6" t="s">
        <v>386</v>
      </c>
      <c r="L212" s="6" t="s">
        <v>135</v>
      </c>
      <c r="M212" s="7" t="str">
        <f t="shared" si="50"/>
        <v>Home Office</v>
      </c>
      <c r="N212" s="6" t="s">
        <v>82</v>
      </c>
      <c r="O212" s="7" t="str">
        <f t="shared" si="51"/>
        <v>South</v>
      </c>
      <c r="P212" s="6" t="s">
        <v>249</v>
      </c>
      <c r="Q212" s="6" t="s">
        <v>250</v>
      </c>
      <c r="R212" s="6" t="s">
        <v>106</v>
      </c>
      <c r="S212" s="7" t="str">
        <f t="shared" si="52"/>
        <v>Technology</v>
      </c>
      <c r="T212" s="6" t="s">
        <v>402</v>
      </c>
      <c r="U212" s="6" t="s">
        <v>1146</v>
      </c>
      <c r="V212" s="6" t="s">
        <v>53</v>
      </c>
      <c r="W212" s="7" t="str">
        <f t="shared" si="53"/>
        <v>Second Class</v>
      </c>
      <c r="X212" s="6">
        <v>1</v>
      </c>
      <c r="Y212" s="6">
        <v>4131.3599999999997</v>
      </c>
      <c r="Z212" s="6">
        <v>0</v>
      </c>
      <c r="AA212" s="6">
        <f t="shared" si="55"/>
        <v>0</v>
      </c>
      <c r="AB212" s="6" t="str">
        <f t="shared" si="56"/>
        <v>Valid</v>
      </c>
      <c r="AC212" s="6">
        <v>4131.3599999999997</v>
      </c>
      <c r="AD212" s="6" t="str">
        <f>IF(OR(AO212="Cancelled",AM212="Failed"),"Exclude from Completed Sales","Include in Completed Sales")</f>
        <v>Exclude from Completed Sales</v>
      </c>
      <c r="AE212" s="6">
        <f t="shared" si="57"/>
        <v>4131.3599999999997</v>
      </c>
      <c r="AF212" s="6" t="str">
        <f t="shared" si="58"/>
        <v/>
      </c>
      <c r="AG212" s="6">
        <v>2937.07</v>
      </c>
      <c r="AH212" s="6">
        <v>1194.29</v>
      </c>
      <c r="AI212" s="6">
        <f t="shared" si="59"/>
        <v>1194.2899999999995</v>
      </c>
      <c r="AJ212" s="11">
        <f t="shared" si="60"/>
        <v>0.28907914100925591</v>
      </c>
      <c r="AK212" s="11" t="str">
        <f t="shared" si="61"/>
        <v>March</v>
      </c>
      <c r="AL212" s="12">
        <f t="shared" si="62"/>
        <v>2024</v>
      </c>
      <c r="AM212" s="6" t="s">
        <v>220</v>
      </c>
      <c r="AN212" s="6" t="s">
        <v>145</v>
      </c>
      <c r="AO212" s="6" t="str">
        <f t="shared" si="54"/>
        <v>Returned</v>
      </c>
    </row>
    <row r="213" spans="1:41">
      <c r="A213" s="6" t="s">
        <v>1147</v>
      </c>
      <c r="B213" s="7" t="s">
        <v>1148</v>
      </c>
      <c r="C213" s="8">
        <v>45428</v>
      </c>
      <c r="D213" s="7" t="s">
        <v>1149</v>
      </c>
      <c r="E213" s="9">
        <v>45429</v>
      </c>
      <c r="F213" s="9" t="str">
        <f t="shared" si="47"/>
        <v>Valid</v>
      </c>
      <c r="G213" s="10">
        <f t="shared" si="48"/>
        <v>1</v>
      </c>
      <c r="H213" s="10" t="str">
        <f t="shared" si="49"/>
        <v>Valid</v>
      </c>
      <c r="I213" s="6" t="s">
        <v>1150</v>
      </c>
      <c r="J213" s="6" t="s">
        <v>200</v>
      </c>
      <c r="K213" s="6" t="s">
        <v>200</v>
      </c>
      <c r="L213" s="6" t="s">
        <v>128</v>
      </c>
      <c r="M213" s="7" t="str">
        <f t="shared" si="50"/>
        <v>Corporate</v>
      </c>
      <c r="N213" s="6" t="s">
        <v>1151</v>
      </c>
      <c r="O213" s="7" t="str">
        <f t="shared" si="51"/>
        <v>East</v>
      </c>
      <c r="P213" s="6" t="s">
        <v>141</v>
      </c>
      <c r="Q213" s="6" t="s">
        <v>142</v>
      </c>
      <c r="R213" s="6" t="s">
        <v>106</v>
      </c>
      <c r="S213" s="7" t="str">
        <f t="shared" si="52"/>
        <v>Technology</v>
      </c>
      <c r="T213" s="6" t="s">
        <v>114</v>
      </c>
      <c r="U213" s="6" t="s">
        <v>1152</v>
      </c>
      <c r="V213" s="6" t="s">
        <v>53</v>
      </c>
      <c r="W213" s="7" t="str">
        <f t="shared" si="53"/>
        <v>Second Class</v>
      </c>
      <c r="X213" s="6">
        <v>8</v>
      </c>
      <c r="Y213" s="6">
        <v>4221.95</v>
      </c>
      <c r="Z213" s="6">
        <v>0.2</v>
      </c>
      <c r="AA213" s="6">
        <f t="shared" si="55"/>
        <v>0.2</v>
      </c>
      <c r="AB213" s="6" t="str">
        <f t="shared" si="56"/>
        <v>Valid</v>
      </c>
      <c r="AC213" s="6">
        <v>27020.48</v>
      </c>
      <c r="AD213" s="6" t="str">
        <f>IF(OR(AO213="Cancelled",AM213="Failed"),"Exclude from Completed Sales","Include in Completed Sales")</f>
        <v>Include in Completed Sales</v>
      </c>
      <c r="AE213" s="6">
        <f t="shared" si="57"/>
        <v>27020.48</v>
      </c>
      <c r="AF213" s="6" t="str">
        <f t="shared" si="58"/>
        <v/>
      </c>
      <c r="AG213" s="6">
        <v>22885.24</v>
      </c>
      <c r="AH213" s="6">
        <v>4135.24</v>
      </c>
      <c r="AI213" s="6">
        <f t="shared" si="59"/>
        <v>4135.239999999998</v>
      </c>
      <c r="AJ213" s="11">
        <f t="shared" si="60"/>
        <v>0.15304095264036752</v>
      </c>
      <c r="AK213" s="11" t="str">
        <f t="shared" si="61"/>
        <v>May</v>
      </c>
      <c r="AL213" s="12">
        <f t="shared" si="62"/>
        <v>2024</v>
      </c>
      <c r="AM213" s="6" t="s">
        <v>54</v>
      </c>
      <c r="AN213" s="6" t="s">
        <v>55</v>
      </c>
      <c r="AO213" s="6" t="str">
        <f t="shared" si="54"/>
        <v>Completed</v>
      </c>
    </row>
    <row r="214" spans="1:41">
      <c r="A214" s="6" t="s">
        <v>1153</v>
      </c>
      <c r="B214" s="7" t="s">
        <v>1154</v>
      </c>
      <c r="C214" s="8">
        <v>45556</v>
      </c>
      <c r="D214" s="7" t="s">
        <v>1155</v>
      </c>
      <c r="E214" s="9">
        <v>45556</v>
      </c>
      <c r="F214" s="9" t="str">
        <f t="shared" si="47"/>
        <v>Valid</v>
      </c>
      <c r="G214" s="10">
        <f t="shared" si="48"/>
        <v>0</v>
      </c>
      <c r="H214" s="10" t="str">
        <f t="shared" si="49"/>
        <v>Valid</v>
      </c>
      <c r="I214" s="6" t="s">
        <v>1156</v>
      </c>
      <c r="J214" s="6" t="s">
        <v>92</v>
      </c>
      <c r="K214" s="6" t="s">
        <v>92</v>
      </c>
      <c r="L214" s="6" t="s">
        <v>61</v>
      </c>
      <c r="M214" s="7" t="str">
        <f t="shared" si="50"/>
        <v>Small Business</v>
      </c>
      <c r="N214" s="6" t="s">
        <v>62</v>
      </c>
      <c r="O214" s="7" t="str">
        <f t="shared" si="51"/>
        <v>East</v>
      </c>
      <c r="P214" s="6" t="s">
        <v>63</v>
      </c>
      <c r="Q214" s="6" t="s">
        <v>64</v>
      </c>
      <c r="R214" s="6" t="s">
        <v>106</v>
      </c>
      <c r="S214" s="7" t="str">
        <f t="shared" si="52"/>
        <v>Technology</v>
      </c>
      <c r="T214" s="6" t="s">
        <v>243</v>
      </c>
      <c r="U214" s="6" t="s">
        <v>1157</v>
      </c>
      <c r="V214" s="6" t="s">
        <v>68</v>
      </c>
      <c r="W214" s="7" t="str">
        <f t="shared" si="53"/>
        <v>Same Day</v>
      </c>
      <c r="X214" s="6">
        <v>2</v>
      </c>
      <c r="Y214" s="6">
        <v>214.5</v>
      </c>
      <c r="Z214" s="6">
        <v>0.15</v>
      </c>
      <c r="AA214" s="6">
        <f t="shared" si="55"/>
        <v>0.15</v>
      </c>
      <c r="AB214" s="6" t="str">
        <f t="shared" si="56"/>
        <v>Valid</v>
      </c>
      <c r="AC214" s="6">
        <v>364.65</v>
      </c>
      <c r="AD214" s="6" t="str">
        <f>IF(OR(AO214="Cancelled",AM214="Failed"),"Exclude from Completed Sales","Include in Completed Sales")</f>
        <v>Include in Completed Sales</v>
      </c>
      <c r="AE214" s="6">
        <f t="shared" si="57"/>
        <v>364.65</v>
      </c>
      <c r="AF214" s="6" t="str">
        <f t="shared" si="58"/>
        <v/>
      </c>
      <c r="AG214" s="6">
        <v>280.74</v>
      </c>
      <c r="AH214" s="6">
        <v>83.91</v>
      </c>
      <c r="AI214" s="6">
        <f t="shared" si="59"/>
        <v>83.909999999999968</v>
      </c>
      <c r="AJ214" s="11">
        <f t="shared" si="60"/>
        <v>0.23011106540518297</v>
      </c>
      <c r="AK214" s="11" t="str">
        <f t="shared" si="61"/>
        <v>September</v>
      </c>
      <c r="AL214" s="12">
        <f t="shared" si="62"/>
        <v>2024</v>
      </c>
      <c r="AM214" s="6" t="s">
        <v>54</v>
      </c>
      <c r="AN214" s="6" t="s">
        <v>55</v>
      </c>
      <c r="AO214" s="6" t="str">
        <f t="shared" si="54"/>
        <v>Completed</v>
      </c>
    </row>
    <row r="215" spans="1:41">
      <c r="A215" s="6" t="s">
        <v>1158</v>
      </c>
      <c r="B215" s="7" t="s">
        <v>1159</v>
      </c>
      <c r="C215" s="8">
        <v>45427</v>
      </c>
      <c r="D215" s="7" t="s">
        <v>1160</v>
      </c>
      <c r="E215" s="9">
        <v>45433</v>
      </c>
      <c r="F215" s="9" t="str">
        <f t="shared" si="47"/>
        <v>Valid</v>
      </c>
      <c r="G215" s="10">
        <f t="shared" si="48"/>
        <v>6</v>
      </c>
      <c r="H215" s="10" t="str">
        <f t="shared" si="49"/>
        <v>Valid</v>
      </c>
      <c r="I215" s="6" t="s">
        <v>1161</v>
      </c>
      <c r="J215" s="6" t="s">
        <v>73</v>
      </c>
      <c r="K215" s="6" t="s">
        <v>73</v>
      </c>
      <c r="L215" s="6" t="s">
        <v>61</v>
      </c>
      <c r="M215" s="7" t="str">
        <f t="shared" si="50"/>
        <v>Small Business</v>
      </c>
      <c r="N215" s="6" t="s">
        <v>62</v>
      </c>
      <c r="O215" s="7" t="str">
        <f t="shared" si="51"/>
        <v>East</v>
      </c>
      <c r="P215" s="6" t="s">
        <v>206</v>
      </c>
      <c r="Q215" s="6" t="s">
        <v>207</v>
      </c>
      <c r="R215" s="6" t="s">
        <v>106</v>
      </c>
      <c r="S215" s="7" t="str">
        <f t="shared" si="52"/>
        <v>Technology</v>
      </c>
      <c r="T215" s="6" t="s">
        <v>107</v>
      </c>
      <c r="U215" s="6" t="s">
        <v>1162</v>
      </c>
      <c r="V215" s="6" t="s">
        <v>53</v>
      </c>
      <c r="W215" s="7" t="str">
        <f t="shared" si="53"/>
        <v>Second Class</v>
      </c>
      <c r="X215" s="6">
        <v>4</v>
      </c>
      <c r="Y215" s="6">
        <v>4332.7299999999996</v>
      </c>
      <c r="Z215" s="6">
        <v>0.2</v>
      </c>
      <c r="AA215" s="6">
        <f t="shared" si="55"/>
        <v>0.2</v>
      </c>
      <c r="AB215" s="6" t="str">
        <f t="shared" si="56"/>
        <v>Valid</v>
      </c>
      <c r="AC215" s="6">
        <v>13864.74</v>
      </c>
      <c r="AD215" s="6" t="str">
        <f>IF(OR(AO215="Cancelled",AM215="Failed"),"Exclude from Completed Sales","Include in Completed Sales")</f>
        <v>Include in Completed Sales</v>
      </c>
      <c r="AE215" s="6">
        <f t="shared" si="57"/>
        <v>13864.735999999999</v>
      </c>
      <c r="AF215" s="6" t="str">
        <f t="shared" si="58"/>
        <v/>
      </c>
      <c r="AG215" s="6">
        <v>11294.06</v>
      </c>
      <c r="AH215" s="6">
        <v>2570.6799999999998</v>
      </c>
      <c r="AI215" s="6">
        <f t="shared" si="59"/>
        <v>2570.6759999999995</v>
      </c>
      <c r="AJ215" s="11">
        <f t="shared" si="60"/>
        <v>0.18541110339208763</v>
      </c>
      <c r="AK215" s="11" t="str">
        <f t="shared" si="61"/>
        <v>May</v>
      </c>
      <c r="AL215" s="12">
        <f t="shared" si="62"/>
        <v>2024</v>
      </c>
      <c r="AM215" s="6" t="s">
        <v>54</v>
      </c>
      <c r="AN215" s="6" t="s">
        <v>55</v>
      </c>
      <c r="AO215" s="6" t="str">
        <f t="shared" si="54"/>
        <v>Completed</v>
      </c>
    </row>
    <row r="216" spans="1:41">
      <c r="A216" s="6" t="s">
        <v>1163</v>
      </c>
      <c r="B216" s="7" t="s">
        <v>1164</v>
      </c>
      <c r="C216" s="8">
        <v>45368</v>
      </c>
      <c r="D216" s="7" t="s">
        <v>1165</v>
      </c>
      <c r="E216" s="9">
        <v>45374</v>
      </c>
      <c r="F216" s="9" t="str">
        <f t="shared" si="47"/>
        <v>Valid</v>
      </c>
      <c r="G216" s="10">
        <f t="shared" si="48"/>
        <v>6</v>
      </c>
      <c r="H216" s="10" t="str">
        <f t="shared" si="49"/>
        <v>Valid</v>
      </c>
      <c r="I216" s="6" t="s">
        <v>1166</v>
      </c>
      <c r="J216" s="6" t="s">
        <v>168</v>
      </c>
      <c r="K216" s="6" t="s">
        <v>168</v>
      </c>
      <c r="L216" s="6" t="s">
        <v>46</v>
      </c>
      <c r="M216" s="7" t="str">
        <f t="shared" si="50"/>
        <v>Consumer</v>
      </c>
      <c r="N216" s="6" t="s">
        <v>47</v>
      </c>
      <c r="O216" s="7" t="str">
        <f t="shared" si="51"/>
        <v>North</v>
      </c>
      <c r="P216" s="6" t="s">
        <v>343</v>
      </c>
      <c r="Q216" s="6" t="s">
        <v>344</v>
      </c>
      <c r="R216" s="6" t="s">
        <v>106</v>
      </c>
      <c r="S216" s="7" t="str">
        <f t="shared" si="52"/>
        <v>Technology</v>
      </c>
      <c r="T216" s="6" t="s">
        <v>107</v>
      </c>
      <c r="U216" s="6" t="s">
        <v>1167</v>
      </c>
      <c r="V216" s="6" t="s">
        <v>76</v>
      </c>
      <c r="W216" s="7" t="str">
        <f t="shared" si="53"/>
        <v>First Class</v>
      </c>
      <c r="X216" s="6">
        <v>3</v>
      </c>
      <c r="Y216" s="6">
        <v>248.18</v>
      </c>
      <c r="Z216" s="6">
        <v>0.05</v>
      </c>
      <c r="AA216" s="6">
        <f t="shared" si="55"/>
        <v>0.05</v>
      </c>
      <c r="AB216" s="6" t="str">
        <f t="shared" si="56"/>
        <v>Valid</v>
      </c>
      <c r="AC216" s="6">
        <v>707.31</v>
      </c>
      <c r="AD216" s="6" t="str">
        <f>IF(OR(AO216="Cancelled",AM216="Failed"),"Exclude from Completed Sales","Include in Completed Sales")</f>
        <v>Include in Completed Sales</v>
      </c>
      <c r="AE216" s="6">
        <f t="shared" si="57"/>
        <v>707.31299999999999</v>
      </c>
      <c r="AF216" s="6" t="str">
        <f t="shared" si="58"/>
        <v/>
      </c>
      <c r="AG216" s="6">
        <v>569</v>
      </c>
      <c r="AH216" s="6">
        <v>138.31</v>
      </c>
      <c r="AI216" s="6">
        <f t="shared" si="59"/>
        <v>138.31299999999999</v>
      </c>
      <c r="AJ216" s="11">
        <f t="shared" si="60"/>
        <v>0.19554709159876885</v>
      </c>
      <c r="AK216" s="11" t="str">
        <f t="shared" si="61"/>
        <v>March</v>
      </c>
      <c r="AL216" s="12">
        <f t="shared" si="62"/>
        <v>2024</v>
      </c>
      <c r="AM216" s="6" t="s">
        <v>54</v>
      </c>
      <c r="AN216" s="6" t="s">
        <v>55</v>
      </c>
      <c r="AO216" s="6" t="str">
        <f t="shared" si="54"/>
        <v>Completed</v>
      </c>
    </row>
    <row r="217" spans="1:41">
      <c r="A217" s="6" t="s">
        <v>1168</v>
      </c>
      <c r="B217" s="7" t="s">
        <v>1169</v>
      </c>
      <c r="C217" s="8">
        <v>45352</v>
      </c>
      <c r="D217" s="7" t="s">
        <v>227</v>
      </c>
      <c r="E217" s="9">
        <v>45355</v>
      </c>
      <c r="F217" s="9" t="str">
        <f t="shared" si="47"/>
        <v>Valid</v>
      </c>
      <c r="G217" s="10">
        <f t="shared" si="48"/>
        <v>3</v>
      </c>
      <c r="H217" s="10" t="str">
        <f t="shared" si="49"/>
        <v>Valid</v>
      </c>
      <c r="I217" s="6" t="s">
        <v>1170</v>
      </c>
      <c r="J217" s="6" t="s">
        <v>60</v>
      </c>
      <c r="K217" s="6" t="s">
        <v>60</v>
      </c>
      <c r="L217" s="6" t="s">
        <v>46</v>
      </c>
      <c r="M217" s="7" t="str">
        <f t="shared" si="50"/>
        <v>Consumer</v>
      </c>
      <c r="N217" s="6" t="s">
        <v>93</v>
      </c>
      <c r="O217" s="7" t="str">
        <f t="shared" si="51"/>
        <v>West</v>
      </c>
      <c r="P217" s="6" t="s">
        <v>104</v>
      </c>
      <c r="Q217" s="6" t="s">
        <v>105</v>
      </c>
      <c r="R217" s="6" t="s">
        <v>50</v>
      </c>
      <c r="S217" s="7" t="str">
        <f t="shared" si="52"/>
        <v>Office Supplies</v>
      </c>
      <c r="T217" s="6" t="s">
        <v>51</v>
      </c>
      <c r="U217" s="6" t="s">
        <v>1171</v>
      </c>
      <c r="V217" s="6" t="s">
        <v>76</v>
      </c>
      <c r="W217" s="7" t="str">
        <f t="shared" si="53"/>
        <v>First Class</v>
      </c>
      <c r="X217" s="6">
        <v>8</v>
      </c>
      <c r="Y217" s="6">
        <v>3202.4</v>
      </c>
      <c r="Z217" s="6">
        <v>0.25</v>
      </c>
      <c r="AA217" s="6">
        <f t="shared" si="55"/>
        <v>0.25</v>
      </c>
      <c r="AB217" s="6" t="str">
        <f t="shared" si="56"/>
        <v>Valid</v>
      </c>
      <c r="AC217" s="6">
        <v>19214.400000000001</v>
      </c>
      <c r="AD217" s="6" t="str">
        <f>IF(OR(AO217="Cancelled",AM217="Failed"),"Exclude from Completed Sales","Include in Completed Sales")</f>
        <v>Include in Completed Sales</v>
      </c>
      <c r="AE217" s="6">
        <f t="shared" si="57"/>
        <v>19214.400000000001</v>
      </c>
      <c r="AF217" s="6" t="str">
        <f t="shared" si="58"/>
        <v/>
      </c>
      <c r="AG217" s="6">
        <v>10916.01</v>
      </c>
      <c r="AH217" s="6">
        <v>8298.39</v>
      </c>
      <c r="AI217" s="6">
        <f t="shared" si="59"/>
        <v>8298.3900000000012</v>
      </c>
      <c r="AJ217" s="11">
        <f t="shared" si="60"/>
        <v>0.43188389957531853</v>
      </c>
      <c r="AK217" s="11" t="str">
        <f t="shared" si="61"/>
        <v>March</v>
      </c>
      <c r="AL217" s="12">
        <f t="shared" si="62"/>
        <v>2024</v>
      </c>
      <c r="AM217" s="6" t="s">
        <v>54</v>
      </c>
      <c r="AN217" s="6" t="s">
        <v>55</v>
      </c>
      <c r="AO217" s="6" t="str">
        <f t="shared" si="54"/>
        <v>Completed</v>
      </c>
    </row>
    <row r="218" spans="1:41">
      <c r="A218" s="6" t="s">
        <v>1172</v>
      </c>
      <c r="B218" s="7" t="s">
        <v>110</v>
      </c>
      <c r="C218" s="8">
        <v>45757</v>
      </c>
      <c r="D218" s="7" t="s">
        <v>1173</v>
      </c>
      <c r="E218" s="9">
        <v>45762</v>
      </c>
      <c r="F218" s="9" t="str">
        <f t="shared" si="47"/>
        <v>Valid</v>
      </c>
      <c r="G218" s="10">
        <f t="shared" si="48"/>
        <v>5</v>
      </c>
      <c r="H218" s="10" t="str">
        <f t="shared" si="49"/>
        <v>Valid</v>
      </c>
      <c r="I218" s="6" t="s">
        <v>1174</v>
      </c>
      <c r="J218" s="6" t="s">
        <v>73</v>
      </c>
      <c r="K218" s="6" t="s">
        <v>73</v>
      </c>
      <c r="L218" s="6" t="s">
        <v>46</v>
      </c>
      <c r="M218" s="7" t="str">
        <f t="shared" si="50"/>
        <v>Consumer</v>
      </c>
      <c r="N218" s="6" t="s">
        <v>93</v>
      </c>
      <c r="O218" s="7" t="str">
        <f t="shared" si="51"/>
        <v>West</v>
      </c>
      <c r="P218" s="6" t="s">
        <v>255</v>
      </c>
      <c r="Q218" s="6" t="s">
        <v>256</v>
      </c>
      <c r="R218" s="6" t="s">
        <v>65</v>
      </c>
      <c r="S218" s="7" t="str">
        <f t="shared" si="52"/>
        <v>Furniture</v>
      </c>
      <c r="T218" s="6" t="s">
        <v>66</v>
      </c>
      <c r="U218" s="6" t="s">
        <v>1175</v>
      </c>
      <c r="V218" s="6" t="s">
        <v>87</v>
      </c>
      <c r="W218" s="7" t="str">
        <f t="shared" si="53"/>
        <v>Standard Class</v>
      </c>
      <c r="X218" s="6">
        <v>8</v>
      </c>
      <c r="Y218" s="6">
        <v>1839.87</v>
      </c>
      <c r="Z218" s="6">
        <v>0.25</v>
      </c>
      <c r="AA218" s="6">
        <f t="shared" si="55"/>
        <v>0.25</v>
      </c>
      <c r="AB218" s="6" t="str">
        <f t="shared" si="56"/>
        <v>Valid</v>
      </c>
      <c r="AC218" s="6">
        <v>11039.22</v>
      </c>
      <c r="AD218" s="6" t="str">
        <f>IF(OR(AO218="Cancelled",AM218="Failed"),"Exclude from Completed Sales","Include in Completed Sales")</f>
        <v>Exclude from Completed Sales</v>
      </c>
      <c r="AE218" s="6">
        <f t="shared" si="57"/>
        <v>11039.22</v>
      </c>
      <c r="AF218" s="6" t="str">
        <f t="shared" si="58"/>
        <v/>
      </c>
      <c r="AG218" s="6">
        <v>7642.91</v>
      </c>
      <c r="AH218" s="6">
        <v>3396.31</v>
      </c>
      <c r="AI218" s="6">
        <f t="shared" si="59"/>
        <v>3396.3099999999995</v>
      </c>
      <c r="AJ218" s="11">
        <f t="shared" si="60"/>
        <v>0.30765851210502188</v>
      </c>
      <c r="AK218" s="11" t="str">
        <f t="shared" si="61"/>
        <v>April</v>
      </c>
      <c r="AL218" s="12">
        <f t="shared" si="62"/>
        <v>2025</v>
      </c>
      <c r="AM218" s="6" t="s">
        <v>220</v>
      </c>
      <c r="AN218" s="6" t="s">
        <v>145</v>
      </c>
      <c r="AO218" s="6" t="str">
        <f t="shared" si="54"/>
        <v>Returned</v>
      </c>
    </row>
    <row r="219" spans="1:41">
      <c r="A219" s="6" t="s">
        <v>1176</v>
      </c>
      <c r="B219" s="7" t="s">
        <v>1177</v>
      </c>
      <c r="C219" s="8">
        <v>45748</v>
      </c>
      <c r="D219" s="7" t="s">
        <v>1178</v>
      </c>
      <c r="E219" s="9">
        <v>45755</v>
      </c>
      <c r="F219" s="9" t="str">
        <f t="shared" si="47"/>
        <v>Valid</v>
      </c>
      <c r="G219" s="10">
        <f t="shared" si="48"/>
        <v>7</v>
      </c>
      <c r="H219" s="10" t="str">
        <f t="shared" si="49"/>
        <v>Valid</v>
      </c>
      <c r="I219" s="6" t="s">
        <v>1179</v>
      </c>
      <c r="J219" s="6" t="s">
        <v>127</v>
      </c>
      <c r="K219" s="6" t="s">
        <v>127</v>
      </c>
      <c r="L219" s="6" t="s">
        <v>46</v>
      </c>
      <c r="M219" s="7" t="str">
        <f t="shared" si="50"/>
        <v>Consumer</v>
      </c>
      <c r="N219" s="6" t="s">
        <v>62</v>
      </c>
      <c r="O219" s="7" t="str">
        <f t="shared" si="51"/>
        <v>East</v>
      </c>
      <c r="P219" s="6" t="s">
        <v>63</v>
      </c>
      <c r="Q219" s="6" t="s">
        <v>64</v>
      </c>
      <c r="R219" s="6" t="s">
        <v>65</v>
      </c>
      <c r="S219" s="7" t="str">
        <f t="shared" si="52"/>
        <v>Furniture</v>
      </c>
      <c r="T219" s="6" t="s">
        <v>224</v>
      </c>
      <c r="U219" s="6" t="s">
        <v>1180</v>
      </c>
      <c r="V219" s="6" t="s">
        <v>53</v>
      </c>
      <c r="W219" s="7" t="str">
        <f t="shared" si="53"/>
        <v>Second Class</v>
      </c>
      <c r="X219" s="6">
        <v>5</v>
      </c>
      <c r="Y219" s="6">
        <v>1021.28</v>
      </c>
      <c r="Z219" s="6">
        <v>0.1</v>
      </c>
      <c r="AA219" s="6">
        <f t="shared" si="55"/>
        <v>0.1</v>
      </c>
      <c r="AB219" s="6" t="str">
        <f t="shared" si="56"/>
        <v>Valid</v>
      </c>
      <c r="AC219" s="6">
        <v>4595.76</v>
      </c>
      <c r="AD219" s="6" t="str">
        <f>IF(OR(AO219="Cancelled",AM219="Failed"),"Exclude from Completed Sales","Include in Completed Sales")</f>
        <v>Exclude from Completed Sales</v>
      </c>
      <c r="AE219" s="6">
        <f t="shared" si="57"/>
        <v>4595.76</v>
      </c>
      <c r="AF219" s="6" t="str">
        <f t="shared" si="58"/>
        <v>Refunded</v>
      </c>
      <c r="AG219" s="6">
        <v>3396.8</v>
      </c>
      <c r="AH219" s="6">
        <v>1198.96</v>
      </c>
      <c r="AI219" s="6">
        <f t="shared" si="59"/>
        <v>1198.96</v>
      </c>
      <c r="AJ219" s="11">
        <f t="shared" si="60"/>
        <v>0.26088394520166414</v>
      </c>
      <c r="AK219" s="11" t="str">
        <f t="shared" si="61"/>
        <v>April</v>
      </c>
      <c r="AL219" s="12">
        <f t="shared" si="62"/>
        <v>2025</v>
      </c>
      <c r="AM219" s="6" t="s">
        <v>144</v>
      </c>
      <c r="AN219" s="6" t="s">
        <v>98</v>
      </c>
      <c r="AO219" s="6" t="str">
        <f t="shared" si="54"/>
        <v>Cancelled</v>
      </c>
    </row>
    <row r="220" spans="1:41">
      <c r="A220" s="6" t="s">
        <v>1181</v>
      </c>
      <c r="B220" s="7" t="s">
        <v>1182</v>
      </c>
      <c r="C220" s="8">
        <v>45714</v>
      </c>
      <c r="D220" s="7" t="s">
        <v>1183</v>
      </c>
      <c r="E220" s="9">
        <v>45715</v>
      </c>
      <c r="F220" s="9" t="str">
        <f t="shared" si="47"/>
        <v>Valid</v>
      </c>
      <c r="G220" s="10">
        <f t="shared" si="48"/>
        <v>1</v>
      </c>
      <c r="H220" s="10" t="str">
        <f t="shared" si="49"/>
        <v>Valid</v>
      </c>
      <c r="I220" s="6" t="s">
        <v>1184</v>
      </c>
      <c r="J220" s="6" t="s">
        <v>162</v>
      </c>
      <c r="K220" s="6" t="s">
        <v>162</v>
      </c>
      <c r="L220" s="6" t="s">
        <v>128</v>
      </c>
      <c r="M220" s="7" t="str">
        <f t="shared" si="50"/>
        <v>Corporate</v>
      </c>
      <c r="N220" s="6" t="s">
        <v>93</v>
      </c>
      <c r="O220" s="7" t="str">
        <f t="shared" si="51"/>
        <v>West</v>
      </c>
      <c r="P220" s="6" t="s">
        <v>255</v>
      </c>
      <c r="Q220" s="6" t="s">
        <v>256</v>
      </c>
      <c r="R220" s="6" t="s">
        <v>65</v>
      </c>
      <c r="S220" s="7" t="str">
        <f t="shared" si="52"/>
        <v>Furniture</v>
      </c>
      <c r="T220" s="6" t="s">
        <v>224</v>
      </c>
      <c r="U220" s="6" t="s">
        <v>1185</v>
      </c>
      <c r="V220" s="6" t="s">
        <v>87</v>
      </c>
      <c r="W220" s="7" t="str">
        <f t="shared" si="53"/>
        <v>Standard Class</v>
      </c>
      <c r="X220" s="6">
        <v>5</v>
      </c>
      <c r="Y220" s="6">
        <v>258.27999999999997</v>
      </c>
      <c r="Z220" s="6">
        <v>0</v>
      </c>
      <c r="AA220" s="6">
        <f t="shared" si="55"/>
        <v>0</v>
      </c>
      <c r="AB220" s="6" t="str">
        <f t="shared" si="56"/>
        <v>Valid</v>
      </c>
      <c r="AC220" s="6">
        <v>1291.4000000000001</v>
      </c>
      <c r="AD220" s="6" t="str">
        <f>IF(OR(AO220="Cancelled",AM220="Failed"),"Exclude from Completed Sales","Include in Completed Sales")</f>
        <v>Include in Completed Sales</v>
      </c>
      <c r="AE220" s="6">
        <f t="shared" si="57"/>
        <v>1291.3999999999999</v>
      </c>
      <c r="AF220" s="6" t="str">
        <f t="shared" si="58"/>
        <v/>
      </c>
      <c r="AG220" s="6">
        <v>756.93</v>
      </c>
      <c r="AH220" s="6">
        <v>534.47</v>
      </c>
      <c r="AI220" s="6">
        <f t="shared" si="59"/>
        <v>534.46999999999991</v>
      </c>
      <c r="AJ220" s="11">
        <f t="shared" si="60"/>
        <v>0.41386866966083319</v>
      </c>
      <c r="AK220" s="11" t="str">
        <f t="shared" si="61"/>
        <v>February</v>
      </c>
      <c r="AL220" s="12">
        <f t="shared" si="62"/>
        <v>2025</v>
      </c>
      <c r="AM220" s="6" t="s">
        <v>54</v>
      </c>
      <c r="AN220" s="6" t="s">
        <v>55</v>
      </c>
      <c r="AO220" s="6" t="str">
        <f t="shared" si="54"/>
        <v>Completed</v>
      </c>
    </row>
    <row r="221" spans="1:41">
      <c r="A221" s="6" t="s">
        <v>1186</v>
      </c>
      <c r="B221" s="7" t="s">
        <v>704</v>
      </c>
      <c r="C221" s="8">
        <v>45461</v>
      </c>
      <c r="D221" s="7" t="s">
        <v>1187</v>
      </c>
      <c r="E221" s="9">
        <v>45462</v>
      </c>
      <c r="F221" s="9" t="str">
        <f t="shared" si="47"/>
        <v>Valid</v>
      </c>
      <c r="G221" s="10">
        <f t="shared" si="48"/>
        <v>1</v>
      </c>
      <c r="H221" s="10" t="str">
        <f t="shared" si="49"/>
        <v>Valid</v>
      </c>
      <c r="I221" s="6" t="s">
        <v>1188</v>
      </c>
      <c r="J221" s="6" t="s">
        <v>168</v>
      </c>
      <c r="K221" s="6" t="s">
        <v>168</v>
      </c>
      <c r="L221" s="6" t="s">
        <v>46</v>
      </c>
      <c r="M221" s="7" t="str">
        <f t="shared" si="50"/>
        <v>Consumer</v>
      </c>
      <c r="N221" s="6" t="s">
        <v>62</v>
      </c>
      <c r="O221" s="7" t="str">
        <f t="shared" si="51"/>
        <v>East</v>
      </c>
      <c r="P221" s="6" t="s">
        <v>206</v>
      </c>
      <c r="Q221" s="6" t="s">
        <v>207</v>
      </c>
      <c r="R221" s="6" t="s">
        <v>106</v>
      </c>
      <c r="S221" s="7" t="str">
        <f t="shared" si="52"/>
        <v>Technology</v>
      </c>
      <c r="T221" s="6" t="s">
        <v>402</v>
      </c>
      <c r="U221" s="6" t="s">
        <v>1189</v>
      </c>
      <c r="V221" s="6" t="s">
        <v>76</v>
      </c>
      <c r="W221" s="7" t="str">
        <f t="shared" si="53"/>
        <v>First Class</v>
      </c>
      <c r="X221" s="6">
        <v>2</v>
      </c>
      <c r="Y221" s="6">
        <v>121.49</v>
      </c>
      <c r="Z221" s="6" t="s">
        <v>1190</v>
      </c>
      <c r="AA221" s="6" t="str">
        <f t="shared" si="55"/>
        <v>85%</v>
      </c>
      <c r="AB221" s="6" t="str">
        <f t="shared" si="56"/>
        <v>Invalid - Discount Above Limit</v>
      </c>
      <c r="AC221" s="6">
        <v>242.98</v>
      </c>
      <c r="AD221" s="6" t="str">
        <f>IF(OR(AO221="Cancelled",AM221="Failed"),"Exclude from Completed Sales","Include in Completed Sales")</f>
        <v>Include in Completed Sales</v>
      </c>
      <c r="AE221" s="6">
        <f t="shared" si="57"/>
        <v>36.447000000000003</v>
      </c>
      <c r="AF221" s="6" t="str">
        <f t="shared" si="58"/>
        <v/>
      </c>
      <c r="AG221" s="6">
        <v>161.41999999999999</v>
      </c>
      <c r="AH221" s="6">
        <v>81.56</v>
      </c>
      <c r="AI221" s="6">
        <f t="shared" si="59"/>
        <v>-124.97299999999998</v>
      </c>
      <c r="AJ221" s="11">
        <f t="shared" si="60"/>
        <v>-3.4288967541910162</v>
      </c>
      <c r="AK221" s="11" t="str">
        <f t="shared" si="61"/>
        <v>June</v>
      </c>
      <c r="AL221" s="12">
        <f t="shared" si="62"/>
        <v>2024</v>
      </c>
      <c r="AM221" s="6" t="s">
        <v>54</v>
      </c>
      <c r="AN221" s="6" t="s">
        <v>55</v>
      </c>
      <c r="AO221" s="6" t="str">
        <f t="shared" si="54"/>
        <v>Completed</v>
      </c>
    </row>
    <row r="222" spans="1:41">
      <c r="A222" s="6" t="s">
        <v>1191</v>
      </c>
      <c r="B222" s="7" t="s">
        <v>1192</v>
      </c>
      <c r="C222" s="8">
        <v>45538</v>
      </c>
      <c r="D222" s="7" t="s">
        <v>1192</v>
      </c>
      <c r="E222" s="9">
        <v>45538</v>
      </c>
      <c r="F222" s="9" t="str">
        <f t="shared" si="47"/>
        <v>Valid</v>
      </c>
      <c r="G222" s="10">
        <f t="shared" si="48"/>
        <v>0</v>
      </c>
      <c r="H222" s="10" t="str">
        <f t="shared" si="49"/>
        <v>Valid</v>
      </c>
      <c r="I222" s="6" t="s">
        <v>1193</v>
      </c>
      <c r="J222" s="6" t="s">
        <v>188</v>
      </c>
      <c r="K222" s="6" t="s">
        <v>188</v>
      </c>
      <c r="L222" s="6" t="s">
        <v>46</v>
      </c>
      <c r="M222" s="7" t="str">
        <f t="shared" si="50"/>
        <v>Consumer</v>
      </c>
      <c r="N222" s="6" t="s">
        <v>82</v>
      </c>
      <c r="O222" s="7" t="str">
        <f t="shared" si="51"/>
        <v>South</v>
      </c>
      <c r="P222" s="6" t="s">
        <v>262</v>
      </c>
      <c r="Q222" s="6" t="s">
        <v>263</v>
      </c>
      <c r="R222" s="6" t="s">
        <v>50</v>
      </c>
      <c r="S222" s="7" t="str">
        <f t="shared" si="52"/>
        <v>Office Supplies</v>
      </c>
      <c r="T222" s="6" t="s">
        <v>176</v>
      </c>
      <c r="U222" s="6" t="s">
        <v>1194</v>
      </c>
      <c r="V222" s="6" t="s">
        <v>76</v>
      </c>
      <c r="W222" s="7" t="str">
        <f t="shared" si="53"/>
        <v>First Class</v>
      </c>
      <c r="X222" s="6">
        <v>4</v>
      </c>
      <c r="Y222" s="6">
        <v>2810.17</v>
      </c>
      <c r="Z222" s="6">
        <v>0.15</v>
      </c>
      <c r="AA222" s="6">
        <f t="shared" si="55"/>
        <v>0.15</v>
      </c>
      <c r="AB222" s="6" t="str">
        <f t="shared" si="56"/>
        <v>Valid</v>
      </c>
      <c r="AC222" s="6">
        <v>9554.58</v>
      </c>
      <c r="AD222" s="6" t="str">
        <f>IF(OR(AO222="Cancelled",AM222="Failed"),"Exclude from Completed Sales","Include in Completed Sales")</f>
        <v>Exclude from Completed Sales</v>
      </c>
      <c r="AE222" s="6">
        <f t="shared" si="57"/>
        <v>9554.5779999999995</v>
      </c>
      <c r="AF222" s="6" t="str">
        <f t="shared" si="58"/>
        <v>Refunded</v>
      </c>
      <c r="AG222" s="6">
        <v>6068.47</v>
      </c>
      <c r="AH222" s="6">
        <v>3486.11</v>
      </c>
      <c r="AI222" s="6">
        <f t="shared" si="59"/>
        <v>3486.1079999999993</v>
      </c>
      <c r="AJ222" s="11">
        <f t="shared" si="60"/>
        <v>0.36486258210462036</v>
      </c>
      <c r="AK222" s="11" t="str">
        <f t="shared" si="61"/>
        <v>September</v>
      </c>
      <c r="AL222" s="12">
        <f t="shared" si="62"/>
        <v>2024</v>
      </c>
      <c r="AM222" s="6" t="s">
        <v>144</v>
      </c>
      <c r="AN222" s="6" t="s">
        <v>98</v>
      </c>
      <c r="AO222" s="6" t="str">
        <f t="shared" si="54"/>
        <v>Cancelled</v>
      </c>
    </row>
    <row r="223" spans="1:41">
      <c r="A223" s="6" t="s">
        <v>1195</v>
      </c>
      <c r="B223" s="7" t="s">
        <v>1196</v>
      </c>
      <c r="C223" s="8">
        <v>45669</v>
      </c>
      <c r="D223" s="7" t="s">
        <v>1197</v>
      </c>
      <c r="E223" s="9">
        <v>45672</v>
      </c>
      <c r="F223" s="9" t="str">
        <f t="shared" si="47"/>
        <v>Valid</v>
      </c>
      <c r="G223" s="10">
        <f t="shared" si="48"/>
        <v>3</v>
      </c>
      <c r="H223" s="10" t="str">
        <f t="shared" si="49"/>
        <v>Valid</v>
      </c>
      <c r="I223" s="6" t="s">
        <v>1198</v>
      </c>
      <c r="J223" s="6" t="s">
        <v>60</v>
      </c>
      <c r="K223" s="6" t="s">
        <v>60</v>
      </c>
      <c r="L223" s="6" t="s">
        <v>128</v>
      </c>
      <c r="M223" s="7" t="str">
        <f t="shared" si="50"/>
        <v>Corporate</v>
      </c>
      <c r="N223" s="6" t="s">
        <v>82</v>
      </c>
      <c r="O223" s="7" t="str">
        <f t="shared" si="51"/>
        <v>South</v>
      </c>
      <c r="P223" s="6" t="s">
        <v>249</v>
      </c>
      <c r="Q223" s="6" t="s">
        <v>250</v>
      </c>
      <c r="R223" s="6" t="s">
        <v>65</v>
      </c>
      <c r="S223" s="7" t="str">
        <f t="shared" si="52"/>
        <v>Furniture</v>
      </c>
      <c r="T223" s="6" t="s">
        <v>96</v>
      </c>
      <c r="U223" s="6" t="s">
        <v>1199</v>
      </c>
      <c r="V223" s="6" t="s">
        <v>68</v>
      </c>
      <c r="W223" s="7" t="str">
        <f t="shared" si="53"/>
        <v>Same Day</v>
      </c>
      <c r="X223" s="6">
        <v>4</v>
      </c>
      <c r="Y223" s="6">
        <v>1531.53</v>
      </c>
      <c r="Z223" s="6">
        <v>0.2</v>
      </c>
      <c r="AA223" s="6">
        <f t="shared" si="55"/>
        <v>0.2</v>
      </c>
      <c r="AB223" s="6" t="str">
        <f t="shared" si="56"/>
        <v>Valid</v>
      </c>
      <c r="AC223" s="6">
        <v>4900.8999999999996</v>
      </c>
      <c r="AD223" s="6" t="str">
        <f>IF(OR(AO223="Cancelled",AM223="Failed"),"Exclude from Completed Sales","Include in Completed Sales")</f>
        <v>Include in Completed Sales</v>
      </c>
      <c r="AE223" s="6">
        <f t="shared" si="57"/>
        <v>4900.8959999999997</v>
      </c>
      <c r="AF223" s="6" t="str">
        <f t="shared" si="58"/>
        <v/>
      </c>
      <c r="AG223" s="6">
        <v>3552.69</v>
      </c>
      <c r="AH223" s="6">
        <v>1348.21</v>
      </c>
      <c r="AI223" s="6">
        <f t="shared" si="59"/>
        <v>1348.2059999999997</v>
      </c>
      <c r="AJ223" s="11">
        <f t="shared" si="60"/>
        <v>0.27509377877024932</v>
      </c>
      <c r="AK223" s="11" t="str">
        <f t="shared" si="61"/>
        <v>January</v>
      </c>
      <c r="AL223" s="12">
        <f t="shared" si="62"/>
        <v>2025</v>
      </c>
      <c r="AM223" s="6" t="s">
        <v>54</v>
      </c>
      <c r="AN223" s="6" t="s">
        <v>55</v>
      </c>
      <c r="AO223" s="6" t="str">
        <f t="shared" si="54"/>
        <v>Completed</v>
      </c>
    </row>
    <row r="224" spans="1:41">
      <c r="A224" s="6" t="s">
        <v>1200</v>
      </c>
      <c r="B224" s="7" t="s">
        <v>1201</v>
      </c>
      <c r="C224" s="8">
        <v>45776</v>
      </c>
      <c r="D224" s="7" t="s">
        <v>1033</v>
      </c>
      <c r="E224" s="9">
        <v>45779</v>
      </c>
      <c r="F224" s="9" t="str">
        <f t="shared" si="47"/>
        <v>Valid</v>
      </c>
      <c r="G224" s="10">
        <f t="shared" si="48"/>
        <v>3</v>
      </c>
      <c r="H224" s="10" t="str">
        <f t="shared" si="49"/>
        <v>Valid</v>
      </c>
      <c r="I224" s="6" t="s">
        <v>1202</v>
      </c>
      <c r="J224" s="6" t="s">
        <v>103</v>
      </c>
      <c r="K224" s="6" t="s">
        <v>103</v>
      </c>
      <c r="L224" s="6" t="s">
        <v>61</v>
      </c>
      <c r="M224" s="7" t="str">
        <f t="shared" si="50"/>
        <v>Small Business</v>
      </c>
      <c r="N224" s="6" t="s">
        <v>93</v>
      </c>
      <c r="O224" s="7" t="str">
        <f t="shared" si="51"/>
        <v>West</v>
      </c>
      <c r="P224" s="6" t="s">
        <v>269</v>
      </c>
      <c r="Q224" s="6" t="s">
        <v>270</v>
      </c>
      <c r="R224" s="6" t="s">
        <v>50</v>
      </c>
      <c r="S224" s="7" t="str">
        <f t="shared" si="52"/>
        <v>Office Supplies</v>
      </c>
      <c r="T224" s="6" t="s">
        <v>176</v>
      </c>
      <c r="U224" s="6" t="s">
        <v>1203</v>
      </c>
      <c r="V224" s="6" t="s">
        <v>76</v>
      </c>
      <c r="W224" s="7" t="str">
        <f t="shared" si="53"/>
        <v>First Class</v>
      </c>
      <c r="X224" s="6">
        <v>6</v>
      </c>
      <c r="Y224" s="6">
        <v>4308.09</v>
      </c>
      <c r="Z224" s="6">
        <v>0</v>
      </c>
      <c r="AA224" s="6">
        <f t="shared" si="55"/>
        <v>0</v>
      </c>
      <c r="AB224" s="6" t="str">
        <f t="shared" si="56"/>
        <v>Valid</v>
      </c>
      <c r="AC224" s="6">
        <v>25848.54</v>
      </c>
      <c r="AD224" s="6" t="str">
        <f>IF(OR(AO224="Cancelled",AM224="Failed"),"Exclude from Completed Sales","Include in Completed Sales")</f>
        <v>Include in Completed Sales</v>
      </c>
      <c r="AE224" s="6">
        <f t="shared" si="57"/>
        <v>25848.54</v>
      </c>
      <c r="AF224" s="6" t="str">
        <f t="shared" si="58"/>
        <v/>
      </c>
      <c r="AG224" s="6">
        <v>17729.09</v>
      </c>
      <c r="AH224" s="6">
        <v>8119.45</v>
      </c>
      <c r="AI224" s="6">
        <f t="shared" si="59"/>
        <v>8119.4500000000007</v>
      </c>
      <c r="AJ224" s="11">
        <f t="shared" si="60"/>
        <v>0.31411638723115504</v>
      </c>
      <c r="AK224" s="11" t="str">
        <f t="shared" si="61"/>
        <v>April</v>
      </c>
      <c r="AL224" s="12">
        <f t="shared" si="62"/>
        <v>2025</v>
      </c>
      <c r="AM224" s="6" t="s">
        <v>54</v>
      </c>
      <c r="AN224" s="6" t="s">
        <v>55</v>
      </c>
      <c r="AO224" s="6" t="str">
        <f t="shared" si="54"/>
        <v>Completed</v>
      </c>
    </row>
    <row r="225" spans="1:41">
      <c r="A225" s="6" t="s">
        <v>1204</v>
      </c>
      <c r="B225" s="7" t="s">
        <v>1205</v>
      </c>
      <c r="C225" s="8">
        <v>45707</v>
      </c>
      <c r="D225" s="7" t="s">
        <v>1206</v>
      </c>
      <c r="E225" s="9">
        <v>45714</v>
      </c>
      <c r="F225" s="9" t="str">
        <f t="shared" si="47"/>
        <v>Valid</v>
      </c>
      <c r="G225" s="10">
        <f t="shared" si="48"/>
        <v>7</v>
      </c>
      <c r="H225" s="10" t="str">
        <f t="shared" si="49"/>
        <v>Valid</v>
      </c>
      <c r="I225" s="6" t="s">
        <v>1207</v>
      </c>
      <c r="J225" s="6" t="s">
        <v>60</v>
      </c>
      <c r="K225" s="6" t="s">
        <v>60</v>
      </c>
      <c r="L225" s="6" t="s">
        <v>128</v>
      </c>
      <c r="M225" s="7" t="str">
        <f t="shared" si="50"/>
        <v>Corporate</v>
      </c>
      <c r="N225" s="6" t="s">
        <v>93</v>
      </c>
      <c r="O225" s="7" t="str">
        <f t="shared" si="51"/>
        <v>West</v>
      </c>
      <c r="P225" s="6" t="s">
        <v>94</v>
      </c>
      <c r="Q225" s="6" t="s">
        <v>95</v>
      </c>
      <c r="R225" s="6" t="s">
        <v>65</v>
      </c>
      <c r="S225" s="7" t="str">
        <f t="shared" si="52"/>
        <v>Furniture</v>
      </c>
      <c r="T225" s="6" t="s">
        <v>85</v>
      </c>
      <c r="U225" s="6" t="s">
        <v>1208</v>
      </c>
      <c r="V225" s="6" t="s">
        <v>76</v>
      </c>
      <c r="W225" s="7" t="str">
        <f t="shared" si="53"/>
        <v>First Class</v>
      </c>
      <c r="X225" s="6">
        <v>3</v>
      </c>
      <c r="Y225" s="6">
        <v>490.3</v>
      </c>
      <c r="Z225" s="6">
        <v>0.2</v>
      </c>
      <c r="AA225" s="6">
        <f t="shared" si="55"/>
        <v>0.2</v>
      </c>
      <c r="AB225" s="6" t="str">
        <f t="shared" si="56"/>
        <v>Valid</v>
      </c>
      <c r="AC225" s="6">
        <v>1176.72</v>
      </c>
      <c r="AD225" s="6" t="str">
        <f>IF(OR(AO225="Cancelled",AM225="Failed"),"Exclude from Completed Sales","Include in Completed Sales")</f>
        <v>Include in Completed Sales</v>
      </c>
      <c r="AE225" s="6">
        <f t="shared" si="57"/>
        <v>1176.72</v>
      </c>
      <c r="AF225" s="6" t="str">
        <f t="shared" si="58"/>
        <v/>
      </c>
      <c r="AG225" s="6">
        <v>654.33000000000004</v>
      </c>
      <c r="AH225" s="6">
        <v>522.39</v>
      </c>
      <c r="AI225" s="6">
        <f t="shared" si="59"/>
        <v>522.39</v>
      </c>
      <c r="AJ225" s="11">
        <f t="shared" si="60"/>
        <v>0.44393738527432181</v>
      </c>
      <c r="AK225" s="11" t="str">
        <f t="shared" si="61"/>
        <v>February</v>
      </c>
      <c r="AL225" s="12">
        <f t="shared" si="62"/>
        <v>2025</v>
      </c>
      <c r="AM225" s="6" t="s">
        <v>157</v>
      </c>
      <c r="AN225" s="6" t="s">
        <v>145</v>
      </c>
      <c r="AO225" s="6" t="str">
        <f t="shared" si="54"/>
        <v>Returned</v>
      </c>
    </row>
    <row r="226" spans="1:41">
      <c r="A226" s="6" t="s">
        <v>1209</v>
      </c>
      <c r="B226" s="7" t="s">
        <v>1210</v>
      </c>
      <c r="C226" s="8">
        <v>45932</v>
      </c>
      <c r="D226" s="7" t="s">
        <v>1211</v>
      </c>
      <c r="E226" s="9">
        <v>45938</v>
      </c>
      <c r="F226" s="9" t="str">
        <f t="shared" si="47"/>
        <v>Valid</v>
      </c>
      <c r="G226" s="10">
        <f t="shared" si="48"/>
        <v>6</v>
      </c>
      <c r="H226" s="10" t="str">
        <f t="shared" si="49"/>
        <v>Valid</v>
      </c>
      <c r="I226" s="6" t="s">
        <v>1212</v>
      </c>
      <c r="J226" s="6" t="s">
        <v>73</v>
      </c>
      <c r="K226" s="6" t="s">
        <v>73</v>
      </c>
      <c r="L226" s="6" t="s">
        <v>61</v>
      </c>
      <c r="M226" s="7" t="str">
        <f t="shared" si="50"/>
        <v>Small Business</v>
      </c>
      <c r="N226" s="6" t="s">
        <v>47</v>
      </c>
      <c r="O226" s="7" t="str">
        <f t="shared" si="51"/>
        <v>North</v>
      </c>
      <c r="P226" s="6" t="s">
        <v>174</v>
      </c>
      <c r="Q226" s="6" t="s">
        <v>175</v>
      </c>
      <c r="R226" s="6" t="s">
        <v>65</v>
      </c>
      <c r="S226" s="7" t="str">
        <f t="shared" si="52"/>
        <v>Furniture</v>
      </c>
      <c r="T226" s="6" t="s">
        <v>85</v>
      </c>
      <c r="U226" s="6" t="s">
        <v>1213</v>
      </c>
      <c r="V226" s="6" t="s">
        <v>87</v>
      </c>
      <c r="W226" s="7" t="str">
        <f t="shared" si="53"/>
        <v>Standard Class</v>
      </c>
      <c r="X226" s="6">
        <v>4</v>
      </c>
      <c r="Y226" s="6">
        <v>3944.64</v>
      </c>
      <c r="Z226" s="6">
        <v>0.25</v>
      </c>
      <c r="AA226" s="6">
        <f t="shared" si="55"/>
        <v>0.25</v>
      </c>
      <c r="AB226" s="6" t="str">
        <f t="shared" si="56"/>
        <v>Valid</v>
      </c>
      <c r="AC226" s="6">
        <v>11833.92</v>
      </c>
      <c r="AD226" s="6" t="str">
        <f>IF(OR(AO226="Cancelled",AM226="Failed"),"Exclude from Completed Sales","Include in Completed Sales")</f>
        <v>Exclude from Completed Sales</v>
      </c>
      <c r="AE226" s="6">
        <f t="shared" si="57"/>
        <v>11833.92</v>
      </c>
      <c r="AF226" s="6" t="str">
        <f t="shared" si="58"/>
        <v/>
      </c>
      <c r="AG226" s="6">
        <v>6682.92</v>
      </c>
      <c r="AH226" s="6">
        <v>5151</v>
      </c>
      <c r="AI226" s="6">
        <f t="shared" si="59"/>
        <v>5151</v>
      </c>
      <c r="AJ226" s="11">
        <f t="shared" si="60"/>
        <v>0.43527419485681834</v>
      </c>
      <c r="AK226" s="11" t="str">
        <f t="shared" si="61"/>
        <v>October</v>
      </c>
      <c r="AL226" s="12">
        <f t="shared" si="62"/>
        <v>2025</v>
      </c>
      <c r="AM226" s="6" t="s">
        <v>54</v>
      </c>
      <c r="AN226" s="6" t="s">
        <v>98</v>
      </c>
      <c r="AO226" s="6" t="str">
        <f t="shared" si="54"/>
        <v>Cancelled</v>
      </c>
    </row>
    <row r="227" spans="1:41">
      <c r="A227" s="6" t="s">
        <v>1214</v>
      </c>
      <c r="B227" s="7" t="s">
        <v>1215</v>
      </c>
      <c r="C227" s="8">
        <v>45537</v>
      </c>
      <c r="D227" s="7" t="s">
        <v>1216</v>
      </c>
      <c r="E227" s="9">
        <v>45545</v>
      </c>
      <c r="F227" s="9" t="str">
        <f t="shared" si="47"/>
        <v>Valid</v>
      </c>
      <c r="G227" s="10">
        <f t="shared" si="48"/>
        <v>8</v>
      </c>
      <c r="H227" s="10" t="str">
        <f t="shared" si="49"/>
        <v>Valid</v>
      </c>
      <c r="I227" s="6" t="s">
        <v>1217</v>
      </c>
      <c r="J227" s="6" t="s">
        <v>60</v>
      </c>
      <c r="K227" s="6" t="s">
        <v>60</v>
      </c>
      <c r="L227" s="6" t="s">
        <v>128</v>
      </c>
      <c r="M227" s="7" t="str">
        <f t="shared" si="50"/>
        <v>Corporate</v>
      </c>
      <c r="N227" s="6" t="s">
        <v>93</v>
      </c>
      <c r="O227" s="7" t="str">
        <f t="shared" si="51"/>
        <v>West</v>
      </c>
      <c r="P227" s="6" t="s">
        <v>269</v>
      </c>
      <c r="Q227" s="6" t="s">
        <v>270</v>
      </c>
      <c r="R227" s="6" t="s">
        <v>106</v>
      </c>
      <c r="S227" s="7" t="str">
        <f t="shared" si="52"/>
        <v>Technology</v>
      </c>
      <c r="T227" s="6" t="s">
        <v>243</v>
      </c>
      <c r="U227" s="6" t="s">
        <v>1218</v>
      </c>
      <c r="V227" s="6" t="s">
        <v>87</v>
      </c>
      <c r="W227" s="7" t="str">
        <f t="shared" si="53"/>
        <v>Standard Class</v>
      </c>
      <c r="X227" s="6">
        <v>6</v>
      </c>
      <c r="Y227" s="6">
        <v>1032.47</v>
      </c>
      <c r="Z227" s="6">
        <v>0.15</v>
      </c>
      <c r="AA227" s="6">
        <f t="shared" si="55"/>
        <v>0.15</v>
      </c>
      <c r="AB227" s="6" t="str">
        <f t="shared" si="56"/>
        <v>Valid</v>
      </c>
      <c r="AC227" s="6">
        <v>5265.6</v>
      </c>
      <c r="AD227" s="6" t="str">
        <f>IF(OR(AO227="Cancelled",AM227="Failed"),"Exclude from Completed Sales","Include in Completed Sales")</f>
        <v>Include in Completed Sales</v>
      </c>
      <c r="AE227" s="6">
        <f t="shared" si="57"/>
        <v>5265.5969999999998</v>
      </c>
      <c r="AF227" s="6" t="str">
        <f t="shared" si="58"/>
        <v/>
      </c>
      <c r="AG227" s="6">
        <v>4293.1099999999997</v>
      </c>
      <c r="AH227" s="6">
        <v>787.57</v>
      </c>
      <c r="AI227" s="6">
        <f t="shared" si="59"/>
        <v>972.48700000000008</v>
      </c>
      <c r="AJ227" s="11">
        <f t="shared" si="60"/>
        <v>0.18468694053114967</v>
      </c>
      <c r="AK227" s="11" t="str">
        <f t="shared" si="61"/>
        <v>September</v>
      </c>
      <c r="AL227" s="12">
        <f t="shared" si="62"/>
        <v>2024</v>
      </c>
      <c r="AM227" s="6" t="s">
        <v>54</v>
      </c>
      <c r="AN227" s="6" t="s">
        <v>55</v>
      </c>
      <c r="AO227" s="6" t="str">
        <f t="shared" si="54"/>
        <v>Completed</v>
      </c>
    </row>
    <row r="228" spans="1:41">
      <c r="A228" s="6" t="s">
        <v>1219</v>
      </c>
      <c r="B228" s="7" t="s">
        <v>1220</v>
      </c>
      <c r="C228" s="8">
        <v>45757</v>
      </c>
      <c r="D228" s="7" t="s">
        <v>1173</v>
      </c>
      <c r="E228" s="9">
        <v>45762</v>
      </c>
      <c r="F228" s="9" t="str">
        <f t="shared" si="47"/>
        <v>Valid</v>
      </c>
      <c r="G228" s="10">
        <f t="shared" si="48"/>
        <v>5</v>
      </c>
      <c r="H228" s="10" t="str">
        <f t="shared" si="49"/>
        <v>Valid</v>
      </c>
      <c r="I228" s="6" t="s">
        <v>1221</v>
      </c>
      <c r="J228" s="6" t="s">
        <v>230</v>
      </c>
      <c r="K228" s="6" t="s">
        <v>230</v>
      </c>
      <c r="L228" s="6" t="s">
        <v>135</v>
      </c>
      <c r="M228" s="7" t="str">
        <f t="shared" si="50"/>
        <v>Home Office</v>
      </c>
      <c r="N228" s="6"/>
      <c r="O228" s="7" t="str">
        <f t="shared" si="51"/>
        <v>Unknown</v>
      </c>
      <c r="P228" s="6" t="s">
        <v>262</v>
      </c>
      <c r="Q228" s="6" t="s">
        <v>263</v>
      </c>
      <c r="R228" s="6" t="s">
        <v>106</v>
      </c>
      <c r="S228" s="7" t="str">
        <f t="shared" si="52"/>
        <v>Technology</v>
      </c>
      <c r="T228" s="6" t="s">
        <v>114</v>
      </c>
      <c r="U228" s="6" t="s">
        <v>1222</v>
      </c>
      <c r="V228" s="6" t="s">
        <v>68</v>
      </c>
      <c r="W228" s="7" t="str">
        <f t="shared" si="53"/>
        <v>Same Day</v>
      </c>
      <c r="X228" s="6">
        <v>1</v>
      </c>
      <c r="Y228" s="6">
        <v>2208.27</v>
      </c>
      <c r="Z228" s="6">
        <v>0.1</v>
      </c>
      <c r="AA228" s="6">
        <f t="shared" si="55"/>
        <v>0.1</v>
      </c>
      <c r="AB228" s="6" t="str">
        <f t="shared" si="56"/>
        <v>Valid</v>
      </c>
      <c r="AC228" s="6">
        <v>1987.44</v>
      </c>
      <c r="AD228" s="6" t="str">
        <f>IF(OR(AO228="Cancelled",AM228="Failed"),"Exclude from Completed Sales","Include in Completed Sales")</f>
        <v>Include in Completed Sales</v>
      </c>
      <c r="AE228" s="6">
        <f t="shared" si="57"/>
        <v>1987.443</v>
      </c>
      <c r="AF228" s="6" t="str">
        <f t="shared" si="58"/>
        <v/>
      </c>
      <c r="AG228" s="6">
        <v>1110.23</v>
      </c>
      <c r="AH228" s="6">
        <v>877.21</v>
      </c>
      <c r="AI228" s="6">
        <f t="shared" si="59"/>
        <v>877.21299999999997</v>
      </c>
      <c r="AJ228" s="11">
        <f t="shared" si="60"/>
        <v>0.44137768982556985</v>
      </c>
      <c r="AK228" s="11" t="str">
        <f t="shared" si="61"/>
        <v>April</v>
      </c>
      <c r="AL228" s="12">
        <f t="shared" si="62"/>
        <v>2025</v>
      </c>
      <c r="AM228" s="6" t="s">
        <v>54</v>
      </c>
      <c r="AN228" s="6" t="s">
        <v>55</v>
      </c>
      <c r="AO228" s="6" t="str">
        <f t="shared" si="54"/>
        <v>Completed</v>
      </c>
    </row>
    <row r="229" spans="1:41">
      <c r="A229" s="6" t="s">
        <v>1223</v>
      </c>
      <c r="B229" s="7" t="s">
        <v>1224</v>
      </c>
      <c r="C229" s="8">
        <v>45478</v>
      </c>
      <c r="D229" s="7" t="s">
        <v>1225</v>
      </c>
      <c r="E229" s="9">
        <v>45485</v>
      </c>
      <c r="F229" s="9" t="str">
        <f t="shared" si="47"/>
        <v>Valid</v>
      </c>
      <c r="G229" s="10">
        <f t="shared" si="48"/>
        <v>7</v>
      </c>
      <c r="H229" s="10" t="str">
        <f t="shared" si="49"/>
        <v>Valid</v>
      </c>
      <c r="I229" s="6" t="s">
        <v>1226</v>
      </c>
      <c r="J229" s="6" t="s">
        <v>92</v>
      </c>
      <c r="K229" s="6" t="s">
        <v>92</v>
      </c>
      <c r="L229" s="6" t="s">
        <v>1227</v>
      </c>
      <c r="M229" s="7" t="str">
        <f t="shared" si="50"/>
        <v>Small Business</v>
      </c>
      <c r="N229" s="6" t="s">
        <v>93</v>
      </c>
      <c r="O229" s="7" t="str">
        <f t="shared" si="51"/>
        <v>West</v>
      </c>
      <c r="P229" s="6" t="s">
        <v>269</v>
      </c>
      <c r="Q229" s="6" t="s">
        <v>270</v>
      </c>
      <c r="R229" s="6" t="s">
        <v>50</v>
      </c>
      <c r="S229" s="7" t="str">
        <f t="shared" si="52"/>
        <v>Office Supplies</v>
      </c>
      <c r="T229" s="6" t="s">
        <v>218</v>
      </c>
      <c r="U229" s="6" t="s">
        <v>1228</v>
      </c>
      <c r="V229" s="6" t="s">
        <v>76</v>
      </c>
      <c r="W229" s="7" t="str">
        <f t="shared" si="53"/>
        <v>First Class</v>
      </c>
      <c r="X229" s="6">
        <v>3</v>
      </c>
      <c r="Y229" s="6">
        <v>577.75</v>
      </c>
      <c r="Z229" s="6">
        <v>0.15</v>
      </c>
      <c r="AA229" s="6">
        <f t="shared" si="55"/>
        <v>0.15</v>
      </c>
      <c r="AB229" s="6" t="str">
        <f t="shared" si="56"/>
        <v>Valid</v>
      </c>
      <c r="AC229" s="6">
        <v>1473.26</v>
      </c>
      <c r="AD229" s="6" t="str">
        <f>IF(OR(AO229="Cancelled",AM229="Failed"),"Exclude from Completed Sales","Include in Completed Sales")</f>
        <v>Include in Completed Sales</v>
      </c>
      <c r="AE229" s="6">
        <f t="shared" si="57"/>
        <v>1473.2625</v>
      </c>
      <c r="AF229" s="6" t="str">
        <f t="shared" si="58"/>
        <v/>
      </c>
      <c r="AG229" s="6">
        <v>899.86</v>
      </c>
      <c r="AH229" s="6">
        <v>573.4</v>
      </c>
      <c r="AI229" s="6">
        <f t="shared" si="59"/>
        <v>573.40250000000003</v>
      </c>
      <c r="AJ229" s="11">
        <f t="shared" si="60"/>
        <v>0.38920592901808065</v>
      </c>
      <c r="AK229" s="11" t="str">
        <f t="shared" si="61"/>
        <v>July</v>
      </c>
      <c r="AL229" s="12">
        <f t="shared" si="62"/>
        <v>2024</v>
      </c>
      <c r="AM229" s="6" t="s">
        <v>54</v>
      </c>
      <c r="AN229" s="6" t="s">
        <v>55</v>
      </c>
      <c r="AO229" s="6" t="str">
        <f t="shared" si="54"/>
        <v>Completed</v>
      </c>
    </row>
    <row r="230" spans="1:41">
      <c r="A230" s="6" t="s">
        <v>1229</v>
      </c>
      <c r="B230" s="7" t="s">
        <v>1230</v>
      </c>
      <c r="C230" s="8">
        <v>45406</v>
      </c>
      <c r="D230" s="7" t="s">
        <v>1231</v>
      </c>
      <c r="E230" s="9">
        <v>45410</v>
      </c>
      <c r="F230" s="9" t="str">
        <f t="shared" si="47"/>
        <v>Valid</v>
      </c>
      <c r="G230" s="10">
        <f t="shared" si="48"/>
        <v>4</v>
      </c>
      <c r="H230" s="10" t="str">
        <f t="shared" si="49"/>
        <v>Valid</v>
      </c>
      <c r="I230" s="6" t="s">
        <v>1232</v>
      </c>
      <c r="J230" s="6" t="s">
        <v>45</v>
      </c>
      <c r="K230" s="6" t="s">
        <v>45</v>
      </c>
      <c r="L230" s="6" t="s">
        <v>61</v>
      </c>
      <c r="M230" s="7" t="str">
        <f t="shared" si="50"/>
        <v>Small Business</v>
      </c>
      <c r="N230" s="6" t="s">
        <v>82</v>
      </c>
      <c r="O230" s="7" t="str">
        <f t="shared" si="51"/>
        <v>South</v>
      </c>
      <c r="P230" s="6" t="s">
        <v>83</v>
      </c>
      <c r="Q230" s="6" t="s">
        <v>84</v>
      </c>
      <c r="R230" s="6" t="s">
        <v>50</v>
      </c>
      <c r="S230" s="7" t="str">
        <f t="shared" si="52"/>
        <v>Office Supplies</v>
      </c>
      <c r="T230" s="6" t="s">
        <v>129</v>
      </c>
      <c r="U230" s="6" t="s">
        <v>1233</v>
      </c>
      <c r="V230" s="6" t="s">
        <v>53</v>
      </c>
      <c r="W230" s="7" t="str">
        <f t="shared" si="53"/>
        <v>Second Class</v>
      </c>
      <c r="X230" s="6">
        <v>1</v>
      </c>
      <c r="Y230" s="6">
        <v>3194.37</v>
      </c>
      <c r="Z230" s="6">
        <v>0.15</v>
      </c>
      <c r="AA230" s="6">
        <f t="shared" si="55"/>
        <v>0.15</v>
      </c>
      <c r="AB230" s="6" t="str">
        <f t="shared" si="56"/>
        <v>Valid</v>
      </c>
      <c r="AC230" s="6">
        <v>2715.21</v>
      </c>
      <c r="AD230" s="6" t="str">
        <f>IF(OR(AO230="Cancelled",AM230="Failed"),"Exclude from Completed Sales","Include in Completed Sales")</f>
        <v>Include in Completed Sales</v>
      </c>
      <c r="AE230" s="6">
        <f t="shared" si="57"/>
        <v>2715.2145</v>
      </c>
      <c r="AF230" s="6" t="str">
        <f t="shared" si="58"/>
        <v/>
      </c>
      <c r="AG230" s="6">
        <v>1551.55</v>
      </c>
      <c r="AH230" s="6">
        <v>1163.6600000000001</v>
      </c>
      <c r="AI230" s="6">
        <f t="shared" si="59"/>
        <v>1163.6645000000001</v>
      </c>
      <c r="AJ230" s="11">
        <f t="shared" si="60"/>
        <v>0.42857184948003191</v>
      </c>
      <c r="AK230" s="11" t="str">
        <f t="shared" si="61"/>
        <v>April</v>
      </c>
      <c r="AL230" s="12">
        <f t="shared" si="62"/>
        <v>2024</v>
      </c>
      <c r="AM230" s="6" t="s">
        <v>54</v>
      </c>
      <c r="AN230" s="6" t="s">
        <v>55</v>
      </c>
      <c r="AO230" s="6" t="str">
        <f t="shared" si="54"/>
        <v>Completed</v>
      </c>
    </row>
    <row r="231" spans="1:41">
      <c r="A231" s="6" t="s">
        <v>1234</v>
      </c>
      <c r="B231" s="7" t="s">
        <v>1235</v>
      </c>
      <c r="C231" s="8">
        <v>45836</v>
      </c>
      <c r="D231" s="7" t="s">
        <v>1236</v>
      </c>
      <c r="E231" s="9">
        <v>45842</v>
      </c>
      <c r="F231" s="9" t="str">
        <f t="shared" si="47"/>
        <v>Valid</v>
      </c>
      <c r="G231" s="10">
        <f t="shared" si="48"/>
        <v>6</v>
      </c>
      <c r="H231" s="10" t="str">
        <f t="shared" si="49"/>
        <v>Valid</v>
      </c>
      <c r="I231" s="6" t="s">
        <v>1237</v>
      </c>
      <c r="J231" s="6" t="s">
        <v>200</v>
      </c>
      <c r="K231" s="6" t="s">
        <v>200</v>
      </c>
      <c r="L231" s="6" t="s">
        <v>46</v>
      </c>
      <c r="M231" s="7" t="str">
        <f t="shared" si="50"/>
        <v>Consumer</v>
      </c>
      <c r="N231" s="6" t="s">
        <v>82</v>
      </c>
      <c r="O231" s="7" t="str">
        <f t="shared" si="51"/>
        <v>South</v>
      </c>
      <c r="P231" s="6" t="s">
        <v>83</v>
      </c>
      <c r="Q231" s="6" t="s">
        <v>84</v>
      </c>
      <c r="R231" s="6" t="s">
        <v>65</v>
      </c>
      <c r="S231" s="7" t="str">
        <f t="shared" si="52"/>
        <v>Furniture</v>
      </c>
      <c r="T231" s="6" t="s">
        <v>224</v>
      </c>
      <c r="U231" s="6" t="s">
        <v>1238</v>
      </c>
      <c r="V231" s="6" t="s">
        <v>76</v>
      </c>
      <c r="W231" s="7" t="str">
        <f t="shared" si="53"/>
        <v>First Class</v>
      </c>
      <c r="X231" s="6">
        <v>3</v>
      </c>
      <c r="Y231" s="6">
        <v>2886.23</v>
      </c>
      <c r="Z231" s="6">
        <v>0</v>
      </c>
      <c r="AA231" s="6">
        <f t="shared" si="55"/>
        <v>0</v>
      </c>
      <c r="AB231" s="6" t="str">
        <f t="shared" si="56"/>
        <v>Valid</v>
      </c>
      <c r="AC231" s="6">
        <v>8658.69</v>
      </c>
      <c r="AD231" s="6" t="str">
        <f>IF(OR(AO231="Cancelled",AM231="Failed"),"Exclude from Completed Sales","Include in Completed Sales")</f>
        <v>Include in Completed Sales</v>
      </c>
      <c r="AE231" s="6">
        <f t="shared" si="57"/>
        <v>8658.69</v>
      </c>
      <c r="AF231" s="6" t="str">
        <f t="shared" si="58"/>
        <v>Refunded</v>
      </c>
      <c r="AG231" s="6">
        <v>5535.94</v>
      </c>
      <c r="AH231" s="6">
        <v>3122.75</v>
      </c>
      <c r="AI231" s="6">
        <f t="shared" si="59"/>
        <v>3122.7500000000009</v>
      </c>
      <c r="AJ231" s="11">
        <f t="shared" si="60"/>
        <v>0.36064924370776652</v>
      </c>
      <c r="AK231" s="11" t="str">
        <f t="shared" si="61"/>
        <v>June</v>
      </c>
      <c r="AL231" s="12">
        <f t="shared" si="62"/>
        <v>2025</v>
      </c>
      <c r="AM231" s="6" t="s">
        <v>144</v>
      </c>
      <c r="AN231" s="6" t="s">
        <v>145</v>
      </c>
      <c r="AO231" s="6" t="str">
        <f t="shared" si="54"/>
        <v>Returned</v>
      </c>
    </row>
    <row r="232" spans="1:41">
      <c r="A232" s="6" t="s">
        <v>1239</v>
      </c>
      <c r="B232" s="7" t="s">
        <v>101</v>
      </c>
      <c r="C232" s="8">
        <v>45440</v>
      </c>
      <c r="D232" s="7" t="s">
        <v>1240</v>
      </c>
      <c r="E232" s="9">
        <v>45446</v>
      </c>
      <c r="F232" s="9" t="str">
        <f t="shared" si="47"/>
        <v>Valid</v>
      </c>
      <c r="G232" s="10">
        <f t="shared" si="48"/>
        <v>6</v>
      </c>
      <c r="H232" s="10" t="str">
        <f t="shared" si="49"/>
        <v>Valid</v>
      </c>
      <c r="I232" s="6" t="s">
        <v>1241</v>
      </c>
      <c r="J232" s="6" t="s">
        <v>113</v>
      </c>
      <c r="K232" s="6" t="s">
        <v>113</v>
      </c>
      <c r="L232" s="6" t="s">
        <v>61</v>
      </c>
      <c r="M232" s="7" t="str">
        <f t="shared" si="50"/>
        <v>Small Business</v>
      </c>
      <c r="N232" s="6" t="s">
        <v>47</v>
      </c>
      <c r="O232" s="7" t="str">
        <f t="shared" si="51"/>
        <v>North</v>
      </c>
      <c r="P232" s="6" t="s">
        <v>48</v>
      </c>
      <c r="Q232" s="6" t="s">
        <v>49</v>
      </c>
      <c r="R232" s="6" t="s">
        <v>50</v>
      </c>
      <c r="S232" s="7" t="str">
        <f t="shared" si="52"/>
        <v>Office Supplies</v>
      </c>
      <c r="T232" s="6" t="s">
        <v>51</v>
      </c>
      <c r="U232" s="6" t="s">
        <v>1242</v>
      </c>
      <c r="V232" s="6" t="s">
        <v>87</v>
      </c>
      <c r="W232" s="7" t="str">
        <f t="shared" si="53"/>
        <v>Standard Class</v>
      </c>
      <c r="X232" s="6">
        <v>8</v>
      </c>
      <c r="Y232" s="6">
        <v>1540.33</v>
      </c>
      <c r="Z232" s="6">
        <v>0.1</v>
      </c>
      <c r="AA232" s="6">
        <f t="shared" si="55"/>
        <v>0.1</v>
      </c>
      <c r="AB232" s="6" t="str">
        <f t="shared" si="56"/>
        <v>Valid</v>
      </c>
      <c r="AC232" s="6">
        <v>11090.38</v>
      </c>
      <c r="AD232" s="6" t="str">
        <f>IF(OR(AO232="Cancelled",AM232="Failed"),"Exclude from Completed Sales","Include in Completed Sales")</f>
        <v>Include in Completed Sales</v>
      </c>
      <c r="AE232" s="6">
        <f t="shared" si="57"/>
        <v>11090.376</v>
      </c>
      <c r="AF232" s="6" t="str">
        <f t="shared" si="58"/>
        <v/>
      </c>
      <c r="AG232" s="6">
        <v>8840.9500000000007</v>
      </c>
      <c r="AH232" s="6">
        <v>2249.4299999999998</v>
      </c>
      <c r="AI232" s="6">
        <f t="shared" si="59"/>
        <v>2249.4259999999995</v>
      </c>
      <c r="AJ232" s="11">
        <f t="shared" si="60"/>
        <v>0.20282684734944958</v>
      </c>
      <c r="AK232" s="11" t="str">
        <f t="shared" si="61"/>
        <v>May</v>
      </c>
      <c r="AL232" s="12">
        <f t="shared" si="62"/>
        <v>2024</v>
      </c>
      <c r="AM232" s="6" t="s">
        <v>54</v>
      </c>
      <c r="AN232" s="6" t="s">
        <v>55</v>
      </c>
      <c r="AO232" s="6" t="str">
        <f t="shared" si="54"/>
        <v>Completed</v>
      </c>
    </row>
    <row r="233" spans="1:41">
      <c r="A233" s="6" t="s">
        <v>1243</v>
      </c>
      <c r="B233" s="7" t="s">
        <v>1244</v>
      </c>
      <c r="C233" s="8">
        <v>45414</v>
      </c>
      <c r="D233" s="7" t="s">
        <v>1245</v>
      </c>
      <c r="E233" s="9">
        <v>45414</v>
      </c>
      <c r="F233" s="9" t="str">
        <f t="shared" si="47"/>
        <v>Valid</v>
      </c>
      <c r="G233" s="10">
        <f t="shared" si="48"/>
        <v>0</v>
      </c>
      <c r="H233" s="10" t="str">
        <f t="shared" si="49"/>
        <v>Valid</v>
      </c>
      <c r="I233" s="6" t="s">
        <v>1246</v>
      </c>
      <c r="J233" s="6" t="s">
        <v>92</v>
      </c>
      <c r="K233" s="6" t="s">
        <v>92</v>
      </c>
      <c r="L233" s="6" t="s">
        <v>128</v>
      </c>
      <c r="M233" s="7" t="str">
        <f t="shared" si="50"/>
        <v>Corporate</v>
      </c>
      <c r="N233" s="6" t="s">
        <v>47</v>
      </c>
      <c r="O233" s="7" t="str">
        <f t="shared" si="51"/>
        <v>North</v>
      </c>
      <c r="P233" s="6" t="s">
        <v>48</v>
      </c>
      <c r="Q233" s="6" t="s">
        <v>49</v>
      </c>
      <c r="R233" s="6" t="s">
        <v>1247</v>
      </c>
      <c r="S233" s="7" t="str">
        <f t="shared" si="52"/>
        <v>Office Supplies</v>
      </c>
      <c r="T233" s="6" t="s">
        <v>129</v>
      </c>
      <c r="U233" s="6" t="s">
        <v>1248</v>
      </c>
      <c r="V233" s="6" t="s">
        <v>76</v>
      </c>
      <c r="W233" s="7" t="str">
        <f t="shared" si="53"/>
        <v>First Class</v>
      </c>
      <c r="X233" s="6">
        <v>7</v>
      </c>
      <c r="Y233" s="6">
        <v>2183.38</v>
      </c>
      <c r="Z233" s="6">
        <v>0.25</v>
      </c>
      <c r="AA233" s="6">
        <f t="shared" si="55"/>
        <v>0.25</v>
      </c>
      <c r="AB233" s="6" t="str">
        <f t="shared" si="56"/>
        <v>Valid</v>
      </c>
      <c r="AC233" s="6">
        <v>11462.74</v>
      </c>
      <c r="AD233" s="6" t="str">
        <f>IF(OR(AO233="Cancelled",AM233="Failed"),"Exclude from Completed Sales","Include in Completed Sales")</f>
        <v>Exclude from Completed Sales</v>
      </c>
      <c r="AE233" s="6">
        <f t="shared" si="57"/>
        <v>11462.744999999999</v>
      </c>
      <c r="AF233" s="6" t="str">
        <f t="shared" si="58"/>
        <v>Refunded</v>
      </c>
      <c r="AG233" s="6">
        <v>7163.54</v>
      </c>
      <c r="AH233" s="6">
        <v>4299.2</v>
      </c>
      <c r="AI233" s="6">
        <f t="shared" si="59"/>
        <v>4299.204999999999</v>
      </c>
      <c r="AJ233" s="11">
        <f t="shared" si="60"/>
        <v>0.37505894094302888</v>
      </c>
      <c r="AK233" s="11" t="str">
        <f t="shared" si="61"/>
        <v>May</v>
      </c>
      <c r="AL233" s="12">
        <f t="shared" si="62"/>
        <v>2024</v>
      </c>
      <c r="AM233" s="6" t="s">
        <v>144</v>
      </c>
      <c r="AN233" s="6" t="s">
        <v>98</v>
      </c>
      <c r="AO233" s="6" t="str">
        <f t="shared" si="54"/>
        <v>Cancelled</v>
      </c>
    </row>
    <row r="234" spans="1:41">
      <c r="A234" s="6" t="s">
        <v>1249</v>
      </c>
      <c r="B234" s="7" t="s">
        <v>1250</v>
      </c>
      <c r="C234" s="8">
        <v>45812</v>
      </c>
      <c r="D234" s="7" t="s">
        <v>1251</v>
      </c>
      <c r="E234" s="9">
        <v>45818</v>
      </c>
      <c r="F234" s="9" t="str">
        <f t="shared" si="47"/>
        <v>Valid</v>
      </c>
      <c r="G234" s="10">
        <f t="shared" si="48"/>
        <v>6</v>
      </c>
      <c r="H234" s="10" t="str">
        <f t="shared" si="49"/>
        <v>Valid</v>
      </c>
      <c r="I234" s="6" t="s">
        <v>1252</v>
      </c>
      <c r="J234" s="6" t="s">
        <v>168</v>
      </c>
      <c r="K234" s="6" t="s">
        <v>168</v>
      </c>
      <c r="L234" s="6" t="s">
        <v>46</v>
      </c>
      <c r="M234" s="7" t="str">
        <f t="shared" si="50"/>
        <v>Consumer</v>
      </c>
      <c r="N234" s="6" t="s">
        <v>82</v>
      </c>
      <c r="O234" s="7" t="str">
        <f t="shared" si="51"/>
        <v>South</v>
      </c>
      <c r="P234" s="6" t="s">
        <v>120</v>
      </c>
      <c r="Q234" s="6" t="s">
        <v>121</v>
      </c>
      <c r="R234" s="6" t="s">
        <v>106</v>
      </c>
      <c r="S234" s="7" t="str">
        <f t="shared" si="52"/>
        <v>Technology</v>
      </c>
      <c r="T234" s="6" t="s">
        <v>243</v>
      </c>
      <c r="U234" s="6" t="s">
        <v>1253</v>
      </c>
      <c r="V234" s="6" t="s">
        <v>87</v>
      </c>
      <c r="W234" s="7" t="str">
        <f t="shared" si="53"/>
        <v>Standard Class</v>
      </c>
      <c r="X234" s="6">
        <v>4</v>
      </c>
      <c r="Y234" s="6">
        <v>223.37</v>
      </c>
      <c r="Z234" s="6">
        <v>0.25</v>
      </c>
      <c r="AA234" s="6">
        <f t="shared" si="55"/>
        <v>0.25</v>
      </c>
      <c r="AB234" s="6" t="str">
        <f t="shared" si="56"/>
        <v>Valid</v>
      </c>
      <c r="AC234" s="6">
        <v>670.11</v>
      </c>
      <c r="AD234" s="6" t="str">
        <f>IF(OR(AO234="Cancelled",AM234="Failed"),"Exclude from Completed Sales","Include in Completed Sales")</f>
        <v>Include in Completed Sales</v>
      </c>
      <c r="AE234" s="6">
        <f t="shared" si="57"/>
        <v>670.11</v>
      </c>
      <c r="AF234" s="6" t="str">
        <f t="shared" si="58"/>
        <v/>
      </c>
      <c r="AG234" s="6">
        <v>559.57000000000005</v>
      </c>
      <c r="AH234" s="6">
        <v>110.54</v>
      </c>
      <c r="AI234" s="6">
        <f t="shared" si="59"/>
        <v>110.53999999999996</v>
      </c>
      <c r="AJ234" s="11">
        <f t="shared" si="60"/>
        <v>0.16495799197146732</v>
      </c>
      <c r="AK234" s="11" t="str">
        <f t="shared" si="61"/>
        <v>June</v>
      </c>
      <c r="AL234" s="12">
        <f t="shared" si="62"/>
        <v>2025</v>
      </c>
      <c r="AM234" s="6" t="s">
        <v>54</v>
      </c>
      <c r="AN234" s="6" t="s">
        <v>55</v>
      </c>
      <c r="AO234" s="6" t="str">
        <f t="shared" si="54"/>
        <v>Completed</v>
      </c>
    </row>
    <row r="235" spans="1:41">
      <c r="A235" s="6" t="s">
        <v>1254</v>
      </c>
      <c r="B235" s="7" t="s">
        <v>1255</v>
      </c>
      <c r="C235" s="8">
        <v>45579</v>
      </c>
      <c r="D235" s="7" t="s">
        <v>1256</v>
      </c>
      <c r="E235" s="9">
        <v>45579</v>
      </c>
      <c r="F235" s="9" t="str">
        <f t="shared" si="47"/>
        <v>Valid</v>
      </c>
      <c r="G235" s="10">
        <f t="shared" si="48"/>
        <v>0</v>
      </c>
      <c r="H235" s="10" t="str">
        <f t="shared" si="49"/>
        <v>Valid</v>
      </c>
      <c r="I235" s="6" t="s">
        <v>1257</v>
      </c>
      <c r="J235" s="6" t="s">
        <v>103</v>
      </c>
      <c r="K235" s="6" t="s">
        <v>103</v>
      </c>
      <c r="L235" s="6" t="s">
        <v>128</v>
      </c>
      <c r="M235" s="7" t="str">
        <f t="shared" si="50"/>
        <v>Corporate</v>
      </c>
      <c r="N235" s="6" t="s">
        <v>82</v>
      </c>
      <c r="O235" s="7" t="str">
        <f t="shared" si="51"/>
        <v>South</v>
      </c>
      <c r="P235" s="6" t="s">
        <v>249</v>
      </c>
      <c r="Q235" s="6" t="s">
        <v>250</v>
      </c>
      <c r="R235" s="6" t="s">
        <v>65</v>
      </c>
      <c r="S235" s="7" t="str">
        <f t="shared" si="52"/>
        <v>Furniture</v>
      </c>
      <c r="T235" s="6" t="s">
        <v>224</v>
      </c>
      <c r="U235" s="6" t="s">
        <v>1258</v>
      </c>
      <c r="V235" s="6"/>
      <c r="W235" s="7" t="str">
        <f t="shared" si="53"/>
        <v>Unknown</v>
      </c>
      <c r="X235" s="6">
        <v>8</v>
      </c>
      <c r="Y235" s="6">
        <v>3904.59</v>
      </c>
      <c r="Z235" s="6">
        <v>0</v>
      </c>
      <c r="AA235" s="6">
        <f t="shared" si="55"/>
        <v>0</v>
      </c>
      <c r="AB235" s="6" t="str">
        <f t="shared" si="56"/>
        <v>Valid</v>
      </c>
      <c r="AC235" s="6">
        <v>31236.720000000001</v>
      </c>
      <c r="AD235" s="6" t="str">
        <f>IF(OR(AO235="Cancelled",AM235="Failed"),"Exclude from Completed Sales","Include in Completed Sales")</f>
        <v>Include in Completed Sales</v>
      </c>
      <c r="AE235" s="6">
        <f t="shared" si="57"/>
        <v>31236.720000000001</v>
      </c>
      <c r="AF235" s="6" t="str">
        <f t="shared" si="58"/>
        <v/>
      </c>
      <c r="AG235" s="6">
        <v>26377.7</v>
      </c>
      <c r="AH235" s="6">
        <v>4859.0200000000004</v>
      </c>
      <c r="AI235" s="6">
        <f t="shared" si="59"/>
        <v>4859.0200000000004</v>
      </c>
      <c r="AJ235" s="11">
        <f t="shared" si="60"/>
        <v>0.15555474454424154</v>
      </c>
      <c r="AK235" s="11" t="str">
        <f t="shared" si="61"/>
        <v>October</v>
      </c>
      <c r="AL235" s="12">
        <f t="shared" si="62"/>
        <v>2024</v>
      </c>
      <c r="AM235" s="6" t="s">
        <v>54</v>
      </c>
      <c r="AN235" s="6" t="s">
        <v>55</v>
      </c>
      <c r="AO235" s="6" t="str">
        <f t="shared" si="54"/>
        <v>Completed</v>
      </c>
    </row>
    <row r="236" spans="1:41">
      <c r="A236" s="6" t="s">
        <v>1259</v>
      </c>
      <c r="B236" s="7" t="s">
        <v>1260</v>
      </c>
      <c r="C236" s="8">
        <v>45537</v>
      </c>
      <c r="D236" s="7" t="s">
        <v>1261</v>
      </c>
      <c r="E236" s="9">
        <v>45538</v>
      </c>
      <c r="F236" s="9" t="str">
        <f t="shared" si="47"/>
        <v>Valid</v>
      </c>
      <c r="G236" s="10">
        <f t="shared" si="48"/>
        <v>1</v>
      </c>
      <c r="H236" s="10" t="str">
        <f t="shared" si="49"/>
        <v>Valid</v>
      </c>
      <c r="I236" s="6" t="s">
        <v>1262</v>
      </c>
      <c r="J236" s="6" t="s">
        <v>386</v>
      </c>
      <c r="K236" s="6" t="s">
        <v>386</v>
      </c>
      <c r="L236" s="6" t="s">
        <v>135</v>
      </c>
      <c r="M236" s="7" t="str">
        <f t="shared" si="50"/>
        <v>Home Office</v>
      </c>
      <c r="N236" s="6" t="s">
        <v>47</v>
      </c>
      <c r="O236" s="7" t="str">
        <f t="shared" si="51"/>
        <v>North</v>
      </c>
      <c r="P236" s="6" t="s">
        <v>526</v>
      </c>
      <c r="Q236" s="6" t="s">
        <v>527</v>
      </c>
      <c r="R236" s="6" t="s">
        <v>65</v>
      </c>
      <c r="S236" s="7" t="str">
        <f t="shared" si="52"/>
        <v>Furniture</v>
      </c>
      <c r="T236" s="6" t="s">
        <v>85</v>
      </c>
      <c r="U236" s="6" t="s">
        <v>1263</v>
      </c>
      <c r="V236" s="6" t="s">
        <v>76</v>
      </c>
      <c r="W236" s="7" t="str">
        <f t="shared" si="53"/>
        <v>First Class</v>
      </c>
      <c r="X236" s="6">
        <v>9</v>
      </c>
      <c r="Y236" s="6">
        <v>1353.61</v>
      </c>
      <c r="Z236" s="6">
        <v>0.1</v>
      </c>
      <c r="AA236" s="6">
        <f t="shared" si="55"/>
        <v>0.1</v>
      </c>
      <c r="AB236" s="6" t="str">
        <f t="shared" si="56"/>
        <v>Valid</v>
      </c>
      <c r="AC236" s="6">
        <v>10964.24</v>
      </c>
      <c r="AD236" s="6" t="str">
        <f>IF(OR(AO236="Cancelled",AM236="Failed"),"Exclude from Completed Sales","Include in Completed Sales")</f>
        <v>Include in Completed Sales</v>
      </c>
      <c r="AE236" s="6">
        <f t="shared" si="57"/>
        <v>10964.241</v>
      </c>
      <c r="AF236" s="6" t="str">
        <f t="shared" si="58"/>
        <v/>
      </c>
      <c r="AG236" s="6">
        <v>9262.4699999999993</v>
      </c>
      <c r="AH236" s="6">
        <v>1701.77</v>
      </c>
      <c r="AI236" s="6">
        <f t="shared" si="59"/>
        <v>1701.7710000000006</v>
      </c>
      <c r="AJ236" s="11">
        <f t="shared" si="60"/>
        <v>0.15521101734265058</v>
      </c>
      <c r="AK236" s="11" t="str">
        <f t="shared" si="61"/>
        <v>September</v>
      </c>
      <c r="AL236" s="12">
        <f t="shared" si="62"/>
        <v>2024</v>
      </c>
      <c r="AM236" s="6" t="s">
        <v>54</v>
      </c>
      <c r="AN236" s="6" t="s">
        <v>55</v>
      </c>
      <c r="AO236" s="6" t="str">
        <f t="shared" si="54"/>
        <v>Completed</v>
      </c>
    </row>
    <row r="237" spans="1:41">
      <c r="A237" s="6" t="s">
        <v>1264</v>
      </c>
      <c r="B237" s="7" t="s">
        <v>1265</v>
      </c>
      <c r="C237" s="8">
        <v>45598</v>
      </c>
      <c r="D237" s="7" t="s">
        <v>1266</v>
      </c>
      <c r="E237" s="9">
        <v>45599</v>
      </c>
      <c r="F237" s="9" t="str">
        <f t="shared" si="47"/>
        <v>Valid</v>
      </c>
      <c r="G237" s="10">
        <f t="shared" si="48"/>
        <v>1</v>
      </c>
      <c r="H237" s="10" t="str">
        <f t="shared" si="49"/>
        <v>Valid</v>
      </c>
      <c r="I237" s="6" t="s">
        <v>1267</v>
      </c>
      <c r="J237" s="6" t="s">
        <v>168</v>
      </c>
      <c r="K237" s="6" t="s">
        <v>168</v>
      </c>
      <c r="L237" s="6" t="s">
        <v>61</v>
      </c>
      <c r="M237" s="7" t="str">
        <f t="shared" si="50"/>
        <v>Small Business</v>
      </c>
      <c r="N237" s="6" t="s">
        <v>93</v>
      </c>
      <c r="O237" s="7" t="str">
        <f t="shared" si="51"/>
        <v>West</v>
      </c>
      <c r="P237" s="6" t="s">
        <v>48</v>
      </c>
      <c r="Q237" s="6" t="s">
        <v>155</v>
      </c>
      <c r="R237" s="6" t="s">
        <v>50</v>
      </c>
      <c r="S237" s="7" t="str">
        <f t="shared" si="52"/>
        <v>Office Supplies</v>
      </c>
      <c r="T237" s="6" t="s">
        <v>176</v>
      </c>
      <c r="U237" s="6" t="s">
        <v>1268</v>
      </c>
      <c r="V237" s="6" t="s">
        <v>87</v>
      </c>
      <c r="W237" s="7" t="str">
        <f t="shared" si="53"/>
        <v>Standard Class</v>
      </c>
      <c r="X237" s="6">
        <v>6</v>
      </c>
      <c r="Y237" s="6">
        <v>2671.29</v>
      </c>
      <c r="Z237" s="6">
        <v>0.05</v>
      </c>
      <c r="AA237" s="6">
        <f t="shared" si="55"/>
        <v>0.05</v>
      </c>
      <c r="AB237" s="6" t="str">
        <f t="shared" si="56"/>
        <v>Valid</v>
      </c>
      <c r="AC237" s="6">
        <v>15226.35</v>
      </c>
      <c r="AD237" s="6" t="str">
        <f>IF(OR(AO237="Cancelled",AM237="Failed"),"Exclude from Completed Sales","Include in Completed Sales")</f>
        <v>Include in Completed Sales</v>
      </c>
      <c r="AE237" s="6">
        <f t="shared" si="57"/>
        <v>15226.352999999999</v>
      </c>
      <c r="AF237" s="6" t="str">
        <f t="shared" si="58"/>
        <v/>
      </c>
      <c r="AG237" s="6">
        <v>11145.28</v>
      </c>
      <c r="AH237" s="6">
        <v>4081.07</v>
      </c>
      <c r="AI237" s="6">
        <f t="shared" si="59"/>
        <v>4081.0729999999985</v>
      </c>
      <c r="AJ237" s="11">
        <f t="shared" si="60"/>
        <v>0.26802695300706603</v>
      </c>
      <c r="AK237" s="11" t="str">
        <f t="shared" si="61"/>
        <v>November</v>
      </c>
      <c r="AL237" s="12">
        <f t="shared" si="62"/>
        <v>2024</v>
      </c>
      <c r="AM237" s="6" t="s">
        <v>54</v>
      </c>
      <c r="AN237" s="6" t="s">
        <v>55</v>
      </c>
      <c r="AO237" s="6" t="str">
        <f t="shared" si="54"/>
        <v>Completed</v>
      </c>
    </row>
    <row r="238" spans="1:41">
      <c r="A238" s="6" t="s">
        <v>1269</v>
      </c>
      <c r="B238" s="7" t="s">
        <v>1256</v>
      </c>
      <c r="C238" s="8">
        <v>45579</v>
      </c>
      <c r="D238" s="7" t="s">
        <v>1270</v>
      </c>
      <c r="E238" s="9">
        <v>45586</v>
      </c>
      <c r="F238" s="9" t="str">
        <f t="shared" si="47"/>
        <v>Valid</v>
      </c>
      <c r="G238" s="10">
        <f t="shared" si="48"/>
        <v>7</v>
      </c>
      <c r="H238" s="10" t="str">
        <f t="shared" si="49"/>
        <v>Valid</v>
      </c>
      <c r="I238" s="6" t="s">
        <v>1271</v>
      </c>
      <c r="J238" s="6" t="s">
        <v>162</v>
      </c>
      <c r="K238" s="6" t="s">
        <v>162</v>
      </c>
      <c r="L238" s="6" t="s">
        <v>128</v>
      </c>
      <c r="M238" s="7" t="str">
        <f t="shared" si="50"/>
        <v>Corporate</v>
      </c>
      <c r="N238" s="6" t="s">
        <v>47</v>
      </c>
      <c r="O238" s="7" t="str">
        <f t="shared" si="51"/>
        <v>North</v>
      </c>
      <c r="P238" s="6" t="s">
        <v>194</v>
      </c>
      <c r="Q238" s="6" t="s">
        <v>195</v>
      </c>
      <c r="R238" s="6" t="s">
        <v>65</v>
      </c>
      <c r="S238" s="7" t="str">
        <f t="shared" si="52"/>
        <v>Furniture</v>
      </c>
      <c r="T238" s="6" t="s">
        <v>224</v>
      </c>
      <c r="U238" s="6" t="s">
        <v>1272</v>
      </c>
      <c r="V238" s="6" t="s">
        <v>76</v>
      </c>
      <c r="W238" s="7" t="str">
        <f t="shared" si="53"/>
        <v>First Class</v>
      </c>
      <c r="X238" s="6">
        <v>6</v>
      </c>
      <c r="Y238" s="6">
        <v>4062.78</v>
      </c>
      <c r="Z238" s="6">
        <v>0</v>
      </c>
      <c r="AA238" s="6">
        <f t="shared" si="55"/>
        <v>0</v>
      </c>
      <c r="AB238" s="6" t="str">
        <f t="shared" si="56"/>
        <v>Valid</v>
      </c>
      <c r="AC238" s="6">
        <v>24376.68</v>
      </c>
      <c r="AD238" s="6" t="str">
        <f>IF(OR(AO238="Cancelled",AM238="Failed"),"Exclude from Completed Sales","Include in Completed Sales")</f>
        <v>Include in Completed Sales</v>
      </c>
      <c r="AE238" s="6">
        <f t="shared" si="57"/>
        <v>24376.68</v>
      </c>
      <c r="AF238" s="6" t="str">
        <f t="shared" si="58"/>
        <v/>
      </c>
      <c r="AG238" s="6">
        <v>18533.39</v>
      </c>
      <c r="AH238" s="6">
        <v>5843.29</v>
      </c>
      <c r="AI238" s="6">
        <f t="shared" si="59"/>
        <v>5843.2900000000009</v>
      </c>
      <c r="AJ238" s="11">
        <f t="shared" si="60"/>
        <v>0.23970819652224998</v>
      </c>
      <c r="AK238" s="11" t="str">
        <f t="shared" si="61"/>
        <v>October</v>
      </c>
      <c r="AL238" s="12">
        <f t="shared" si="62"/>
        <v>2024</v>
      </c>
      <c r="AM238" s="6" t="s">
        <v>54</v>
      </c>
      <c r="AN238" s="6" t="s">
        <v>55</v>
      </c>
      <c r="AO238" s="6" t="str">
        <f t="shared" si="54"/>
        <v>Completed</v>
      </c>
    </row>
    <row r="239" spans="1:41">
      <c r="A239" s="6" t="s">
        <v>1273</v>
      </c>
      <c r="B239" s="7" t="s">
        <v>1274</v>
      </c>
      <c r="C239" s="8">
        <v>45531</v>
      </c>
      <c r="D239" s="7" t="s">
        <v>1274</v>
      </c>
      <c r="E239" s="9">
        <v>45531</v>
      </c>
      <c r="F239" s="9" t="str">
        <f t="shared" si="47"/>
        <v>Valid</v>
      </c>
      <c r="G239" s="10">
        <f t="shared" si="48"/>
        <v>0</v>
      </c>
      <c r="H239" s="10" t="str">
        <f t="shared" si="49"/>
        <v>Valid</v>
      </c>
      <c r="I239" s="6" t="s">
        <v>1275</v>
      </c>
      <c r="J239" s="6" t="s">
        <v>60</v>
      </c>
      <c r="K239" s="6" t="s">
        <v>60</v>
      </c>
      <c r="L239" s="6" t="s">
        <v>46</v>
      </c>
      <c r="M239" s="7" t="str">
        <f t="shared" si="50"/>
        <v>Consumer</v>
      </c>
      <c r="N239" s="6" t="s">
        <v>47</v>
      </c>
      <c r="O239" s="7" t="str">
        <f t="shared" si="51"/>
        <v>North</v>
      </c>
      <c r="P239" s="6" t="s">
        <v>343</v>
      </c>
      <c r="Q239" s="6" t="s">
        <v>344</v>
      </c>
      <c r="R239" s="6" t="s">
        <v>106</v>
      </c>
      <c r="S239" s="7" t="str">
        <f t="shared" si="52"/>
        <v>Technology</v>
      </c>
      <c r="T239" s="6" t="s">
        <v>114</v>
      </c>
      <c r="U239" s="6" t="s">
        <v>1276</v>
      </c>
      <c r="V239" s="6" t="s">
        <v>87</v>
      </c>
      <c r="W239" s="7" t="str">
        <f t="shared" si="53"/>
        <v>Standard Class</v>
      </c>
      <c r="X239" s="6">
        <v>9</v>
      </c>
      <c r="Y239" s="6">
        <v>2330.3000000000002</v>
      </c>
      <c r="Z239" s="6">
        <v>0</v>
      </c>
      <c r="AA239" s="6">
        <f t="shared" si="55"/>
        <v>0</v>
      </c>
      <c r="AB239" s="6" t="str">
        <f t="shared" si="56"/>
        <v>Valid</v>
      </c>
      <c r="AC239" s="6">
        <v>20972.7</v>
      </c>
      <c r="AD239" s="6" t="str">
        <f>IF(OR(AO239="Cancelled",AM239="Failed"),"Exclude from Completed Sales","Include in Completed Sales")</f>
        <v>Include in Completed Sales</v>
      </c>
      <c r="AE239" s="6">
        <f t="shared" si="57"/>
        <v>20972.7</v>
      </c>
      <c r="AF239" s="6" t="str">
        <f t="shared" si="58"/>
        <v/>
      </c>
      <c r="AG239" s="6">
        <v>13504.88</v>
      </c>
      <c r="AH239" s="6">
        <v>7467.82</v>
      </c>
      <c r="AI239" s="6">
        <f t="shared" si="59"/>
        <v>7467.8200000000015</v>
      </c>
      <c r="AJ239" s="11">
        <f t="shared" si="60"/>
        <v>0.35607337157352181</v>
      </c>
      <c r="AK239" s="11" t="str">
        <f t="shared" si="61"/>
        <v>August</v>
      </c>
      <c r="AL239" s="12">
        <f t="shared" si="62"/>
        <v>2024</v>
      </c>
      <c r="AM239" s="6" t="s">
        <v>54</v>
      </c>
      <c r="AN239" s="6" t="s">
        <v>55</v>
      </c>
      <c r="AO239" s="6" t="str">
        <f t="shared" si="54"/>
        <v>Completed</v>
      </c>
    </row>
    <row r="240" spans="1:41">
      <c r="A240" s="6" t="s">
        <v>1277</v>
      </c>
      <c r="B240" s="7" t="s">
        <v>1278</v>
      </c>
      <c r="C240" s="8">
        <v>45303</v>
      </c>
      <c r="D240" s="7" t="s">
        <v>1279</v>
      </c>
      <c r="E240" s="9">
        <v>45308</v>
      </c>
      <c r="F240" s="9" t="str">
        <f t="shared" si="47"/>
        <v>Valid</v>
      </c>
      <c r="G240" s="10">
        <f t="shared" si="48"/>
        <v>5</v>
      </c>
      <c r="H240" s="10" t="str">
        <f t="shared" si="49"/>
        <v>Valid</v>
      </c>
      <c r="I240" s="6" t="s">
        <v>1280</v>
      </c>
      <c r="J240" s="6" t="s">
        <v>81</v>
      </c>
      <c r="K240" s="6" t="s">
        <v>81</v>
      </c>
      <c r="L240" s="6" t="s">
        <v>46</v>
      </c>
      <c r="M240" s="7" t="str">
        <f t="shared" si="50"/>
        <v>Consumer</v>
      </c>
      <c r="N240" s="6" t="s">
        <v>82</v>
      </c>
      <c r="O240" s="7" t="str">
        <f t="shared" si="51"/>
        <v>South</v>
      </c>
      <c r="P240" s="6" t="s">
        <v>120</v>
      </c>
      <c r="Q240" s="6" t="s">
        <v>121</v>
      </c>
      <c r="R240" s="6" t="s">
        <v>50</v>
      </c>
      <c r="S240" s="7" t="str">
        <f t="shared" si="52"/>
        <v>Office Supplies</v>
      </c>
      <c r="T240" s="6" t="s">
        <v>176</v>
      </c>
      <c r="U240" s="6" t="s">
        <v>1281</v>
      </c>
      <c r="V240" s="6" t="s">
        <v>76</v>
      </c>
      <c r="W240" s="7" t="str">
        <f t="shared" si="53"/>
        <v>First Class</v>
      </c>
      <c r="X240" s="6">
        <v>7</v>
      </c>
      <c r="Y240" s="6">
        <v>4005.05</v>
      </c>
      <c r="Z240" s="6">
        <v>0.55000000000000004</v>
      </c>
      <c r="AA240" s="6">
        <f t="shared" si="55"/>
        <v>0.55000000000000004</v>
      </c>
      <c r="AB240" s="6" t="str">
        <f t="shared" si="56"/>
        <v>Valid</v>
      </c>
      <c r="AC240" s="6">
        <v>26633.58</v>
      </c>
      <c r="AD240" s="6" t="str">
        <f>IF(OR(AO240="Cancelled",AM240="Failed"),"Exclude from Completed Sales","Include in Completed Sales")</f>
        <v>Include in Completed Sales</v>
      </c>
      <c r="AE240" s="6">
        <f t="shared" si="57"/>
        <v>12615.907499999999</v>
      </c>
      <c r="AF240" s="6" t="str">
        <f t="shared" si="58"/>
        <v/>
      </c>
      <c r="AG240" s="6">
        <v>18838.75</v>
      </c>
      <c r="AH240" s="6">
        <v>7794.83</v>
      </c>
      <c r="AI240" s="6">
        <f t="shared" si="59"/>
        <v>-6222.8425000000007</v>
      </c>
      <c r="AJ240" s="11">
        <f t="shared" si="60"/>
        <v>-0.4932536561480021</v>
      </c>
      <c r="AK240" s="11" t="str">
        <f t="shared" si="61"/>
        <v>January</v>
      </c>
      <c r="AL240" s="12">
        <f t="shared" si="62"/>
        <v>2024</v>
      </c>
      <c r="AM240" s="6" t="s">
        <v>54</v>
      </c>
      <c r="AN240" s="6" t="s">
        <v>55</v>
      </c>
      <c r="AO240" s="6" t="str">
        <f t="shared" si="54"/>
        <v>Completed</v>
      </c>
    </row>
    <row r="241" spans="1:41">
      <c r="A241" s="6" t="s">
        <v>1282</v>
      </c>
      <c r="B241" s="7" t="s">
        <v>1283</v>
      </c>
      <c r="C241" s="8">
        <v>45556</v>
      </c>
      <c r="D241" s="7" t="s">
        <v>1154</v>
      </c>
      <c r="E241" s="9">
        <v>45556</v>
      </c>
      <c r="F241" s="9" t="str">
        <f t="shared" si="47"/>
        <v>Valid</v>
      </c>
      <c r="G241" s="10">
        <f t="shared" si="48"/>
        <v>0</v>
      </c>
      <c r="H241" s="10" t="str">
        <f t="shared" si="49"/>
        <v>Valid</v>
      </c>
      <c r="I241" s="6" t="s">
        <v>1284</v>
      </c>
      <c r="J241" s="6" t="s">
        <v>386</v>
      </c>
      <c r="K241" s="6" t="s">
        <v>386</v>
      </c>
      <c r="L241" s="6" t="s">
        <v>128</v>
      </c>
      <c r="M241" s="7" t="str">
        <f t="shared" si="50"/>
        <v>Corporate</v>
      </c>
      <c r="N241" s="6" t="s">
        <v>82</v>
      </c>
      <c r="O241" s="7" t="str">
        <f t="shared" si="51"/>
        <v>South</v>
      </c>
      <c r="P241" s="6" t="s">
        <v>249</v>
      </c>
      <c r="Q241" s="6" t="s">
        <v>250</v>
      </c>
      <c r="R241" s="6" t="s">
        <v>106</v>
      </c>
      <c r="S241" s="7" t="str">
        <f t="shared" si="52"/>
        <v>Technology</v>
      </c>
      <c r="T241" s="6" t="s">
        <v>402</v>
      </c>
      <c r="U241" s="6" t="s">
        <v>1285</v>
      </c>
      <c r="V241" s="6" t="s">
        <v>76</v>
      </c>
      <c r="W241" s="7" t="str">
        <f t="shared" si="53"/>
        <v>First Class</v>
      </c>
      <c r="X241" s="6">
        <v>2</v>
      </c>
      <c r="Y241" s="6">
        <v>1960.06</v>
      </c>
      <c r="Z241" s="6">
        <v>0.2</v>
      </c>
      <c r="AA241" s="6">
        <f t="shared" si="55"/>
        <v>0.2</v>
      </c>
      <c r="AB241" s="6" t="str">
        <f t="shared" si="56"/>
        <v>Valid</v>
      </c>
      <c r="AC241" s="6">
        <v>3136.1</v>
      </c>
      <c r="AD241" s="6" t="str">
        <f>IF(OR(AO241="Cancelled",AM241="Failed"),"Exclude from Completed Sales","Include in Completed Sales")</f>
        <v>Include in Completed Sales</v>
      </c>
      <c r="AE241" s="6">
        <f t="shared" si="57"/>
        <v>3136.096</v>
      </c>
      <c r="AF241" s="6" t="str">
        <f t="shared" si="58"/>
        <v/>
      </c>
      <c r="AG241" s="6">
        <v>2279.4899999999998</v>
      </c>
      <c r="AH241" s="6">
        <v>856.61</v>
      </c>
      <c r="AI241" s="6">
        <f t="shared" si="59"/>
        <v>856.60600000000022</v>
      </c>
      <c r="AJ241" s="11">
        <f t="shared" si="60"/>
        <v>0.273144061916472</v>
      </c>
      <c r="AK241" s="11" t="str">
        <f t="shared" si="61"/>
        <v>September</v>
      </c>
      <c r="AL241" s="12">
        <f t="shared" si="62"/>
        <v>2024</v>
      </c>
      <c r="AM241" s="6" t="s">
        <v>54</v>
      </c>
      <c r="AN241" s="6" t="s">
        <v>55</v>
      </c>
      <c r="AO241" s="6" t="str">
        <f t="shared" si="54"/>
        <v>Completed</v>
      </c>
    </row>
    <row r="242" spans="1:41">
      <c r="A242" s="6" t="s">
        <v>1286</v>
      </c>
      <c r="B242" s="7" t="s">
        <v>1287</v>
      </c>
      <c r="C242" s="8">
        <v>45643</v>
      </c>
      <c r="D242" s="7" t="s">
        <v>844</v>
      </c>
      <c r="E242" s="9">
        <v>45649</v>
      </c>
      <c r="F242" s="9" t="str">
        <f t="shared" si="47"/>
        <v>Valid</v>
      </c>
      <c r="G242" s="10">
        <f t="shared" si="48"/>
        <v>6</v>
      </c>
      <c r="H242" s="10" t="str">
        <f t="shared" si="49"/>
        <v>Valid</v>
      </c>
      <c r="I242" s="6" t="s">
        <v>1288</v>
      </c>
      <c r="J242" s="6" t="s">
        <v>182</v>
      </c>
      <c r="K242" s="6" t="s">
        <v>182</v>
      </c>
      <c r="L242" s="6" t="s">
        <v>128</v>
      </c>
      <c r="M242" s="7" t="str">
        <f t="shared" si="50"/>
        <v>Corporate</v>
      </c>
      <c r="N242" s="6" t="s">
        <v>82</v>
      </c>
      <c r="O242" s="7" t="str">
        <f t="shared" si="51"/>
        <v>South</v>
      </c>
      <c r="P242" s="6" t="s">
        <v>83</v>
      </c>
      <c r="Q242" s="6" t="s">
        <v>84</v>
      </c>
      <c r="R242" s="6" t="s">
        <v>50</v>
      </c>
      <c r="S242" s="7" t="str">
        <f t="shared" si="52"/>
        <v>Office Supplies</v>
      </c>
      <c r="T242" s="6" t="s">
        <v>218</v>
      </c>
      <c r="U242" s="6" t="s">
        <v>1289</v>
      </c>
      <c r="V242" s="6" t="s">
        <v>76</v>
      </c>
      <c r="W242" s="7" t="str">
        <f t="shared" si="53"/>
        <v>First Class</v>
      </c>
      <c r="X242" s="6">
        <v>9</v>
      </c>
      <c r="Y242" s="6">
        <v>2315.1</v>
      </c>
      <c r="Z242" s="6">
        <v>0</v>
      </c>
      <c r="AA242" s="6">
        <f t="shared" si="55"/>
        <v>0</v>
      </c>
      <c r="AB242" s="6" t="str">
        <f t="shared" si="56"/>
        <v>Valid</v>
      </c>
      <c r="AC242" s="6">
        <v>20835.900000000001</v>
      </c>
      <c r="AD242" s="6" t="str">
        <f>IF(OR(AO242="Cancelled",AM242="Failed"),"Exclude from Completed Sales","Include in Completed Sales")</f>
        <v>Include in Completed Sales</v>
      </c>
      <c r="AE242" s="6">
        <f t="shared" si="57"/>
        <v>20835.899999999998</v>
      </c>
      <c r="AF242" s="6" t="str">
        <f t="shared" si="58"/>
        <v/>
      </c>
      <c r="AG242" s="6">
        <v>13928.19</v>
      </c>
      <c r="AH242" s="6">
        <v>6907.71</v>
      </c>
      <c r="AI242" s="6">
        <f t="shared" si="59"/>
        <v>6907.7099999999973</v>
      </c>
      <c r="AJ242" s="11">
        <f t="shared" si="60"/>
        <v>0.33152923559817421</v>
      </c>
      <c r="AK242" s="11" t="str">
        <f t="shared" si="61"/>
        <v>December</v>
      </c>
      <c r="AL242" s="12">
        <f t="shared" si="62"/>
        <v>2024</v>
      </c>
      <c r="AM242" s="6" t="s">
        <v>54</v>
      </c>
      <c r="AN242" s="6" t="s">
        <v>55</v>
      </c>
      <c r="AO242" s="6" t="str">
        <f t="shared" si="54"/>
        <v>Completed</v>
      </c>
    </row>
    <row r="243" spans="1:41">
      <c r="A243" s="6" t="s">
        <v>1290</v>
      </c>
      <c r="B243" s="7" t="s">
        <v>1291</v>
      </c>
      <c r="C243" s="8">
        <v>45844</v>
      </c>
      <c r="D243" s="7" t="s">
        <v>1292</v>
      </c>
      <c r="E243" s="9">
        <v>45844</v>
      </c>
      <c r="F243" s="9" t="str">
        <f t="shared" si="47"/>
        <v>Valid</v>
      </c>
      <c r="G243" s="10">
        <f t="shared" si="48"/>
        <v>0</v>
      </c>
      <c r="H243" s="10" t="str">
        <f t="shared" si="49"/>
        <v>Valid</v>
      </c>
      <c r="I243" s="6" t="s">
        <v>1293</v>
      </c>
      <c r="J243" s="6" t="s">
        <v>188</v>
      </c>
      <c r="K243" s="6" t="s">
        <v>188</v>
      </c>
      <c r="L243" s="6" t="s">
        <v>128</v>
      </c>
      <c r="M243" s="7" t="str">
        <f t="shared" si="50"/>
        <v>Corporate</v>
      </c>
      <c r="N243" s="6" t="s">
        <v>47</v>
      </c>
      <c r="O243" s="7" t="str">
        <f t="shared" si="51"/>
        <v>North</v>
      </c>
      <c r="P243" s="6" t="s">
        <v>343</v>
      </c>
      <c r="Q243" s="6" t="s">
        <v>344</v>
      </c>
      <c r="R243" s="6" t="s">
        <v>50</v>
      </c>
      <c r="S243" s="7" t="str">
        <f t="shared" si="52"/>
        <v>Office Supplies</v>
      </c>
      <c r="T243" s="6" t="s">
        <v>176</v>
      </c>
      <c r="U243" s="6" t="s">
        <v>1294</v>
      </c>
      <c r="V243" s="6" t="s">
        <v>87</v>
      </c>
      <c r="W243" s="7" t="str">
        <f t="shared" si="53"/>
        <v>Standard Class</v>
      </c>
      <c r="X243" s="6">
        <v>1</v>
      </c>
      <c r="Y243" s="6">
        <v>1617.2</v>
      </c>
      <c r="Z243" s="6">
        <v>0.25</v>
      </c>
      <c r="AA243" s="6">
        <f t="shared" si="55"/>
        <v>0.25</v>
      </c>
      <c r="AB243" s="6" t="str">
        <f t="shared" si="56"/>
        <v>Valid</v>
      </c>
      <c r="AC243" s="6">
        <v>1212.9000000000001</v>
      </c>
      <c r="AD243" s="6" t="str">
        <f>IF(OR(AO243="Cancelled",AM243="Failed"),"Exclude from Completed Sales","Include in Completed Sales")</f>
        <v>Include in Completed Sales</v>
      </c>
      <c r="AE243" s="6">
        <f t="shared" si="57"/>
        <v>1212.9000000000001</v>
      </c>
      <c r="AF243" s="6" t="str">
        <f t="shared" si="58"/>
        <v/>
      </c>
      <c r="AG243" s="6">
        <v>690.52</v>
      </c>
      <c r="AH243" s="6">
        <v>522.38</v>
      </c>
      <c r="AI243" s="6">
        <f t="shared" si="59"/>
        <v>522.38000000000011</v>
      </c>
      <c r="AJ243" s="11">
        <f t="shared" si="60"/>
        <v>0.4306867837414462</v>
      </c>
      <c r="AK243" s="11" t="str">
        <f t="shared" si="61"/>
        <v>July</v>
      </c>
      <c r="AL243" s="12">
        <f t="shared" si="62"/>
        <v>2025</v>
      </c>
      <c r="AM243" s="6" t="s">
        <v>157</v>
      </c>
      <c r="AN243" s="6" t="s">
        <v>145</v>
      </c>
      <c r="AO243" s="6" t="str">
        <f t="shared" si="54"/>
        <v>Returned</v>
      </c>
    </row>
    <row r="244" spans="1:41">
      <c r="A244" s="6" t="s">
        <v>1295</v>
      </c>
      <c r="B244" s="7" t="s">
        <v>1296</v>
      </c>
      <c r="C244" s="8">
        <v>45695</v>
      </c>
      <c r="D244" s="7" t="s">
        <v>1297</v>
      </c>
      <c r="E244" s="9">
        <v>45695</v>
      </c>
      <c r="F244" s="9" t="str">
        <f t="shared" si="47"/>
        <v>Valid</v>
      </c>
      <c r="G244" s="10">
        <f t="shared" si="48"/>
        <v>0</v>
      </c>
      <c r="H244" s="10" t="str">
        <f t="shared" si="49"/>
        <v>Valid</v>
      </c>
      <c r="I244" s="6" t="s">
        <v>1298</v>
      </c>
      <c r="J244" s="6" t="s">
        <v>81</v>
      </c>
      <c r="K244" s="6" t="s">
        <v>81</v>
      </c>
      <c r="L244" s="6" t="s">
        <v>46</v>
      </c>
      <c r="M244" s="7" t="str">
        <f t="shared" si="50"/>
        <v>Consumer</v>
      </c>
      <c r="N244" s="6" t="s">
        <v>47</v>
      </c>
      <c r="O244" s="7" t="str">
        <f t="shared" si="51"/>
        <v>North</v>
      </c>
      <c r="P244" s="6" t="s">
        <v>194</v>
      </c>
      <c r="Q244" s="6" t="s">
        <v>195</v>
      </c>
      <c r="R244" s="6" t="s">
        <v>50</v>
      </c>
      <c r="S244" s="7" t="str">
        <f t="shared" si="52"/>
        <v>Office Supplies</v>
      </c>
      <c r="T244" s="6" t="s">
        <v>74</v>
      </c>
      <c r="U244" s="6" t="s">
        <v>1299</v>
      </c>
      <c r="V244" s="6" t="s">
        <v>53</v>
      </c>
      <c r="W244" s="7" t="str">
        <f t="shared" si="53"/>
        <v>Second Class</v>
      </c>
      <c r="X244" s="6">
        <v>3</v>
      </c>
      <c r="Y244" s="6">
        <v>1999.24</v>
      </c>
      <c r="Z244" s="6">
        <v>0.05</v>
      </c>
      <c r="AA244" s="6">
        <f t="shared" si="55"/>
        <v>0.05</v>
      </c>
      <c r="AB244" s="6" t="str">
        <f t="shared" si="56"/>
        <v>Valid</v>
      </c>
      <c r="AC244" s="6">
        <v>5697.83</v>
      </c>
      <c r="AD244" s="6" t="str">
        <f>IF(OR(AO244="Cancelled",AM244="Failed"),"Exclude from Completed Sales","Include in Completed Sales")</f>
        <v>Include in Completed Sales</v>
      </c>
      <c r="AE244" s="6">
        <f t="shared" si="57"/>
        <v>5697.8339999999998</v>
      </c>
      <c r="AF244" s="6" t="str">
        <f t="shared" si="58"/>
        <v/>
      </c>
      <c r="AG244" s="6">
        <v>4251.5</v>
      </c>
      <c r="AH244" s="6">
        <v>1446.33</v>
      </c>
      <c r="AI244" s="6">
        <f t="shared" si="59"/>
        <v>1446.3339999999998</v>
      </c>
      <c r="AJ244" s="11">
        <f t="shared" si="60"/>
        <v>0.25383926593860051</v>
      </c>
      <c r="AK244" s="11" t="str">
        <f t="shared" si="61"/>
        <v>February</v>
      </c>
      <c r="AL244" s="12">
        <f t="shared" si="62"/>
        <v>2025</v>
      </c>
      <c r="AM244" s="6" t="s">
        <v>54</v>
      </c>
      <c r="AN244" s="6" t="s">
        <v>55</v>
      </c>
      <c r="AO244" s="6" t="str">
        <f t="shared" si="54"/>
        <v>Completed</v>
      </c>
    </row>
    <row r="245" spans="1:41">
      <c r="A245" s="6" t="s">
        <v>1300</v>
      </c>
      <c r="B245" s="7" t="s">
        <v>303</v>
      </c>
      <c r="C245" s="8">
        <v>45867</v>
      </c>
      <c r="D245" s="7" t="s">
        <v>1301</v>
      </c>
      <c r="E245" s="9">
        <v>45871</v>
      </c>
      <c r="F245" s="9" t="str">
        <f t="shared" si="47"/>
        <v>Valid</v>
      </c>
      <c r="G245" s="10">
        <f t="shared" si="48"/>
        <v>4</v>
      </c>
      <c r="H245" s="10" t="str">
        <f t="shared" si="49"/>
        <v>Valid</v>
      </c>
      <c r="I245" s="6" t="s">
        <v>1302</v>
      </c>
      <c r="J245" s="6" t="s">
        <v>188</v>
      </c>
      <c r="K245" s="6" t="s">
        <v>188</v>
      </c>
      <c r="L245" s="6" t="s">
        <v>61</v>
      </c>
      <c r="M245" s="7" t="str">
        <f t="shared" si="50"/>
        <v>Small Business</v>
      </c>
      <c r="N245" s="6"/>
      <c r="O245" s="7" t="str">
        <f t="shared" si="51"/>
        <v>Unknown</v>
      </c>
      <c r="P245" s="6" t="s">
        <v>104</v>
      </c>
      <c r="Q245" s="6" t="s">
        <v>105</v>
      </c>
      <c r="R245" s="6" t="s">
        <v>106</v>
      </c>
      <c r="S245" s="7" t="str">
        <f t="shared" si="52"/>
        <v>Technology</v>
      </c>
      <c r="T245" s="6" t="s">
        <v>107</v>
      </c>
      <c r="U245" s="6" t="s">
        <v>1303</v>
      </c>
      <c r="V245" s="6" t="s">
        <v>76</v>
      </c>
      <c r="W245" s="7" t="str">
        <f t="shared" si="53"/>
        <v>First Class</v>
      </c>
      <c r="X245" s="6">
        <v>1</v>
      </c>
      <c r="Y245" s="6">
        <v>4499.46</v>
      </c>
      <c r="Z245" s="6">
        <v>0.1</v>
      </c>
      <c r="AA245" s="6" t="b">
        <f>AM210=IF(Z245="",0,Z245)</f>
        <v>0</v>
      </c>
      <c r="AB245" s="6" t="str">
        <f t="shared" si="56"/>
        <v>Invalid - Discount Above Limit</v>
      </c>
      <c r="AC245" s="6">
        <v>4049.51</v>
      </c>
      <c r="AD245" s="6" t="str">
        <f>IF(OR(AO245="Cancelled",AM245="Failed"),"Exclude from Completed Sales","Include in Completed Sales")</f>
        <v>Include in Completed Sales</v>
      </c>
      <c r="AE245" s="6">
        <f t="shared" si="57"/>
        <v>4499.46</v>
      </c>
      <c r="AF245" s="6" t="str">
        <f t="shared" si="58"/>
        <v/>
      </c>
      <c r="AG245" s="6">
        <v>2509.1999999999998</v>
      </c>
      <c r="AH245" s="6">
        <v>1540.31</v>
      </c>
      <c r="AI245" s="6">
        <f t="shared" si="59"/>
        <v>1990.2600000000002</v>
      </c>
      <c r="AJ245" s="11">
        <f t="shared" si="60"/>
        <v>0.44233307996959642</v>
      </c>
      <c r="AK245" s="11" t="str">
        <f t="shared" si="61"/>
        <v>July</v>
      </c>
      <c r="AL245" s="12">
        <f t="shared" si="62"/>
        <v>2025</v>
      </c>
      <c r="AM245" s="6" t="s">
        <v>54</v>
      </c>
      <c r="AN245" s="6" t="s">
        <v>1046</v>
      </c>
      <c r="AO245" s="6" t="str">
        <f t="shared" si="54"/>
        <v>Completed</v>
      </c>
    </row>
    <row r="246" spans="1:41">
      <c r="A246" s="6" t="s">
        <v>1304</v>
      </c>
      <c r="B246" s="7" t="s">
        <v>656</v>
      </c>
      <c r="C246" s="8">
        <v>45527</v>
      </c>
      <c r="D246" s="7" t="s">
        <v>1305</v>
      </c>
      <c r="E246" s="9">
        <v>45528</v>
      </c>
      <c r="F246" s="9" t="str">
        <f t="shared" si="47"/>
        <v>Valid</v>
      </c>
      <c r="G246" s="10">
        <f t="shared" si="48"/>
        <v>1</v>
      </c>
      <c r="H246" s="10" t="str">
        <f t="shared" si="49"/>
        <v>Valid</v>
      </c>
      <c r="I246" s="6" t="s">
        <v>1306</v>
      </c>
      <c r="J246" s="6" t="s">
        <v>113</v>
      </c>
      <c r="K246" s="6" t="s">
        <v>113</v>
      </c>
      <c r="L246" s="6" t="s">
        <v>46</v>
      </c>
      <c r="M246" s="7" t="str">
        <f t="shared" si="50"/>
        <v>Consumer</v>
      </c>
      <c r="N246" s="6" t="s">
        <v>82</v>
      </c>
      <c r="O246" s="7" t="str">
        <f t="shared" si="51"/>
        <v>South</v>
      </c>
      <c r="P246" s="6" t="s">
        <v>83</v>
      </c>
      <c r="Q246" s="6" t="s">
        <v>84</v>
      </c>
      <c r="R246" s="6" t="s">
        <v>65</v>
      </c>
      <c r="S246" s="7" t="str">
        <f t="shared" si="52"/>
        <v>Furniture</v>
      </c>
      <c r="T246" s="6" t="s">
        <v>224</v>
      </c>
      <c r="U246" s="6" t="s">
        <v>1307</v>
      </c>
      <c r="V246" s="6" t="s">
        <v>68</v>
      </c>
      <c r="W246" s="7" t="str">
        <f t="shared" si="53"/>
        <v>Same Day</v>
      </c>
      <c r="X246" s="6">
        <v>6</v>
      </c>
      <c r="Y246" s="6">
        <v>1021.89</v>
      </c>
      <c r="Z246" s="6">
        <v>0</v>
      </c>
      <c r="AA246" s="6">
        <f t="shared" si="55"/>
        <v>0</v>
      </c>
      <c r="AB246" s="6" t="str">
        <f t="shared" si="56"/>
        <v>Valid</v>
      </c>
      <c r="AC246" s="6">
        <v>6131.34</v>
      </c>
      <c r="AD246" s="6" t="str">
        <f>IF(OR(AO246="Cancelled",AM246="Failed"),"Exclude from Completed Sales","Include in Completed Sales")</f>
        <v>Include in Completed Sales</v>
      </c>
      <c r="AE246" s="6">
        <f t="shared" si="57"/>
        <v>6131.34</v>
      </c>
      <c r="AF246" s="6" t="str">
        <f t="shared" si="58"/>
        <v/>
      </c>
      <c r="AG246" s="6">
        <v>4060.88</v>
      </c>
      <c r="AH246" s="6">
        <v>2070.46</v>
      </c>
      <c r="AI246" s="6">
        <f t="shared" si="59"/>
        <v>2070.46</v>
      </c>
      <c r="AJ246" s="11">
        <f t="shared" si="60"/>
        <v>0.33768474754295147</v>
      </c>
      <c r="AK246" s="11" t="str">
        <f t="shared" si="61"/>
        <v>August</v>
      </c>
      <c r="AL246" s="12">
        <f t="shared" si="62"/>
        <v>2024</v>
      </c>
      <c r="AM246" s="6" t="s">
        <v>54</v>
      </c>
      <c r="AN246" s="6" t="s">
        <v>55</v>
      </c>
      <c r="AO246" s="6" t="str">
        <f t="shared" si="54"/>
        <v>Completed</v>
      </c>
    </row>
    <row r="247" spans="1:41">
      <c r="A247" s="6" t="s">
        <v>1308</v>
      </c>
      <c r="B247" s="7" t="s">
        <v>664</v>
      </c>
      <c r="C247" s="8">
        <v>45583</v>
      </c>
      <c r="D247" s="7" t="s">
        <v>892</v>
      </c>
      <c r="E247" s="9">
        <v>45589</v>
      </c>
      <c r="F247" s="9" t="str">
        <f t="shared" si="47"/>
        <v>Valid</v>
      </c>
      <c r="G247" s="10">
        <f t="shared" si="48"/>
        <v>6</v>
      </c>
      <c r="H247" s="10" t="str">
        <f t="shared" si="49"/>
        <v>Valid</v>
      </c>
      <c r="I247" s="6" t="s">
        <v>1309</v>
      </c>
      <c r="J247" s="6" t="s">
        <v>113</v>
      </c>
      <c r="K247" s="6" t="s">
        <v>113</v>
      </c>
      <c r="L247" s="6" t="s">
        <v>135</v>
      </c>
      <c r="M247" s="7" t="str">
        <f t="shared" si="50"/>
        <v>Home Office</v>
      </c>
      <c r="N247" s="6" t="s">
        <v>82</v>
      </c>
      <c r="O247" s="7" t="str">
        <f t="shared" si="51"/>
        <v>South</v>
      </c>
      <c r="P247" s="6" t="s">
        <v>262</v>
      </c>
      <c r="Q247" s="6" t="s">
        <v>263</v>
      </c>
      <c r="R247" s="6" t="s">
        <v>1310</v>
      </c>
      <c r="S247" s="7" t="str">
        <f t="shared" si="52"/>
        <v>Furniture</v>
      </c>
      <c r="T247" s="6" t="s">
        <v>96</v>
      </c>
      <c r="U247" s="6" t="s">
        <v>1311</v>
      </c>
      <c r="V247" s="6" t="s">
        <v>53</v>
      </c>
      <c r="W247" s="7" t="str">
        <f t="shared" si="53"/>
        <v>Second Class</v>
      </c>
      <c r="X247" s="6">
        <v>3</v>
      </c>
      <c r="Y247" s="6">
        <v>3275.93</v>
      </c>
      <c r="Z247" s="6">
        <v>0</v>
      </c>
      <c r="AA247" s="6">
        <f t="shared" si="55"/>
        <v>0</v>
      </c>
      <c r="AB247" s="6" t="str">
        <f t="shared" si="56"/>
        <v>Valid</v>
      </c>
      <c r="AC247" s="6">
        <v>9827.7900000000009</v>
      </c>
      <c r="AD247" s="6" t="str">
        <f>IF(OR(AO247="Cancelled",AM247="Failed"),"Exclude from Completed Sales","Include in Completed Sales")</f>
        <v>Include in Completed Sales</v>
      </c>
      <c r="AE247" s="6">
        <f t="shared" si="57"/>
        <v>9827.7899999999991</v>
      </c>
      <c r="AF247" s="6" t="str">
        <f t="shared" si="58"/>
        <v/>
      </c>
      <c r="AG247" s="6">
        <v>5478.28</v>
      </c>
      <c r="AH247" s="6">
        <v>4349.51</v>
      </c>
      <c r="AI247" s="6">
        <f t="shared" si="59"/>
        <v>4349.5099999999993</v>
      </c>
      <c r="AJ247" s="11">
        <f t="shared" si="60"/>
        <v>0.44257254174132737</v>
      </c>
      <c r="AK247" s="11" t="str">
        <f t="shared" si="61"/>
        <v>October</v>
      </c>
      <c r="AL247" s="12">
        <f t="shared" si="62"/>
        <v>2024</v>
      </c>
      <c r="AM247" s="6" t="s">
        <v>54</v>
      </c>
      <c r="AN247" s="6" t="s">
        <v>55</v>
      </c>
      <c r="AO247" s="6" t="str">
        <f t="shared" si="54"/>
        <v>Completed</v>
      </c>
    </row>
    <row r="248" spans="1:41">
      <c r="A248" s="6" t="s">
        <v>1312</v>
      </c>
      <c r="B248" s="7" t="s">
        <v>1313</v>
      </c>
      <c r="C248" s="8">
        <v>45416</v>
      </c>
      <c r="D248" s="7" t="s">
        <v>1314</v>
      </c>
      <c r="E248" s="9">
        <v>45421</v>
      </c>
      <c r="F248" s="9" t="str">
        <f t="shared" si="47"/>
        <v>Valid</v>
      </c>
      <c r="G248" s="10">
        <f t="shared" si="48"/>
        <v>5</v>
      </c>
      <c r="H248" s="10" t="str">
        <f t="shared" si="49"/>
        <v>Valid</v>
      </c>
      <c r="I248" s="6" t="s">
        <v>1315</v>
      </c>
      <c r="J248" s="6" t="s">
        <v>92</v>
      </c>
      <c r="K248" s="6" t="s">
        <v>92</v>
      </c>
      <c r="L248" s="6" t="s">
        <v>128</v>
      </c>
      <c r="M248" s="7" t="str">
        <f t="shared" si="50"/>
        <v>Corporate</v>
      </c>
      <c r="N248" s="6" t="s">
        <v>47</v>
      </c>
      <c r="O248" s="7" t="str">
        <f t="shared" si="51"/>
        <v>North</v>
      </c>
      <c r="P248" s="6" t="s">
        <v>174</v>
      </c>
      <c r="Q248" s="6" t="s">
        <v>175</v>
      </c>
      <c r="R248" s="6" t="s">
        <v>106</v>
      </c>
      <c r="S248" s="7" t="str">
        <f t="shared" si="52"/>
        <v>Technology</v>
      </c>
      <c r="T248" s="6" t="s">
        <v>402</v>
      </c>
      <c r="U248" s="6" t="s">
        <v>1316</v>
      </c>
      <c r="V248" s="6" t="s">
        <v>68</v>
      </c>
      <c r="W248" s="7" t="str">
        <f t="shared" si="53"/>
        <v>Same Day</v>
      </c>
      <c r="X248" s="6">
        <v>3</v>
      </c>
      <c r="Y248" s="6">
        <v>231.95</v>
      </c>
      <c r="Z248" s="6">
        <v>0.25</v>
      </c>
      <c r="AA248" s="6">
        <f t="shared" si="55"/>
        <v>0.25</v>
      </c>
      <c r="AB248" s="6" t="str">
        <f t="shared" si="56"/>
        <v>Valid</v>
      </c>
      <c r="AC248" s="6">
        <v>521.89</v>
      </c>
      <c r="AD248" s="6" t="str">
        <f>IF(OR(AO248="Cancelled",AM248="Failed"),"Exclude from Completed Sales","Include in Completed Sales")</f>
        <v>Exclude from Completed Sales</v>
      </c>
      <c r="AE248" s="6">
        <f t="shared" si="57"/>
        <v>521.88749999999993</v>
      </c>
      <c r="AF248" s="6" t="str">
        <f t="shared" si="58"/>
        <v>Refunded</v>
      </c>
      <c r="AG248" s="6">
        <v>444.52</v>
      </c>
      <c r="AH248" s="6">
        <v>77.37</v>
      </c>
      <c r="AI248" s="6">
        <f t="shared" si="59"/>
        <v>77.36749999999995</v>
      </c>
      <c r="AJ248" s="11">
        <f t="shared" si="60"/>
        <v>0.14824555100476627</v>
      </c>
      <c r="AK248" s="11" t="str">
        <f t="shared" si="61"/>
        <v>May</v>
      </c>
      <c r="AL248" s="12">
        <f t="shared" si="62"/>
        <v>2024</v>
      </c>
      <c r="AM248" s="6" t="s">
        <v>144</v>
      </c>
      <c r="AN248" s="6" t="s">
        <v>98</v>
      </c>
      <c r="AO248" s="6" t="str">
        <f t="shared" si="54"/>
        <v>Cancelled</v>
      </c>
    </row>
    <row r="249" spans="1:41">
      <c r="A249" s="6" t="s">
        <v>1317</v>
      </c>
      <c r="B249" s="7" t="s">
        <v>1318</v>
      </c>
      <c r="C249" s="8">
        <v>45498</v>
      </c>
      <c r="D249" s="7" t="s">
        <v>1319</v>
      </c>
      <c r="E249" s="9">
        <v>45505</v>
      </c>
      <c r="F249" s="9" t="str">
        <f t="shared" si="47"/>
        <v>Valid</v>
      </c>
      <c r="G249" s="10">
        <f t="shared" si="48"/>
        <v>7</v>
      </c>
      <c r="H249" s="10" t="str">
        <f t="shared" si="49"/>
        <v>Valid</v>
      </c>
      <c r="I249" s="6" t="s">
        <v>1320</v>
      </c>
      <c r="J249" s="6" t="s">
        <v>168</v>
      </c>
      <c r="K249" s="6" t="s">
        <v>168</v>
      </c>
      <c r="L249" s="6" t="s">
        <v>128</v>
      </c>
      <c r="M249" s="7" t="str">
        <f t="shared" si="50"/>
        <v>Corporate</v>
      </c>
      <c r="N249" s="6" t="s">
        <v>47</v>
      </c>
      <c r="O249" s="7" t="str">
        <f t="shared" si="51"/>
        <v>North</v>
      </c>
      <c r="P249" s="6" t="s">
        <v>48</v>
      </c>
      <c r="Q249" s="6" t="s">
        <v>49</v>
      </c>
      <c r="R249" s="6" t="s">
        <v>106</v>
      </c>
      <c r="S249" s="7" t="str">
        <f t="shared" si="52"/>
        <v>Technology</v>
      </c>
      <c r="T249" s="6" t="s">
        <v>107</v>
      </c>
      <c r="U249" s="6" t="s">
        <v>1321</v>
      </c>
      <c r="V249" s="6" t="s">
        <v>53</v>
      </c>
      <c r="W249" s="7" t="str">
        <f t="shared" si="53"/>
        <v>Second Class</v>
      </c>
      <c r="X249" s="6">
        <v>8</v>
      </c>
      <c r="Y249" s="6">
        <v>2493.4</v>
      </c>
      <c r="Z249" s="6">
        <v>0.25</v>
      </c>
      <c r="AA249" s="6">
        <f t="shared" si="55"/>
        <v>0.25</v>
      </c>
      <c r="AB249" s="6" t="str">
        <f t="shared" si="56"/>
        <v>Valid</v>
      </c>
      <c r="AC249" s="6">
        <v>14960.4</v>
      </c>
      <c r="AD249" s="6" t="str">
        <f>IF(OR(AO249="Cancelled",AM249="Failed"),"Exclude from Completed Sales","Include in Completed Sales")</f>
        <v>Include in Completed Sales</v>
      </c>
      <c r="AE249" s="6">
        <f t="shared" si="57"/>
        <v>14960.400000000001</v>
      </c>
      <c r="AF249" s="6" t="str">
        <f t="shared" si="58"/>
        <v/>
      </c>
      <c r="AG249" s="6">
        <v>12500.84</v>
      </c>
      <c r="AH249" s="6">
        <v>2459.56</v>
      </c>
      <c r="AI249" s="6">
        <f t="shared" si="59"/>
        <v>2459.5600000000013</v>
      </c>
      <c r="AJ249" s="11">
        <f t="shared" si="60"/>
        <v>0.16440469506162944</v>
      </c>
      <c r="AK249" s="11" t="str">
        <f t="shared" si="61"/>
        <v>July</v>
      </c>
      <c r="AL249" s="12">
        <f t="shared" si="62"/>
        <v>2024</v>
      </c>
      <c r="AM249" s="6" t="s">
        <v>54</v>
      </c>
      <c r="AN249" s="6" t="s">
        <v>55</v>
      </c>
      <c r="AO249" s="6" t="str">
        <f t="shared" si="54"/>
        <v>Completed</v>
      </c>
    </row>
    <row r="250" spans="1:41">
      <c r="A250" s="6" t="s">
        <v>1322</v>
      </c>
      <c r="B250" s="7" t="s">
        <v>1323</v>
      </c>
      <c r="C250" s="8">
        <v>45445</v>
      </c>
      <c r="D250" s="7" t="s">
        <v>598</v>
      </c>
      <c r="E250" s="9">
        <v>45450</v>
      </c>
      <c r="F250" s="9" t="str">
        <f t="shared" si="47"/>
        <v>Valid</v>
      </c>
      <c r="G250" s="10">
        <f t="shared" si="48"/>
        <v>5</v>
      </c>
      <c r="H250" s="10" t="str">
        <f t="shared" si="49"/>
        <v>Valid</v>
      </c>
      <c r="I250" s="6" t="s">
        <v>1324</v>
      </c>
      <c r="J250" s="6" t="s">
        <v>200</v>
      </c>
      <c r="K250" s="6" t="s">
        <v>200</v>
      </c>
      <c r="L250" s="6" t="s">
        <v>135</v>
      </c>
      <c r="M250" s="7" t="str">
        <f t="shared" si="50"/>
        <v>Home Office</v>
      </c>
      <c r="N250" s="6" t="s">
        <v>62</v>
      </c>
      <c r="O250" s="7" t="str">
        <f t="shared" si="51"/>
        <v>East</v>
      </c>
      <c r="P250" s="6" t="s">
        <v>63</v>
      </c>
      <c r="Q250" s="6" t="s">
        <v>64</v>
      </c>
      <c r="R250" s="6" t="s">
        <v>50</v>
      </c>
      <c r="S250" s="7" t="str">
        <f t="shared" si="52"/>
        <v>Office Supplies</v>
      </c>
      <c r="T250" s="6" t="s">
        <v>129</v>
      </c>
      <c r="U250" s="6" t="s">
        <v>1325</v>
      </c>
      <c r="V250" s="6" t="s">
        <v>53</v>
      </c>
      <c r="W250" s="7" t="str">
        <f t="shared" si="53"/>
        <v>Second Class</v>
      </c>
      <c r="X250" s="6">
        <v>9</v>
      </c>
      <c r="Y250" s="6">
        <v>787.91</v>
      </c>
      <c r="Z250" s="6">
        <v>0.15</v>
      </c>
      <c r="AA250" s="6">
        <f t="shared" si="55"/>
        <v>0.15</v>
      </c>
      <c r="AB250" s="6" t="str">
        <f t="shared" si="56"/>
        <v>Valid</v>
      </c>
      <c r="AC250" s="6">
        <v>6027.51</v>
      </c>
      <c r="AD250" s="6" t="str">
        <f>IF(OR(AO250="Cancelled",AM250="Failed"),"Exclude from Completed Sales","Include in Completed Sales")</f>
        <v>Include in Completed Sales</v>
      </c>
      <c r="AE250" s="6">
        <f t="shared" si="57"/>
        <v>6027.5114999999996</v>
      </c>
      <c r="AF250" s="6" t="str">
        <f t="shared" si="58"/>
        <v/>
      </c>
      <c r="AG250" s="6">
        <v>4883.82</v>
      </c>
      <c r="AH250" s="6">
        <v>1143.69</v>
      </c>
      <c r="AI250" s="6">
        <f t="shared" si="59"/>
        <v>1143.6914999999999</v>
      </c>
      <c r="AJ250" s="11">
        <f t="shared" si="60"/>
        <v>0.18974522072666306</v>
      </c>
      <c r="AK250" s="11" t="str">
        <f t="shared" si="61"/>
        <v>June</v>
      </c>
      <c r="AL250" s="12">
        <f t="shared" si="62"/>
        <v>2024</v>
      </c>
      <c r="AM250" s="6" t="s">
        <v>54</v>
      </c>
      <c r="AN250" s="6" t="s">
        <v>55</v>
      </c>
      <c r="AO250" s="6" t="str">
        <f t="shared" si="54"/>
        <v>Completed</v>
      </c>
    </row>
    <row r="251" spans="1:41">
      <c r="A251" s="6" t="s">
        <v>1326</v>
      </c>
      <c r="B251" s="7" t="s">
        <v>840</v>
      </c>
      <c r="C251" s="8">
        <v>45870</v>
      </c>
      <c r="D251" s="7" t="s">
        <v>1327</v>
      </c>
      <c r="E251" s="9">
        <v>45871</v>
      </c>
      <c r="F251" s="9" t="str">
        <f t="shared" si="47"/>
        <v>Valid</v>
      </c>
      <c r="G251" s="10">
        <f t="shared" si="48"/>
        <v>1</v>
      </c>
      <c r="H251" s="10" t="str">
        <f t="shared" si="49"/>
        <v>Valid</v>
      </c>
      <c r="I251" s="6" t="s">
        <v>1328</v>
      </c>
      <c r="J251" s="6" t="s">
        <v>60</v>
      </c>
      <c r="K251" s="6" t="s">
        <v>60</v>
      </c>
      <c r="L251" s="6" t="s">
        <v>128</v>
      </c>
      <c r="M251" s="7" t="str">
        <f t="shared" si="50"/>
        <v>Corporate</v>
      </c>
      <c r="N251" s="6" t="s">
        <v>47</v>
      </c>
      <c r="O251" s="7" t="str">
        <f t="shared" si="51"/>
        <v>North</v>
      </c>
      <c r="P251" s="6" t="s">
        <v>48</v>
      </c>
      <c r="Q251" s="6" t="s">
        <v>49</v>
      </c>
      <c r="R251" s="6" t="s">
        <v>65</v>
      </c>
      <c r="S251" s="7" t="str">
        <f t="shared" si="52"/>
        <v>Furniture</v>
      </c>
      <c r="T251" s="6" t="s">
        <v>85</v>
      </c>
      <c r="U251" s="6" t="s">
        <v>1329</v>
      </c>
      <c r="V251" s="6" t="s">
        <v>76</v>
      </c>
      <c r="W251" s="7" t="str">
        <f t="shared" si="53"/>
        <v>First Class</v>
      </c>
      <c r="X251" s="6">
        <v>4</v>
      </c>
      <c r="Y251" s="6">
        <v>2790.29</v>
      </c>
      <c r="Z251" s="6">
        <v>0.2</v>
      </c>
      <c r="AA251" s="6">
        <f t="shared" si="55"/>
        <v>0.2</v>
      </c>
      <c r="AB251" s="6" t="str">
        <f t="shared" si="56"/>
        <v>Valid</v>
      </c>
      <c r="AC251" s="6">
        <v>8928.93</v>
      </c>
      <c r="AD251" s="6" t="str">
        <f>IF(OR(AO251="Cancelled",AM251="Failed"),"Exclude from Completed Sales","Include in Completed Sales")</f>
        <v>Include in Completed Sales</v>
      </c>
      <c r="AE251" s="6">
        <f t="shared" si="57"/>
        <v>8928.9279999999999</v>
      </c>
      <c r="AF251" s="6" t="str">
        <f t="shared" si="58"/>
        <v/>
      </c>
      <c r="AG251" s="6">
        <v>5634.38</v>
      </c>
      <c r="AH251" s="6">
        <v>3294.55</v>
      </c>
      <c r="AI251" s="6">
        <f t="shared" si="59"/>
        <v>3294.5479999999998</v>
      </c>
      <c r="AJ251" s="11">
        <f t="shared" si="60"/>
        <v>0.36897464062875185</v>
      </c>
      <c r="AK251" s="11" t="str">
        <f t="shared" si="61"/>
        <v>August</v>
      </c>
      <c r="AL251" s="12">
        <f t="shared" si="62"/>
        <v>2025</v>
      </c>
      <c r="AM251" s="6" t="s">
        <v>54</v>
      </c>
      <c r="AN251" s="6" t="s">
        <v>55</v>
      </c>
      <c r="AO251" s="6" t="str">
        <f t="shared" si="54"/>
        <v>Completed</v>
      </c>
    </row>
    <row r="252" spans="1:41">
      <c r="A252" s="6" t="s">
        <v>1330</v>
      </c>
      <c r="B252" s="7" t="s">
        <v>1331</v>
      </c>
      <c r="C252" s="8">
        <v>45343</v>
      </c>
      <c r="D252" s="7" t="s">
        <v>1332</v>
      </c>
      <c r="E252" s="9">
        <v>45349</v>
      </c>
      <c r="F252" s="9" t="str">
        <f t="shared" si="47"/>
        <v>Valid</v>
      </c>
      <c r="G252" s="10">
        <f t="shared" si="48"/>
        <v>6</v>
      </c>
      <c r="H252" s="10" t="str">
        <f t="shared" si="49"/>
        <v>Valid</v>
      </c>
      <c r="I252" s="6" t="s">
        <v>1333</v>
      </c>
      <c r="J252" s="6" t="s">
        <v>81</v>
      </c>
      <c r="K252" s="6" t="s">
        <v>81</v>
      </c>
      <c r="L252" s="6" t="s">
        <v>61</v>
      </c>
      <c r="M252" s="7" t="str">
        <f t="shared" si="50"/>
        <v>Small Business</v>
      </c>
      <c r="N252" s="6" t="s">
        <v>62</v>
      </c>
      <c r="O252" s="7" t="str">
        <f t="shared" si="51"/>
        <v>East</v>
      </c>
      <c r="P252" s="6" t="s">
        <v>141</v>
      </c>
      <c r="Q252" s="6" t="s">
        <v>142</v>
      </c>
      <c r="R252" s="6" t="s">
        <v>65</v>
      </c>
      <c r="S252" s="7" t="str">
        <f t="shared" si="52"/>
        <v>Furniture</v>
      </c>
      <c r="T252" s="6" t="s">
        <v>85</v>
      </c>
      <c r="U252" s="6" t="s">
        <v>1334</v>
      </c>
      <c r="V252" s="6" t="s">
        <v>87</v>
      </c>
      <c r="W252" s="7" t="str">
        <f t="shared" si="53"/>
        <v>Standard Class</v>
      </c>
      <c r="X252" s="6">
        <v>5</v>
      </c>
      <c r="Y252" s="6">
        <v>3373.86</v>
      </c>
      <c r="Z252" s="6">
        <v>0.15</v>
      </c>
      <c r="AA252" s="6">
        <f t="shared" si="55"/>
        <v>0.15</v>
      </c>
      <c r="AB252" s="6" t="str">
        <f t="shared" si="56"/>
        <v>Valid</v>
      </c>
      <c r="AC252" s="6">
        <v>14338.9</v>
      </c>
      <c r="AD252" s="6" t="str">
        <f>IF(OR(AO252="Cancelled",AM252="Failed"),"Exclude from Completed Sales","Include in Completed Sales")</f>
        <v>Include in Completed Sales</v>
      </c>
      <c r="AE252" s="6">
        <f t="shared" si="57"/>
        <v>14338.904999999999</v>
      </c>
      <c r="AF252" s="6" t="str">
        <f t="shared" si="58"/>
        <v/>
      </c>
      <c r="AG252" s="6">
        <v>11897.65</v>
      </c>
      <c r="AH252" s="6">
        <v>2441.25</v>
      </c>
      <c r="AI252" s="6">
        <f t="shared" si="59"/>
        <v>2441.2549999999992</v>
      </c>
      <c r="AJ252" s="11">
        <f t="shared" si="60"/>
        <v>0.17025393501107647</v>
      </c>
      <c r="AK252" s="11" t="str">
        <f t="shared" si="61"/>
        <v>February</v>
      </c>
      <c r="AL252" s="12">
        <f t="shared" si="62"/>
        <v>2024</v>
      </c>
      <c r="AM252" s="6" t="s">
        <v>157</v>
      </c>
      <c r="AN252" s="6" t="s">
        <v>145</v>
      </c>
      <c r="AO252" s="6" t="str">
        <f t="shared" si="54"/>
        <v>Returned</v>
      </c>
    </row>
    <row r="253" spans="1:41">
      <c r="A253" s="6" t="s">
        <v>1335</v>
      </c>
      <c r="B253" s="7" t="s">
        <v>1336</v>
      </c>
      <c r="C253" s="8">
        <v>45753</v>
      </c>
      <c r="D253" s="7" t="s">
        <v>110</v>
      </c>
      <c r="E253" s="9">
        <v>45757</v>
      </c>
      <c r="F253" s="9" t="str">
        <f t="shared" si="47"/>
        <v>Valid</v>
      </c>
      <c r="G253" s="10">
        <f t="shared" si="48"/>
        <v>4</v>
      </c>
      <c r="H253" s="10" t="str">
        <f t="shared" si="49"/>
        <v>Valid</v>
      </c>
      <c r="I253" s="6" t="s">
        <v>1337</v>
      </c>
      <c r="J253" s="6" t="s">
        <v>92</v>
      </c>
      <c r="K253" s="6" t="s">
        <v>92</v>
      </c>
      <c r="L253" s="6" t="s">
        <v>128</v>
      </c>
      <c r="M253" s="7" t="str">
        <f t="shared" si="50"/>
        <v>Corporate</v>
      </c>
      <c r="N253" s="6" t="s">
        <v>93</v>
      </c>
      <c r="O253" s="7" t="str">
        <f t="shared" si="51"/>
        <v>West</v>
      </c>
      <c r="P253" s="6" t="s">
        <v>255</v>
      </c>
      <c r="Q253" s="6" t="s">
        <v>256</v>
      </c>
      <c r="R253" s="6" t="s">
        <v>65</v>
      </c>
      <c r="S253" s="7" t="str">
        <f t="shared" si="52"/>
        <v>Furniture</v>
      </c>
      <c r="T253" s="6" t="s">
        <v>66</v>
      </c>
      <c r="U253" s="6" t="s">
        <v>1338</v>
      </c>
      <c r="V253" s="6" t="s">
        <v>53</v>
      </c>
      <c r="W253" s="7" t="str">
        <f t="shared" si="53"/>
        <v>Second Class</v>
      </c>
      <c r="X253" s="6">
        <v>6</v>
      </c>
      <c r="Y253" s="6">
        <v>1022.16</v>
      </c>
      <c r="Z253" s="6">
        <v>0</v>
      </c>
      <c r="AA253" s="6">
        <f t="shared" si="55"/>
        <v>0</v>
      </c>
      <c r="AB253" s="6" t="str">
        <f t="shared" si="56"/>
        <v>Valid</v>
      </c>
      <c r="AC253" s="6">
        <v>6132.96</v>
      </c>
      <c r="AD253" s="6" t="str">
        <f>IF(OR(AO253="Cancelled",AM253="Failed"),"Exclude from Completed Sales","Include in Completed Sales")</f>
        <v>Include in Completed Sales</v>
      </c>
      <c r="AE253" s="6">
        <f t="shared" si="57"/>
        <v>6132.96</v>
      </c>
      <c r="AF253" s="6" t="str">
        <f t="shared" si="58"/>
        <v/>
      </c>
      <c r="AG253" s="6">
        <v>4881.1000000000004</v>
      </c>
      <c r="AH253" s="6">
        <v>1251.8599999999999</v>
      </c>
      <c r="AI253" s="6">
        <f t="shared" si="59"/>
        <v>1251.8599999999997</v>
      </c>
      <c r="AJ253" s="11">
        <f t="shared" si="60"/>
        <v>0.20412003339333692</v>
      </c>
      <c r="AK253" s="11" t="str">
        <f t="shared" si="61"/>
        <v>April</v>
      </c>
      <c r="AL253" s="12">
        <f t="shared" si="62"/>
        <v>2025</v>
      </c>
      <c r="AM253" s="6" t="s">
        <v>54</v>
      </c>
      <c r="AN253" s="6" t="s">
        <v>55</v>
      </c>
      <c r="AO253" s="6" t="str">
        <f t="shared" si="54"/>
        <v>Completed</v>
      </c>
    </row>
    <row r="254" spans="1:41">
      <c r="A254" s="6" t="s">
        <v>1339</v>
      </c>
      <c r="B254" s="7" t="s">
        <v>1340</v>
      </c>
      <c r="C254" s="8">
        <v>45833</v>
      </c>
      <c r="D254" s="7" t="s">
        <v>1235</v>
      </c>
      <c r="E254" s="9">
        <v>45836</v>
      </c>
      <c r="F254" s="9" t="str">
        <f t="shared" si="47"/>
        <v>Valid</v>
      </c>
      <c r="G254" s="10">
        <f t="shared" si="48"/>
        <v>3</v>
      </c>
      <c r="H254" s="10" t="str">
        <f t="shared" si="49"/>
        <v>Valid</v>
      </c>
      <c r="I254" s="6" t="s">
        <v>1341</v>
      </c>
      <c r="J254" s="6" t="s">
        <v>81</v>
      </c>
      <c r="K254" s="6" t="s">
        <v>81</v>
      </c>
      <c r="L254" s="6" t="s">
        <v>128</v>
      </c>
      <c r="M254" s="7" t="str">
        <f t="shared" si="50"/>
        <v>Corporate</v>
      </c>
      <c r="N254" s="6" t="s">
        <v>47</v>
      </c>
      <c r="O254" s="7" t="str">
        <f t="shared" si="51"/>
        <v>North</v>
      </c>
      <c r="P254" s="6" t="s">
        <v>343</v>
      </c>
      <c r="Q254" s="6" t="s">
        <v>344</v>
      </c>
      <c r="R254" s="6" t="s">
        <v>50</v>
      </c>
      <c r="S254" s="7" t="str">
        <f t="shared" si="52"/>
        <v>Office Supplies</v>
      </c>
      <c r="T254" s="6" t="s">
        <v>176</v>
      </c>
      <c r="U254" s="6" t="s">
        <v>1342</v>
      </c>
      <c r="V254" s="6" t="s">
        <v>76</v>
      </c>
      <c r="W254" s="7" t="str">
        <f t="shared" si="53"/>
        <v>First Class</v>
      </c>
      <c r="X254" s="6">
        <v>2</v>
      </c>
      <c r="Y254" s="6">
        <v>1455.92</v>
      </c>
      <c r="Z254" s="6">
        <v>0.2</v>
      </c>
      <c r="AA254" s="6">
        <f t="shared" si="55"/>
        <v>0.2</v>
      </c>
      <c r="AB254" s="6" t="str">
        <f t="shared" si="56"/>
        <v>Valid</v>
      </c>
      <c r="AC254" s="6">
        <v>2329.4699999999998</v>
      </c>
      <c r="AD254" s="6" t="str">
        <f>IF(OR(AO254="Cancelled",AM254="Failed"),"Exclude from Completed Sales","Include in Completed Sales")</f>
        <v>Include in Completed Sales</v>
      </c>
      <c r="AE254" s="6">
        <f t="shared" si="57"/>
        <v>2329.4720000000002</v>
      </c>
      <c r="AF254" s="6" t="str">
        <f t="shared" si="58"/>
        <v/>
      </c>
      <c r="AG254" s="6">
        <v>1603.62</v>
      </c>
      <c r="AH254" s="6">
        <v>725.85</v>
      </c>
      <c r="AI254" s="6">
        <f t="shared" si="59"/>
        <v>725.85200000000032</v>
      </c>
      <c r="AJ254" s="11">
        <f t="shared" si="60"/>
        <v>0.31159507390515973</v>
      </c>
      <c r="AK254" s="11" t="str">
        <f t="shared" si="61"/>
        <v>June</v>
      </c>
      <c r="AL254" s="12">
        <f t="shared" si="62"/>
        <v>2025</v>
      </c>
      <c r="AM254" s="6" t="s">
        <v>157</v>
      </c>
      <c r="AN254" s="6" t="s">
        <v>145</v>
      </c>
      <c r="AO254" s="6" t="str">
        <f t="shared" si="54"/>
        <v>Returned</v>
      </c>
    </row>
    <row r="255" spans="1:41">
      <c r="A255" s="6" t="s">
        <v>1343</v>
      </c>
      <c r="B255" s="7" t="s">
        <v>1344</v>
      </c>
      <c r="C255" s="8">
        <v>45547</v>
      </c>
      <c r="D255" s="7" t="s">
        <v>1345</v>
      </c>
      <c r="E255" s="9">
        <v>45548</v>
      </c>
      <c r="F255" s="9" t="str">
        <f t="shared" si="47"/>
        <v>Valid</v>
      </c>
      <c r="G255" s="10">
        <f t="shared" si="48"/>
        <v>1</v>
      </c>
      <c r="H255" s="10" t="str">
        <f t="shared" si="49"/>
        <v>Valid</v>
      </c>
      <c r="I255" s="6" t="s">
        <v>1346</v>
      </c>
      <c r="J255" s="6" t="s">
        <v>162</v>
      </c>
      <c r="K255" s="6" t="s">
        <v>162</v>
      </c>
      <c r="L255" s="6" t="s">
        <v>61</v>
      </c>
      <c r="M255" s="7" t="str">
        <f t="shared" si="50"/>
        <v>Small Business</v>
      </c>
      <c r="N255" s="6" t="s">
        <v>47</v>
      </c>
      <c r="O255" s="7" t="str">
        <f t="shared" si="51"/>
        <v>North</v>
      </c>
      <c r="P255" s="6" t="s">
        <v>48</v>
      </c>
      <c r="Q255" s="6" t="s">
        <v>49</v>
      </c>
      <c r="R255" s="6" t="s">
        <v>106</v>
      </c>
      <c r="S255" s="7" t="str">
        <f t="shared" si="52"/>
        <v>Technology</v>
      </c>
      <c r="T255" s="6" t="s">
        <v>243</v>
      </c>
      <c r="U255" s="6" t="s">
        <v>1347</v>
      </c>
      <c r="V255" s="6" t="s">
        <v>68</v>
      </c>
      <c r="W255" s="7" t="str">
        <f t="shared" si="53"/>
        <v>Same Day</v>
      </c>
      <c r="X255" s="6">
        <v>6</v>
      </c>
      <c r="Y255" s="6">
        <v>832.79</v>
      </c>
      <c r="Z255" s="6">
        <v>0.05</v>
      </c>
      <c r="AA255" s="6">
        <f t="shared" si="55"/>
        <v>0.05</v>
      </c>
      <c r="AB255" s="6" t="str">
        <f t="shared" si="56"/>
        <v>Valid</v>
      </c>
      <c r="AC255" s="6">
        <v>4746.8999999999996</v>
      </c>
      <c r="AD255" s="6" t="str">
        <f>IF(OR(AO255="Cancelled",AM255="Failed"),"Exclude from Completed Sales","Include in Completed Sales")</f>
        <v>Exclude from Completed Sales</v>
      </c>
      <c r="AE255" s="6">
        <f t="shared" si="57"/>
        <v>4746.9029999999993</v>
      </c>
      <c r="AF255" s="6" t="str">
        <f t="shared" si="58"/>
        <v>Refunded</v>
      </c>
      <c r="AG255" s="6">
        <v>2825.38</v>
      </c>
      <c r="AH255" s="6">
        <v>1472.89</v>
      </c>
      <c r="AI255" s="6">
        <f t="shared" si="59"/>
        <v>1921.5229999999992</v>
      </c>
      <c r="AJ255" s="11">
        <f t="shared" si="60"/>
        <v>0.40479508428969363</v>
      </c>
      <c r="AK255" s="11" t="str">
        <f t="shared" si="61"/>
        <v>September</v>
      </c>
      <c r="AL255" s="12">
        <f t="shared" si="62"/>
        <v>2024</v>
      </c>
      <c r="AM255" s="6" t="s">
        <v>144</v>
      </c>
      <c r="AN255" s="6" t="s">
        <v>98</v>
      </c>
      <c r="AO255" s="6" t="str">
        <f t="shared" si="54"/>
        <v>Cancelled</v>
      </c>
    </row>
    <row r="256" spans="1:41">
      <c r="A256" s="6" t="s">
        <v>1348</v>
      </c>
      <c r="B256" s="7" t="s">
        <v>1349</v>
      </c>
      <c r="C256" s="8">
        <v>45658</v>
      </c>
      <c r="D256" s="7" t="s">
        <v>1350</v>
      </c>
      <c r="E256" s="9">
        <v>45660</v>
      </c>
      <c r="F256" s="9" t="str">
        <f t="shared" si="47"/>
        <v>Valid</v>
      </c>
      <c r="G256" s="10">
        <f t="shared" si="48"/>
        <v>2</v>
      </c>
      <c r="H256" s="10" t="str">
        <f t="shared" si="49"/>
        <v>Valid</v>
      </c>
      <c r="I256" s="6" t="s">
        <v>1351</v>
      </c>
      <c r="J256" s="6" t="s">
        <v>92</v>
      </c>
      <c r="K256" s="6" t="s">
        <v>92</v>
      </c>
      <c r="L256" s="6" t="s">
        <v>46</v>
      </c>
      <c r="M256" s="7" t="str">
        <f t="shared" si="50"/>
        <v>Consumer</v>
      </c>
      <c r="N256" s="6" t="s">
        <v>93</v>
      </c>
      <c r="O256" s="7" t="str">
        <f t="shared" si="51"/>
        <v>West</v>
      </c>
      <c r="P256" s="6" t="s">
        <v>104</v>
      </c>
      <c r="Q256" s="6" t="s">
        <v>105</v>
      </c>
      <c r="R256" s="6" t="s">
        <v>106</v>
      </c>
      <c r="S256" s="7" t="str">
        <f t="shared" si="52"/>
        <v>Technology</v>
      </c>
      <c r="T256" s="6" t="s">
        <v>107</v>
      </c>
      <c r="U256" s="6" t="s">
        <v>1352</v>
      </c>
      <c r="V256" s="6" t="s">
        <v>68</v>
      </c>
      <c r="W256" s="7" t="str">
        <f t="shared" si="53"/>
        <v>Same Day</v>
      </c>
      <c r="X256" s="6">
        <v>7</v>
      </c>
      <c r="Y256" s="6">
        <v>1000.55</v>
      </c>
      <c r="Z256" s="6">
        <v>0.2</v>
      </c>
      <c r="AA256" s="6">
        <f t="shared" si="55"/>
        <v>0.2</v>
      </c>
      <c r="AB256" s="6" t="str">
        <f t="shared" si="56"/>
        <v>Valid</v>
      </c>
      <c r="AC256" s="6">
        <v>5603.08</v>
      </c>
      <c r="AD256" s="6" t="str">
        <f>IF(OR(AO256="Cancelled",AM256="Failed"),"Exclude from Completed Sales","Include in Completed Sales")</f>
        <v>Include in Completed Sales</v>
      </c>
      <c r="AE256" s="6">
        <f t="shared" si="57"/>
        <v>5603.08</v>
      </c>
      <c r="AF256" s="6" t="str">
        <f t="shared" si="58"/>
        <v/>
      </c>
      <c r="AG256" s="6">
        <v>3132.52</v>
      </c>
      <c r="AH256" s="6">
        <v>2470.56</v>
      </c>
      <c r="AI256" s="6">
        <f t="shared" si="59"/>
        <v>2470.56</v>
      </c>
      <c r="AJ256" s="11">
        <f t="shared" si="60"/>
        <v>0.44092891766671188</v>
      </c>
      <c r="AK256" s="11" t="str">
        <f t="shared" si="61"/>
        <v>January</v>
      </c>
      <c r="AL256" s="12">
        <f t="shared" si="62"/>
        <v>2025</v>
      </c>
      <c r="AM256" s="6" t="s">
        <v>54</v>
      </c>
      <c r="AN256" s="6" t="s">
        <v>145</v>
      </c>
      <c r="AO256" s="6" t="str">
        <f t="shared" si="54"/>
        <v>Returned</v>
      </c>
    </row>
    <row r="257" spans="1:41">
      <c r="A257" s="6" t="s">
        <v>1353</v>
      </c>
      <c r="B257" s="7" t="s">
        <v>1354</v>
      </c>
      <c r="C257" s="8">
        <v>45692</v>
      </c>
      <c r="D257" s="7" t="s">
        <v>1355</v>
      </c>
      <c r="E257" s="9">
        <v>45698</v>
      </c>
      <c r="F257" s="9" t="str">
        <f t="shared" si="47"/>
        <v>Valid</v>
      </c>
      <c r="G257" s="10">
        <f t="shared" si="48"/>
        <v>6</v>
      </c>
      <c r="H257" s="10" t="str">
        <f t="shared" si="49"/>
        <v>Valid</v>
      </c>
      <c r="I257" s="6" t="s">
        <v>1356</v>
      </c>
      <c r="J257" s="6" t="s">
        <v>73</v>
      </c>
      <c r="K257" s="6" t="s">
        <v>73</v>
      </c>
      <c r="L257" s="6" t="s">
        <v>128</v>
      </c>
      <c r="M257" s="7" t="str">
        <f t="shared" si="50"/>
        <v>Corporate</v>
      </c>
      <c r="N257" s="6" t="s">
        <v>93</v>
      </c>
      <c r="O257" s="7" t="str">
        <f t="shared" si="51"/>
        <v>West</v>
      </c>
      <c r="P257" s="6" t="s">
        <v>94</v>
      </c>
      <c r="Q257" s="6" t="s">
        <v>95</v>
      </c>
      <c r="R257" s="6" t="s">
        <v>106</v>
      </c>
      <c r="S257" s="7" t="str">
        <f t="shared" si="52"/>
        <v>Technology</v>
      </c>
      <c r="T257" s="6" t="s">
        <v>243</v>
      </c>
      <c r="U257" s="6" t="s">
        <v>1357</v>
      </c>
      <c r="V257" s="6" t="s">
        <v>76</v>
      </c>
      <c r="W257" s="7" t="str">
        <f t="shared" si="53"/>
        <v>First Class</v>
      </c>
      <c r="X257" s="6">
        <v>7</v>
      </c>
      <c r="Y257" s="6">
        <v>1830</v>
      </c>
      <c r="Z257" s="6">
        <v>0</v>
      </c>
      <c r="AA257" s="6">
        <f t="shared" si="55"/>
        <v>0</v>
      </c>
      <c r="AB257" s="6" t="str">
        <f t="shared" si="56"/>
        <v>Valid</v>
      </c>
      <c r="AC257" s="6">
        <v>12810</v>
      </c>
      <c r="AD257" s="6" t="str">
        <f>IF(OR(AO257="Cancelled",AM257="Failed"),"Exclude from Completed Sales","Include in Completed Sales")</f>
        <v>Include in Completed Sales</v>
      </c>
      <c r="AE257" s="6">
        <f t="shared" si="57"/>
        <v>12810</v>
      </c>
      <c r="AF257" s="6" t="str">
        <f t="shared" si="58"/>
        <v/>
      </c>
      <c r="AG257" s="6">
        <v>9334.1200000000008</v>
      </c>
      <c r="AH257" s="6">
        <v>3475.88</v>
      </c>
      <c r="AI257" s="6">
        <f t="shared" si="59"/>
        <v>3475.8799999999992</v>
      </c>
      <c r="AJ257" s="11">
        <f t="shared" si="60"/>
        <v>0.27134113973458229</v>
      </c>
      <c r="AK257" s="11" t="str">
        <f t="shared" si="61"/>
        <v>February</v>
      </c>
      <c r="AL257" s="12">
        <f t="shared" si="62"/>
        <v>2025</v>
      </c>
      <c r="AM257" s="6" t="s">
        <v>54</v>
      </c>
      <c r="AN257" s="6" t="s">
        <v>55</v>
      </c>
      <c r="AO257" s="6" t="str">
        <f t="shared" si="54"/>
        <v>Completed</v>
      </c>
    </row>
    <row r="258" spans="1:41">
      <c r="A258" s="6" t="s">
        <v>1358</v>
      </c>
      <c r="B258" s="7" t="s">
        <v>1359</v>
      </c>
      <c r="C258" s="8">
        <v>45601</v>
      </c>
      <c r="D258" s="7" t="s">
        <v>503</v>
      </c>
      <c r="E258" s="9">
        <v>45599</v>
      </c>
      <c r="F258" s="9" t="str">
        <f t="shared" ref="F258:F321" si="63">IF(E258&lt;C258,"Invalid Shipping Record","Valid")</f>
        <v>Invalid Shipping Record</v>
      </c>
      <c r="G258" s="10">
        <f t="shared" ref="G258:G321" si="64">E258-C258</f>
        <v>-2</v>
      </c>
      <c r="H258" s="10" t="str">
        <f t="shared" ref="H258:H321" si="65">IF(OR(C258="",E258=""),"Missing Date",IF(OR(NOT(ISNUMBER(C258)),NOT(ISNUMBER(E258))),"Invalid Date",IF(E258&lt;C258,"Invalid Shipping Record","Valid")))</f>
        <v>Invalid Shipping Record</v>
      </c>
      <c r="I258" s="6" t="s">
        <v>1360</v>
      </c>
      <c r="J258" s="6" t="s">
        <v>92</v>
      </c>
      <c r="K258" s="6" t="s">
        <v>92</v>
      </c>
      <c r="L258" s="6" t="s">
        <v>46</v>
      </c>
      <c r="M258" s="7" t="str">
        <f t="shared" ref="M258:M321" si="66">PROPER(TRIM(L258))</f>
        <v>Consumer</v>
      </c>
      <c r="N258" s="6" t="s">
        <v>62</v>
      </c>
      <c r="O258" s="7" t="str">
        <f t="shared" ref="O258:O321" si="67">IF(TRIM(N258)="","Unknown",PROPER(TRIM(N258)))</f>
        <v>East</v>
      </c>
      <c r="P258" s="6" t="s">
        <v>141</v>
      </c>
      <c r="Q258" s="6" t="s">
        <v>142</v>
      </c>
      <c r="R258" s="6" t="s">
        <v>65</v>
      </c>
      <c r="S258" s="7" t="str">
        <f t="shared" ref="S258:S321" si="68">PROPER(TRIM(R258))</f>
        <v>Furniture</v>
      </c>
      <c r="T258" s="6" t="s">
        <v>66</v>
      </c>
      <c r="U258" s="6" t="s">
        <v>1361</v>
      </c>
      <c r="V258" s="6" t="s">
        <v>76</v>
      </c>
      <c r="W258" s="7" t="str">
        <f t="shared" ref="W258:W321" si="69">IF(TRIM(V258)="","Unknown",PROPER(TRIM(V258)))</f>
        <v>First Class</v>
      </c>
      <c r="X258" s="6">
        <v>9</v>
      </c>
      <c r="Y258" s="6">
        <v>2260.61</v>
      </c>
      <c r="Z258" s="6">
        <v>0.05</v>
      </c>
      <c r="AA258" s="6">
        <f t="shared" si="55"/>
        <v>0.05</v>
      </c>
      <c r="AB258" s="6" t="str">
        <f t="shared" si="56"/>
        <v>Valid</v>
      </c>
      <c r="AC258" s="6">
        <v>19328.22</v>
      </c>
      <c r="AD258" s="6" t="str">
        <f>IF(OR(AO258="Cancelled",AM258="Failed"),"Exclude from Completed Sales","Include in Completed Sales")</f>
        <v>Include in Completed Sales</v>
      </c>
      <c r="AE258" s="6">
        <f t="shared" si="57"/>
        <v>19328.215500000002</v>
      </c>
      <c r="AF258" s="6" t="str">
        <f t="shared" si="58"/>
        <v/>
      </c>
      <c r="AG258" s="6">
        <v>12039.5</v>
      </c>
      <c r="AH258" s="6">
        <v>7288.72</v>
      </c>
      <c r="AI258" s="6">
        <f t="shared" si="59"/>
        <v>7288.7155000000021</v>
      </c>
      <c r="AJ258" s="11">
        <f t="shared" si="60"/>
        <v>0.3771023507058891</v>
      </c>
      <c r="AK258" s="11" t="str">
        <f t="shared" si="61"/>
        <v>November</v>
      </c>
      <c r="AL258" s="12">
        <f t="shared" si="62"/>
        <v>2024</v>
      </c>
      <c r="AM258" s="6" t="s">
        <v>54</v>
      </c>
      <c r="AN258" s="6" t="s">
        <v>55</v>
      </c>
      <c r="AO258" s="6" t="str">
        <f t="shared" ref="AO258:AO321" si="70">PROPER(TRIM(AN258))</f>
        <v>Completed</v>
      </c>
    </row>
    <row r="259" spans="1:41">
      <c r="A259" s="6" t="s">
        <v>1362</v>
      </c>
      <c r="B259" s="7" t="s">
        <v>1363</v>
      </c>
      <c r="C259" s="8">
        <v>45878</v>
      </c>
      <c r="D259" s="7" t="s">
        <v>1364</v>
      </c>
      <c r="E259" s="9">
        <v>45881</v>
      </c>
      <c r="F259" s="9" t="str">
        <f t="shared" si="63"/>
        <v>Valid</v>
      </c>
      <c r="G259" s="10">
        <f t="shared" si="64"/>
        <v>3</v>
      </c>
      <c r="H259" s="10" t="str">
        <f t="shared" si="65"/>
        <v>Valid</v>
      </c>
      <c r="I259" s="6" t="s">
        <v>1365</v>
      </c>
      <c r="J259" s="6" t="s">
        <v>230</v>
      </c>
      <c r="K259" s="6" t="s">
        <v>230</v>
      </c>
      <c r="L259" s="6" t="s">
        <v>128</v>
      </c>
      <c r="M259" s="7" t="str">
        <f t="shared" si="66"/>
        <v>Corporate</v>
      </c>
      <c r="N259" s="6" t="s">
        <v>82</v>
      </c>
      <c r="O259" s="7" t="str">
        <f t="shared" si="67"/>
        <v>South</v>
      </c>
      <c r="P259" s="6" t="s">
        <v>249</v>
      </c>
      <c r="Q259" s="6" t="s">
        <v>250</v>
      </c>
      <c r="R259" s="6" t="s">
        <v>106</v>
      </c>
      <c r="S259" s="7" t="str">
        <f t="shared" si="68"/>
        <v>Technology</v>
      </c>
      <c r="T259" s="6" t="s">
        <v>107</v>
      </c>
      <c r="U259" s="6" t="s">
        <v>1366</v>
      </c>
      <c r="V259" s="6" t="s">
        <v>53</v>
      </c>
      <c r="W259" s="7" t="str">
        <f t="shared" si="69"/>
        <v>Second Class</v>
      </c>
      <c r="X259" s="6">
        <v>2</v>
      </c>
      <c r="Y259" s="6">
        <v>3237.27</v>
      </c>
      <c r="Z259" s="6">
        <v>0</v>
      </c>
      <c r="AA259" s="6">
        <f t="shared" ref="AA259:AA322" si="71">IF(Z259="",0,Z259)</f>
        <v>0</v>
      </c>
      <c r="AB259" s="6" t="str">
        <f t="shared" ref="AB259:AB322" si="72">IF(AA259&lt;0,"Invalid - Negative Discount",IF(AA259&gt;1,"Invalid - Discount Above Limit","Valid"))</f>
        <v>Valid</v>
      </c>
      <c r="AC259" s="6">
        <v>6474.54</v>
      </c>
      <c r="AD259" s="6" t="str">
        <f>IF(OR(AO259="Cancelled",AM259="Failed"),"Exclude from Completed Sales","Include in Completed Sales")</f>
        <v>Exclude from Completed Sales</v>
      </c>
      <c r="AE259" s="6">
        <f t="shared" ref="AE259:AE322" si="73">X259*Y259*(1-AA259)</f>
        <v>6474.54</v>
      </c>
      <c r="AF259" s="6" t="str">
        <f t="shared" ref="AF259:AF322" si="74">IF(TRIM(AM259)="Refunded","Refunded","")</f>
        <v/>
      </c>
      <c r="AG259" s="6">
        <v>5095.91</v>
      </c>
      <c r="AH259" s="6">
        <v>1378.63</v>
      </c>
      <c r="AI259" s="6">
        <f t="shared" ref="AI259:AI322" si="75">AE259-AG259</f>
        <v>1378.63</v>
      </c>
      <c r="AJ259" s="11">
        <f t="shared" ref="AJ259:AJ322" si="76">IF(AE259=0,0,AI259/AE259)</f>
        <v>0.21293095725719513</v>
      </c>
      <c r="AK259" s="11" t="str">
        <f t="shared" ref="AK259:AK322" si="77">TEXT(C259,"mmmm")</f>
        <v>August</v>
      </c>
      <c r="AL259" s="12">
        <f t="shared" ref="AL259:AL322" si="78">YEAR(C259)</f>
        <v>2025</v>
      </c>
      <c r="AM259" s="6" t="s">
        <v>54</v>
      </c>
      <c r="AN259" s="6" t="s">
        <v>98</v>
      </c>
      <c r="AO259" s="6" t="str">
        <f t="shared" si="70"/>
        <v>Cancelled</v>
      </c>
    </row>
    <row r="260" spans="1:41">
      <c r="A260" s="6" t="s">
        <v>1367</v>
      </c>
      <c r="B260" s="7" t="s">
        <v>845</v>
      </c>
      <c r="C260" s="8">
        <v>45656</v>
      </c>
      <c r="D260" s="7" t="s">
        <v>1368</v>
      </c>
      <c r="E260" s="9">
        <v>45661</v>
      </c>
      <c r="F260" s="9" t="str">
        <f t="shared" si="63"/>
        <v>Valid</v>
      </c>
      <c r="G260" s="10">
        <f t="shared" si="64"/>
        <v>5</v>
      </c>
      <c r="H260" s="10" t="str">
        <f t="shared" si="65"/>
        <v>Valid</v>
      </c>
      <c r="I260" s="6" t="s">
        <v>1369</v>
      </c>
      <c r="J260" s="6" t="s">
        <v>188</v>
      </c>
      <c r="K260" s="6" t="s">
        <v>188</v>
      </c>
      <c r="L260" s="6" t="s">
        <v>128</v>
      </c>
      <c r="M260" s="7" t="str">
        <f t="shared" si="66"/>
        <v>Corporate</v>
      </c>
      <c r="N260" s="6" t="s">
        <v>82</v>
      </c>
      <c r="O260" s="7" t="str">
        <f t="shared" si="67"/>
        <v>South</v>
      </c>
      <c r="P260" s="6" t="s">
        <v>359</v>
      </c>
      <c r="Q260" s="6" t="s">
        <v>360</v>
      </c>
      <c r="R260" s="6" t="s">
        <v>65</v>
      </c>
      <c r="S260" s="7" t="str">
        <f t="shared" si="68"/>
        <v>Furniture</v>
      </c>
      <c r="T260" s="6" t="s">
        <v>66</v>
      </c>
      <c r="U260" s="6" t="s">
        <v>1370</v>
      </c>
      <c r="V260" s="6" t="s">
        <v>68</v>
      </c>
      <c r="W260" s="7" t="str">
        <f t="shared" si="69"/>
        <v>Same Day</v>
      </c>
      <c r="X260" s="6">
        <v>2</v>
      </c>
      <c r="Y260" s="6">
        <v>3720.07</v>
      </c>
      <c r="Z260" s="6">
        <v>0.25</v>
      </c>
      <c r="AA260" s="6">
        <f t="shared" si="71"/>
        <v>0.25</v>
      </c>
      <c r="AB260" s="6" t="str">
        <f t="shared" si="72"/>
        <v>Valid</v>
      </c>
      <c r="AC260" s="6">
        <v>5580.11</v>
      </c>
      <c r="AD260" s="6" t="str">
        <f>IF(OR(AO260="Cancelled",AM260="Failed"),"Exclude from Completed Sales","Include in Completed Sales")</f>
        <v>Include in Completed Sales</v>
      </c>
      <c r="AE260" s="6">
        <f t="shared" si="73"/>
        <v>5580.1050000000005</v>
      </c>
      <c r="AF260" s="6" t="str">
        <f t="shared" si="74"/>
        <v/>
      </c>
      <c r="AG260" s="6">
        <v>4307.01</v>
      </c>
      <c r="AH260" s="6">
        <v>1273.0999999999999</v>
      </c>
      <c r="AI260" s="6">
        <f t="shared" si="75"/>
        <v>1273.0950000000003</v>
      </c>
      <c r="AJ260" s="11">
        <f t="shared" si="76"/>
        <v>0.22814893268137429</v>
      </c>
      <c r="AK260" s="11" t="str">
        <f t="shared" si="77"/>
        <v>December</v>
      </c>
      <c r="AL260" s="12">
        <f t="shared" si="78"/>
        <v>2024</v>
      </c>
      <c r="AM260" s="6" t="s">
        <v>54</v>
      </c>
      <c r="AN260" s="6" t="s">
        <v>55</v>
      </c>
      <c r="AO260" s="6" t="str">
        <f t="shared" si="70"/>
        <v>Completed</v>
      </c>
    </row>
    <row r="261" spans="1:41">
      <c r="A261" s="6" t="s">
        <v>1371</v>
      </c>
      <c r="B261" s="7" t="s">
        <v>1372</v>
      </c>
      <c r="C261" s="8">
        <v>45464</v>
      </c>
      <c r="D261" s="7" t="s">
        <v>1373</v>
      </c>
      <c r="E261" s="9">
        <v>45472</v>
      </c>
      <c r="F261" s="9" t="str">
        <f t="shared" si="63"/>
        <v>Valid</v>
      </c>
      <c r="G261" s="10">
        <f t="shared" si="64"/>
        <v>8</v>
      </c>
      <c r="H261" s="10" t="str">
        <f t="shared" si="65"/>
        <v>Valid</v>
      </c>
      <c r="I261" s="6" t="s">
        <v>1374</v>
      </c>
      <c r="J261" s="6" t="s">
        <v>113</v>
      </c>
      <c r="K261" s="6" t="s">
        <v>113</v>
      </c>
      <c r="L261" s="6" t="s">
        <v>46</v>
      </c>
      <c r="M261" s="7" t="str">
        <f t="shared" si="66"/>
        <v>Consumer</v>
      </c>
      <c r="N261" s="6" t="s">
        <v>82</v>
      </c>
      <c r="O261" s="7" t="str">
        <f t="shared" si="67"/>
        <v>South</v>
      </c>
      <c r="P261" s="6" t="s">
        <v>359</v>
      </c>
      <c r="Q261" s="6" t="s">
        <v>360</v>
      </c>
      <c r="R261" s="6" t="s">
        <v>106</v>
      </c>
      <c r="S261" s="7" t="str">
        <f t="shared" si="68"/>
        <v>Technology</v>
      </c>
      <c r="T261" s="6" t="s">
        <v>402</v>
      </c>
      <c r="U261" s="6" t="s">
        <v>1375</v>
      </c>
      <c r="V261" s="6" t="s">
        <v>87</v>
      </c>
      <c r="W261" s="7" t="str">
        <f t="shared" si="69"/>
        <v>Standard Class</v>
      </c>
      <c r="X261" s="6">
        <v>8</v>
      </c>
      <c r="Y261" s="6">
        <v>2853.92</v>
      </c>
      <c r="Z261" s="6">
        <v>0.2</v>
      </c>
      <c r="AA261" s="6">
        <f t="shared" si="71"/>
        <v>0.2</v>
      </c>
      <c r="AB261" s="6" t="str">
        <f t="shared" si="72"/>
        <v>Valid</v>
      </c>
      <c r="AC261" s="6">
        <v>18265.09</v>
      </c>
      <c r="AD261" s="6" t="str">
        <f>IF(OR(AO261="Cancelled",AM261="Failed"),"Exclude from Completed Sales","Include in Completed Sales")</f>
        <v>Include in Completed Sales</v>
      </c>
      <c r="AE261" s="6">
        <f t="shared" si="73"/>
        <v>18265.088</v>
      </c>
      <c r="AF261" s="6" t="str">
        <f t="shared" si="74"/>
        <v/>
      </c>
      <c r="AG261" s="6">
        <v>10437.14</v>
      </c>
      <c r="AH261" s="6">
        <v>7827.95</v>
      </c>
      <c r="AI261" s="6">
        <f t="shared" si="75"/>
        <v>7827.9480000000003</v>
      </c>
      <c r="AJ261" s="11">
        <f t="shared" si="76"/>
        <v>0.42857433810338064</v>
      </c>
      <c r="AK261" s="11" t="str">
        <f t="shared" si="77"/>
        <v>June</v>
      </c>
      <c r="AL261" s="12">
        <f t="shared" si="78"/>
        <v>2024</v>
      </c>
      <c r="AM261" s="6" t="s">
        <v>54</v>
      </c>
      <c r="AN261" s="6" t="s">
        <v>55</v>
      </c>
      <c r="AO261" s="6" t="str">
        <f t="shared" si="70"/>
        <v>Completed</v>
      </c>
    </row>
    <row r="262" spans="1:41">
      <c r="A262" s="6" t="s">
        <v>1376</v>
      </c>
      <c r="B262" s="7" t="s">
        <v>1377</v>
      </c>
      <c r="C262" s="8">
        <v>45923</v>
      </c>
      <c r="D262" s="7" t="s">
        <v>1378</v>
      </c>
      <c r="E262" s="9">
        <v>45927</v>
      </c>
      <c r="F262" s="9" t="str">
        <f t="shared" si="63"/>
        <v>Valid</v>
      </c>
      <c r="G262" s="10">
        <f t="shared" si="64"/>
        <v>4</v>
      </c>
      <c r="H262" s="10" t="str">
        <f t="shared" si="65"/>
        <v>Valid</v>
      </c>
      <c r="I262" s="6" t="s">
        <v>1379</v>
      </c>
      <c r="J262" s="6" t="s">
        <v>127</v>
      </c>
      <c r="K262" s="6" t="s">
        <v>127</v>
      </c>
      <c r="L262" s="6" t="s">
        <v>128</v>
      </c>
      <c r="M262" s="7" t="str">
        <f t="shared" si="66"/>
        <v>Corporate</v>
      </c>
      <c r="N262" s="6" t="s">
        <v>62</v>
      </c>
      <c r="O262" s="7" t="str">
        <f t="shared" si="67"/>
        <v>East</v>
      </c>
      <c r="P262" s="6" t="s">
        <v>141</v>
      </c>
      <c r="Q262" s="6" t="s">
        <v>142</v>
      </c>
      <c r="R262" s="6" t="s">
        <v>50</v>
      </c>
      <c r="S262" s="7" t="str">
        <f t="shared" si="68"/>
        <v>Office Supplies</v>
      </c>
      <c r="T262" s="6" t="s">
        <v>218</v>
      </c>
      <c r="U262" s="6" t="s">
        <v>1380</v>
      </c>
      <c r="V262" s="6" t="s">
        <v>68</v>
      </c>
      <c r="W262" s="7" t="str">
        <f t="shared" si="69"/>
        <v>Same Day</v>
      </c>
      <c r="X262" s="6">
        <v>7</v>
      </c>
      <c r="Y262" s="6">
        <v>2897.12</v>
      </c>
      <c r="Z262" s="6">
        <v>0.25</v>
      </c>
      <c r="AA262" s="6">
        <f t="shared" si="71"/>
        <v>0.25</v>
      </c>
      <c r="AB262" s="6" t="str">
        <f t="shared" si="72"/>
        <v>Valid</v>
      </c>
      <c r="AC262" s="6">
        <v>15209.88</v>
      </c>
      <c r="AD262" s="6" t="str">
        <f>IF(OR(AO262="Cancelled",AM262="Failed"),"Exclude from Completed Sales","Include in Completed Sales")</f>
        <v>Exclude from Completed Sales</v>
      </c>
      <c r="AE262" s="6">
        <f t="shared" si="73"/>
        <v>15209.880000000001</v>
      </c>
      <c r="AF262" s="6" t="str">
        <f t="shared" si="74"/>
        <v/>
      </c>
      <c r="AG262" s="6">
        <v>10891.15</v>
      </c>
      <c r="AH262" s="6">
        <v>4318.7299999999996</v>
      </c>
      <c r="AI262" s="6">
        <f t="shared" si="75"/>
        <v>4318.7300000000014</v>
      </c>
      <c r="AJ262" s="11">
        <f t="shared" si="76"/>
        <v>0.28394241111698454</v>
      </c>
      <c r="AK262" s="11" t="str">
        <f t="shared" si="77"/>
        <v>September</v>
      </c>
      <c r="AL262" s="12">
        <f t="shared" si="78"/>
        <v>2025</v>
      </c>
      <c r="AM262" s="6" t="s">
        <v>220</v>
      </c>
      <c r="AN262" s="6" t="s">
        <v>145</v>
      </c>
      <c r="AO262" s="6" t="str">
        <f t="shared" si="70"/>
        <v>Returned</v>
      </c>
    </row>
    <row r="263" spans="1:41">
      <c r="A263" s="6" t="s">
        <v>1381</v>
      </c>
      <c r="B263" s="7" t="s">
        <v>1382</v>
      </c>
      <c r="C263" s="8">
        <v>45826</v>
      </c>
      <c r="D263" s="7" t="s">
        <v>1383</v>
      </c>
      <c r="E263" s="9">
        <v>45832</v>
      </c>
      <c r="F263" s="9" t="str">
        <f t="shared" si="63"/>
        <v>Valid</v>
      </c>
      <c r="G263" s="10">
        <f t="shared" si="64"/>
        <v>6</v>
      </c>
      <c r="H263" s="10" t="str">
        <f t="shared" si="65"/>
        <v>Valid</v>
      </c>
      <c r="I263" s="6" t="s">
        <v>1384</v>
      </c>
      <c r="J263" s="6" t="s">
        <v>188</v>
      </c>
      <c r="K263" s="6" t="s">
        <v>188</v>
      </c>
      <c r="L263" s="6" t="s">
        <v>128</v>
      </c>
      <c r="M263" s="7" t="str">
        <f t="shared" si="66"/>
        <v>Corporate</v>
      </c>
      <c r="N263" s="6" t="s">
        <v>47</v>
      </c>
      <c r="O263" s="7" t="str">
        <f t="shared" si="67"/>
        <v>North</v>
      </c>
      <c r="P263" s="6" t="s">
        <v>48</v>
      </c>
      <c r="Q263" s="6" t="s">
        <v>49</v>
      </c>
      <c r="R263" s="6" t="s">
        <v>50</v>
      </c>
      <c r="S263" s="7" t="str">
        <f t="shared" si="68"/>
        <v>Office Supplies</v>
      </c>
      <c r="T263" s="6" t="s">
        <v>129</v>
      </c>
      <c r="U263" s="6" t="s">
        <v>1385</v>
      </c>
      <c r="V263" s="6" t="s">
        <v>87</v>
      </c>
      <c r="W263" s="7" t="str">
        <f t="shared" si="69"/>
        <v>Standard Class</v>
      </c>
      <c r="X263" s="6">
        <v>3</v>
      </c>
      <c r="Y263" s="6">
        <v>686.74</v>
      </c>
      <c r="Z263" s="6">
        <v>0.2</v>
      </c>
      <c r="AA263" s="6">
        <f t="shared" si="71"/>
        <v>0.2</v>
      </c>
      <c r="AB263" s="6" t="str">
        <f t="shared" si="72"/>
        <v>Valid</v>
      </c>
      <c r="AC263" s="6">
        <v>1648.18</v>
      </c>
      <c r="AD263" s="6" t="str">
        <f>IF(OR(AO263="Cancelled",AM263="Failed"),"Exclude from Completed Sales","Include in Completed Sales")</f>
        <v>Exclude from Completed Sales</v>
      </c>
      <c r="AE263" s="6">
        <f t="shared" si="73"/>
        <v>1648.1760000000004</v>
      </c>
      <c r="AF263" s="6" t="str">
        <f t="shared" si="74"/>
        <v/>
      </c>
      <c r="AG263" s="6">
        <v>987.91</v>
      </c>
      <c r="AH263" s="6">
        <v>660.27</v>
      </c>
      <c r="AI263" s="6">
        <f t="shared" si="75"/>
        <v>660.26600000000042</v>
      </c>
      <c r="AJ263" s="11">
        <f t="shared" si="76"/>
        <v>0.40060406170214846</v>
      </c>
      <c r="AK263" s="11" t="str">
        <f t="shared" si="77"/>
        <v>June</v>
      </c>
      <c r="AL263" s="12">
        <f t="shared" si="78"/>
        <v>2025</v>
      </c>
      <c r="AM263" s="6" t="s">
        <v>220</v>
      </c>
      <c r="AN263" s="6" t="s">
        <v>98</v>
      </c>
      <c r="AO263" s="6" t="str">
        <f t="shared" si="70"/>
        <v>Cancelled</v>
      </c>
    </row>
    <row r="264" spans="1:41">
      <c r="A264" s="6" t="s">
        <v>1386</v>
      </c>
      <c r="B264" s="7" t="s">
        <v>1387</v>
      </c>
      <c r="C264" s="8">
        <v>45803</v>
      </c>
      <c r="D264" s="7" t="s">
        <v>1388</v>
      </c>
      <c r="E264" s="9">
        <v>45809</v>
      </c>
      <c r="F264" s="9" t="str">
        <f t="shared" si="63"/>
        <v>Valid</v>
      </c>
      <c r="G264" s="10">
        <f t="shared" si="64"/>
        <v>6</v>
      </c>
      <c r="H264" s="10" t="str">
        <f t="shared" si="65"/>
        <v>Valid</v>
      </c>
      <c r="I264" s="6" t="s">
        <v>970</v>
      </c>
      <c r="J264" s="6" t="s">
        <v>81</v>
      </c>
      <c r="K264" s="6" t="s">
        <v>81</v>
      </c>
      <c r="L264" s="6" t="s">
        <v>61</v>
      </c>
      <c r="M264" s="7" t="str">
        <f t="shared" si="66"/>
        <v>Small Business</v>
      </c>
      <c r="N264" s="6" t="s">
        <v>47</v>
      </c>
      <c r="O264" s="7" t="str">
        <f t="shared" si="67"/>
        <v>North</v>
      </c>
      <c r="P264" s="6" t="s">
        <v>526</v>
      </c>
      <c r="Q264" s="6" t="s">
        <v>527</v>
      </c>
      <c r="R264" s="6" t="s">
        <v>106</v>
      </c>
      <c r="S264" s="7" t="str">
        <f t="shared" si="68"/>
        <v>Technology</v>
      </c>
      <c r="T264" s="6" t="s">
        <v>243</v>
      </c>
      <c r="U264" s="6" t="s">
        <v>1389</v>
      </c>
      <c r="V264" s="6" t="s">
        <v>68</v>
      </c>
      <c r="W264" s="7" t="str">
        <f t="shared" si="69"/>
        <v>Same Day</v>
      </c>
      <c r="X264" s="6">
        <v>4</v>
      </c>
      <c r="Y264" s="6">
        <v>3349.86</v>
      </c>
      <c r="Z264" s="6">
        <v>0</v>
      </c>
      <c r="AA264" s="6">
        <f t="shared" si="71"/>
        <v>0</v>
      </c>
      <c r="AB264" s="6" t="str">
        <f t="shared" si="72"/>
        <v>Valid</v>
      </c>
      <c r="AC264" s="6">
        <v>13399.44</v>
      </c>
      <c r="AD264" s="6" t="str">
        <f>IF(OR(AO264="Cancelled",AM264="Failed"),"Exclude from Completed Sales","Include in Completed Sales")</f>
        <v>Include in Completed Sales</v>
      </c>
      <c r="AE264" s="6">
        <f t="shared" si="73"/>
        <v>13399.44</v>
      </c>
      <c r="AF264" s="6" t="str">
        <f t="shared" si="74"/>
        <v/>
      </c>
      <c r="AG264" s="6">
        <v>8581.35</v>
      </c>
      <c r="AH264" s="6">
        <v>4818.09</v>
      </c>
      <c r="AI264" s="6">
        <f t="shared" si="75"/>
        <v>4818.09</v>
      </c>
      <c r="AJ264" s="11">
        <f t="shared" si="76"/>
        <v>0.3595739821962709</v>
      </c>
      <c r="AK264" s="11" t="str">
        <f t="shared" si="77"/>
        <v>May</v>
      </c>
      <c r="AL264" s="12">
        <f t="shared" si="78"/>
        <v>2025</v>
      </c>
      <c r="AM264" s="6" t="s">
        <v>157</v>
      </c>
      <c r="AN264" s="6" t="s">
        <v>145</v>
      </c>
      <c r="AO264" s="6" t="str">
        <f t="shared" si="70"/>
        <v>Returned</v>
      </c>
    </row>
    <row r="265" spans="1:41">
      <c r="A265" s="6" t="s">
        <v>1390</v>
      </c>
      <c r="B265" s="7" t="s">
        <v>1391</v>
      </c>
      <c r="C265" s="8">
        <v>45875</v>
      </c>
      <c r="D265" s="7" t="s">
        <v>964</v>
      </c>
      <c r="E265" s="9">
        <v>45879</v>
      </c>
      <c r="F265" s="9" t="str">
        <f t="shared" si="63"/>
        <v>Valid</v>
      </c>
      <c r="G265" s="10">
        <f t="shared" si="64"/>
        <v>4</v>
      </c>
      <c r="H265" s="10" t="str">
        <f t="shared" si="65"/>
        <v>Valid</v>
      </c>
      <c r="I265" s="6" t="s">
        <v>1392</v>
      </c>
      <c r="J265" s="6" t="s">
        <v>200</v>
      </c>
      <c r="K265" s="6" t="s">
        <v>200</v>
      </c>
      <c r="L265" s="6" t="s">
        <v>61</v>
      </c>
      <c r="M265" s="7" t="str">
        <f t="shared" si="66"/>
        <v>Small Business</v>
      </c>
      <c r="N265" s="6" t="s">
        <v>47</v>
      </c>
      <c r="O265" s="7" t="str">
        <f t="shared" si="67"/>
        <v>North</v>
      </c>
      <c r="P265" s="6" t="s">
        <v>526</v>
      </c>
      <c r="Q265" s="6" t="s">
        <v>527</v>
      </c>
      <c r="R265" s="6" t="s">
        <v>50</v>
      </c>
      <c r="S265" s="7" t="str">
        <f t="shared" si="68"/>
        <v>Office Supplies</v>
      </c>
      <c r="T265" s="6" t="s">
        <v>218</v>
      </c>
      <c r="U265" s="6" t="s">
        <v>1393</v>
      </c>
      <c r="V265" s="6" t="s">
        <v>53</v>
      </c>
      <c r="W265" s="7" t="str">
        <f t="shared" si="69"/>
        <v>Second Class</v>
      </c>
      <c r="X265" s="6">
        <v>9</v>
      </c>
      <c r="Y265" s="6">
        <v>4042.45</v>
      </c>
      <c r="Z265" s="6">
        <v>0.1</v>
      </c>
      <c r="AA265" s="6">
        <f t="shared" si="71"/>
        <v>0.1</v>
      </c>
      <c r="AB265" s="6" t="str">
        <f t="shared" si="72"/>
        <v>Valid</v>
      </c>
      <c r="AC265" s="6">
        <v>32743.84</v>
      </c>
      <c r="AD265" s="6" t="str">
        <f>IF(OR(AO265="Cancelled",AM265="Failed"),"Exclude from Completed Sales","Include in Completed Sales")</f>
        <v>Include in Completed Sales</v>
      </c>
      <c r="AE265" s="6">
        <f t="shared" si="73"/>
        <v>32743.844999999998</v>
      </c>
      <c r="AF265" s="6" t="str">
        <f t="shared" si="74"/>
        <v/>
      </c>
      <c r="AG265" s="6">
        <v>22452.05</v>
      </c>
      <c r="AH265" s="6">
        <v>10291.790000000001</v>
      </c>
      <c r="AI265" s="6">
        <f t="shared" si="75"/>
        <v>10291.794999999998</v>
      </c>
      <c r="AJ265" s="11">
        <f t="shared" si="76"/>
        <v>0.314312353970647</v>
      </c>
      <c r="AK265" s="11" t="str">
        <f t="shared" si="77"/>
        <v>August</v>
      </c>
      <c r="AL265" s="12">
        <f t="shared" si="78"/>
        <v>2025</v>
      </c>
      <c r="AM265" s="6" t="s">
        <v>157</v>
      </c>
      <c r="AN265" s="6" t="s">
        <v>145</v>
      </c>
      <c r="AO265" s="6" t="str">
        <f t="shared" si="70"/>
        <v>Returned</v>
      </c>
    </row>
    <row r="266" spans="1:41">
      <c r="A266" s="6" t="s">
        <v>1394</v>
      </c>
      <c r="B266" s="7" t="s">
        <v>1395</v>
      </c>
      <c r="C266" s="8">
        <v>45428</v>
      </c>
      <c r="D266" s="7" t="s">
        <v>1396</v>
      </c>
      <c r="E266" s="9">
        <v>45433</v>
      </c>
      <c r="F266" s="9" t="str">
        <f t="shared" si="63"/>
        <v>Valid</v>
      </c>
      <c r="G266" s="10">
        <f t="shared" si="64"/>
        <v>5</v>
      </c>
      <c r="H266" s="10" t="str">
        <f t="shared" si="65"/>
        <v>Valid</v>
      </c>
      <c r="I266" s="6" t="s">
        <v>1397</v>
      </c>
      <c r="J266" s="6" t="s">
        <v>230</v>
      </c>
      <c r="K266" s="6" t="s">
        <v>230</v>
      </c>
      <c r="L266" s="6" t="s">
        <v>61</v>
      </c>
      <c r="M266" s="7" t="str">
        <f t="shared" si="66"/>
        <v>Small Business</v>
      </c>
      <c r="N266" s="6" t="s">
        <v>62</v>
      </c>
      <c r="O266" s="7" t="str">
        <f t="shared" si="67"/>
        <v>East</v>
      </c>
      <c r="P266" s="6" t="s">
        <v>206</v>
      </c>
      <c r="Q266" s="6" t="s">
        <v>207</v>
      </c>
      <c r="R266" s="6" t="s">
        <v>106</v>
      </c>
      <c r="S266" s="7" t="str">
        <f t="shared" si="68"/>
        <v>Technology</v>
      </c>
      <c r="T266" s="6" t="s">
        <v>114</v>
      </c>
      <c r="U266" s="6" t="s">
        <v>1398</v>
      </c>
      <c r="V266" s="6" t="s">
        <v>87</v>
      </c>
      <c r="W266" s="7" t="str">
        <f t="shared" si="69"/>
        <v>Standard Class</v>
      </c>
      <c r="X266" s="6">
        <v>4</v>
      </c>
      <c r="Y266" s="6">
        <v>1503.07</v>
      </c>
      <c r="Z266" s="6">
        <v>0</v>
      </c>
      <c r="AA266" s="6">
        <f t="shared" si="71"/>
        <v>0</v>
      </c>
      <c r="AB266" s="6" t="str">
        <f t="shared" si="72"/>
        <v>Valid</v>
      </c>
      <c r="AC266" s="6">
        <v>6012.28</v>
      </c>
      <c r="AD266" s="6" t="str">
        <f>IF(OR(AO266="Cancelled",AM266="Failed"),"Exclude from Completed Sales","Include in Completed Sales")</f>
        <v>Include in Completed Sales</v>
      </c>
      <c r="AE266" s="6">
        <f t="shared" si="73"/>
        <v>6012.28</v>
      </c>
      <c r="AF266" s="6" t="str">
        <f t="shared" si="74"/>
        <v/>
      </c>
      <c r="AG266" s="6">
        <v>3927.64</v>
      </c>
      <c r="AH266" s="6">
        <v>2084.64</v>
      </c>
      <c r="AI266" s="6">
        <f t="shared" si="75"/>
        <v>2084.64</v>
      </c>
      <c r="AJ266" s="11">
        <f t="shared" si="76"/>
        <v>0.34673035853286938</v>
      </c>
      <c r="AK266" s="11" t="str">
        <f t="shared" si="77"/>
        <v>May</v>
      </c>
      <c r="AL266" s="12">
        <f t="shared" si="78"/>
        <v>2024</v>
      </c>
      <c r="AM266" s="6" t="s">
        <v>54</v>
      </c>
      <c r="AN266" s="6" t="s">
        <v>55</v>
      </c>
      <c r="AO266" s="6" t="str">
        <f t="shared" si="70"/>
        <v>Completed</v>
      </c>
    </row>
    <row r="267" spans="1:41">
      <c r="A267" s="6" t="s">
        <v>1399</v>
      </c>
      <c r="B267" s="7" t="s">
        <v>1400</v>
      </c>
      <c r="C267" s="8">
        <v>45610</v>
      </c>
      <c r="D267" s="7" t="s">
        <v>931</v>
      </c>
      <c r="E267" s="9">
        <v>45618</v>
      </c>
      <c r="F267" s="9" t="str">
        <f t="shared" si="63"/>
        <v>Valid</v>
      </c>
      <c r="G267" s="10">
        <f t="shared" si="64"/>
        <v>8</v>
      </c>
      <c r="H267" s="10" t="str">
        <f t="shared" si="65"/>
        <v>Valid</v>
      </c>
      <c r="I267" s="6" t="s">
        <v>1401</v>
      </c>
      <c r="J267" s="6" t="s">
        <v>162</v>
      </c>
      <c r="K267" s="6" t="s">
        <v>162</v>
      </c>
      <c r="L267" s="6" t="s">
        <v>128</v>
      </c>
      <c r="M267" s="7" t="str">
        <f t="shared" si="66"/>
        <v>Corporate</v>
      </c>
      <c r="N267" s="6" t="s">
        <v>62</v>
      </c>
      <c r="O267" s="7" t="str">
        <f t="shared" si="67"/>
        <v>East</v>
      </c>
      <c r="P267" s="6" t="s">
        <v>206</v>
      </c>
      <c r="Q267" s="6" t="s">
        <v>207</v>
      </c>
      <c r="R267" s="6" t="s">
        <v>65</v>
      </c>
      <c r="S267" s="7" t="str">
        <f t="shared" si="68"/>
        <v>Furniture</v>
      </c>
      <c r="T267" s="6" t="s">
        <v>224</v>
      </c>
      <c r="U267" s="6" t="s">
        <v>1402</v>
      </c>
      <c r="V267" s="6" t="s">
        <v>68</v>
      </c>
      <c r="W267" s="7" t="str">
        <f t="shared" si="69"/>
        <v>Same Day</v>
      </c>
      <c r="X267" s="6">
        <v>1</v>
      </c>
      <c r="Y267" s="6">
        <v>582.37</v>
      </c>
      <c r="Z267" s="6">
        <v>0.15</v>
      </c>
      <c r="AA267" s="6">
        <f t="shared" si="71"/>
        <v>0.15</v>
      </c>
      <c r="AB267" s="6" t="str">
        <f t="shared" si="72"/>
        <v>Valid</v>
      </c>
      <c r="AC267" s="6">
        <v>495.01</v>
      </c>
      <c r="AD267" s="6" t="str">
        <f>IF(OR(AO267="Cancelled",AM267="Failed"),"Exclude from Completed Sales","Include in Completed Sales")</f>
        <v>Exclude from Completed Sales</v>
      </c>
      <c r="AE267" s="6">
        <f t="shared" si="73"/>
        <v>495.0145</v>
      </c>
      <c r="AF267" s="6" t="str">
        <f t="shared" si="74"/>
        <v>Refunded</v>
      </c>
      <c r="AG267" s="6">
        <v>285.13</v>
      </c>
      <c r="AH267" s="6">
        <v>209.88</v>
      </c>
      <c r="AI267" s="6">
        <f t="shared" si="75"/>
        <v>209.8845</v>
      </c>
      <c r="AJ267" s="11">
        <f t="shared" si="76"/>
        <v>0.42399667080459258</v>
      </c>
      <c r="AK267" s="11" t="str">
        <f t="shared" si="77"/>
        <v>November</v>
      </c>
      <c r="AL267" s="12">
        <f t="shared" si="78"/>
        <v>2024</v>
      </c>
      <c r="AM267" s="6" t="s">
        <v>144</v>
      </c>
      <c r="AN267" s="6" t="s">
        <v>98</v>
      </c>
      <c r="AO267" s="6" t="str">
        <f t="shared" si="70"/>
        <v>Cancelled</v>
      </c>
    </row>
    <row r="268" spans="1:41">
      <c r="A268" s="6" t="s">
        <v>1403</v>
      </c>
      <c r="B268" s="7" t="s">
        <v>1404</v>
      </c>
      <c r="C268" s="8">
        <v>45780</v>
      </c>
      <c r="D268" s="7" t="s">
        <v>1405</v>
      </c>
      <c r="E268" s="9">
        <v>45787</v>
      </c>
      <c r="F268" s="9" t="str">
        <f t="shared" si="63"/>
        <v>Valid</v>
      </c>
      <c r="G268" s="10">
        <f t="shared" si="64"/>
        <v>7</v>
      </c>
      <c r="H268" s="10" t="str">
        <f t="shared" si="65"/>
        <v>Valid</v>
      </c>
      <c r="I268" s="6" t="s">
        <v>1406</v>
      </c>
      <c r="J268" s="6" t="s">
        <v>113</v>
      </c>
      <c r="K268" s="6" t="s">
        <v>113</v>
      </c>
      <c r="L268" s="6" t="s">
        <v>135</v>
      </c>
      <c r="M268" s="7" t="str">
        <f t="shared" si="66"/>
        <v>Home Office</v>
      </c>
      <c r="N268" s="6" t="s">
        <v>93</v>
      </c>
      <c r="O268" s="7" t="str">
        <f t="shared" si="67"/>
        <v>West</v>
      </c>
      <c r="P268" s="6" t="s">
        <v>94</v>
      </c>
      <c r="Q268" s="6" t="s">
        <v>95</v>
      </c>
      <c r="R268" s="6" t="s">
        <v>50</v>
      </c>
      <c r="S268" s="7" t="str">
        <f t="shared" si="68"/>
        <v>Office Supplies</v>
      </c>
      <c r="T268" s="6" t="s">
        <v>176</v>
      </c>
      <c r="U268" s="6" t="s">
        <v>1407</v>
      </c>
      <c r="V268" s="6" t="s">
        <v>53</v>
      </c>
      <c r="W268" s="7" t="str">
        <f t="shared" si="69"/>
        <v>Second Class</v>
      </c>
      <c r="X268" s="6">
        <v>3</v>
      </c>
      <c r="Y268" s="6">
        <v>4339.24</v>
      </c>
      <c r="Z268" s="6">
        <v>0</v>
      </c>
      <c r="AA268" s="6">
        <f t="shared" si="71"/>
        <v>0</v>
      </c>
      <c r="AB268" s="6" t="str">
        <f t="shared" si="72"/>
        <v>Valid</v>
      </c>
      <c r="AC268" s="6">
        <v>13017.72</v>
      </c>
      <c r="AD268" s="6" t="str">
        <f>IF(OR(AO268="Cancelled",AM268="Failed"),"Exclude from Completed Sales","Include in Completed Sales")</f>
        <v>Include in Completed Sales</v>
      </c>
      <c r="AE268" s="6">
        <f t="shared" si="73"/>
        <v>13017.72</v>
      </c>
      <c r="AF268" s="6" t="str">
        <f t="shared" si="74"/>
        <v/>
      </c>
      <c r="AG268" s="6">
        <v>10170.57</v>
      </c>
      <c r="AH268" s="6">
        <v>2847.15</v>
      </c>
      <c r="AI268" s="6">
        <f t="shared" si="75"/>
        <v>2847.1499999999996</v>
      </c>
      <c r="AJ268" s="11">
        <f t="shared" si="76"/>
        <v>0.21871341525244051</v>
      </c>
      <c r="AK268" s="11" t="str">
        <f t="shared" si="77"/>
        <v>May</v>
      </c>
      <c r="AL268" s="12">
        <f t="shared" si="78"/>
        <v>2025</v>
      </c>
      <c r="AM268" s="6" t="s">
        <v>54</v>
      </c>
      <c r="AN268" s="6" t="s">
        <v>55</v>
      </c>
      <c r="AO268" s="6" t="str">
        <f t="shared" si="70"/>
        <v>Completed</v>
      </c>
    </row>
    <row r="269" spans="1:41">
      <c r="A269" s="6" t="s">
        <v>1408</v>
      </c>
      <c r="B269" s="7" t="s">
        <v>1038</v>
      </c>
      <c r="C269" s="8">
        <v>45805</v>
      </c>
      <c r="D269" s="7" t="s">
        <v>1409</v>
      </c>
      <c r="E269" s="9">
        <v>45812</v>
      </c>
      <c r="F269" s="9" t="str">
        <f t="shared" si="63"/>
        <v>Valid</v>
      </c>
      <c r="G269" s="10">
        <f t="shared" si="64"/>
        <v>7</v>
      </c>
      <c r="H269" s="10" t="str">
        <f t="shared" si="65"/>
        <v>Valid</v>
      </c>
      <c r="I269" s="6" t="s">
        <v>1410</v>
      </c>
      <c r="J269" s="6" t="s">
        <v>230</v>
      </c>
      <c r="K269" s="6" t="s">
        <v>230</v>
      </c>
      <c r="L269" s="6" t="s">
        <v>128</v>
      </c>
      <c r="M269" s="7" t="str">
        <f t="shared" si="66"/>
        <v>Corporate</v>
      </c>
      <c r="N269" s="6" t="s">
        <v>62</v>
      </c>
      <c r="O269" s="7" t="str">
        <f t="shared" si="67"/>
        <v>East</v>
      </c>
      <c r="P269" s="6" t="s">
        <v>331</v>
      </c>
      <c r="Q269" s="6" t="s">
        <v>332</v>
      </c>
      <c r="R269" s="6" t="s">
        <v>65</v>
      </c>
      <c r="S269" s="7" t="str">
        <f t="shared" si="68"/>
        <v>Furniture</v>
      </c>
      <c r="T269" s="6" t="s">
        <v>85</v>
      </c>
      <c r="U269" s="6" t="s">
        <v>1411</v>
      </c>
      <c r="V269" s="6" t="s">
        <v>76</v>
      </c>
      <c r="W269" s="7" t="str">
        <f t="shared" si="69"/>
        <v>First Class</v>
      </c>
      <c r="X269" s="6">
        <v>4</v>
      </c>
      <c r="Y269" s="6">
        <v>261.8</v>
      </c>
      <c r="Z269" s="6">
        <v>0.25</v>
      </c>
      <c r="AA269" s="6">
        <f t="shared" si="71"/>
        <v>0.25</v>
      </c>
      <c r="AB269" s="6" t="str">
        <f t="shared" si="72"/>
        <v>Valid</v>
      </c>
      <c r="AC269" s="6">
        <v>785.4</v>
      </c>
      <c r="AD269" s="6" t="str">
        <f>IF(OR(AO269="Cancelled",AM269="Failed"),"Exclude from Completed Sales","Include in Completed Sales")</f>
        <v>Include in Completed Sales</v>
      </c>
      <c r="AE269" s="6">
        <f t="shared" si="73"/>
        <v>785.40000000000009</v>
      </c>
      <c r="AF269" s="6" t="str">
        <f t="shared" si="74"/>
        <v/>
      </c>
      <c r="AG269" s="6">
        <v>557.22</v>
      </c>
      <c r="AH269" s="6">
        <v>228.18</v>
      </c>
      <c r="AI269" s="6">
        <f t="shared" si="75"/>
        <v>228.18000000000006</v>
      </c>
      <c r="AJ269" s="11">
        <f t="shared" si="76"/>
        <v>0.29052711993888469</v>
      </c>
      <c r="AK269" s="11" t="str">
        <f t="shared" si="77"/>
        <v>May</v>
      </c>
      <c r="AL269" s="12">
        <f t="shared" si="78"/>
        <v>2025</v>
      </c>
      <c r="AM269" s="6" t="s">
        <v>54</v>
      </c>
      <c r="AN269" s="6" t="s">
        <v>55</v>
      </c>
      <c r="AO269" s="6" t="str">
        <f t="shared" si="70"/>
        <v>Completed</v>
      </c>
    </row>
    <row r="270" spans="1:41">
      <c r="A270" s="6" t="s">
        <v>1412</v>
      </c>
      <c r="B270" s="7" t="s">
        <v>1413</v>
      </c>
      <c r="C270" s="8">
        <v>45886</v>
      </c>
      <c r="D270" s="7" t="s">
        <v>1413</v>
      </c>
      <c r="E270" s="9">
        <v>45886</v>
      </c>
      <c r="F270" s="9" t="str">
        <f t="shared" si="63"/>
        <v>Valid</v>
      </c>
      <c r="G270" s="10">
        <f t="shared" si="64"/>
        <v>0</v>
      </c>
      <c r="H270" s="10" t="str">
        <f t="shared" si="65"/>
        <v>Valid</v>
      </c>
      <c r="I270" s="6" t="s">
        <v>1414</v>
      </c>
      <c r="J270" s="6" t="s">
        <v>182</v>
      </c>
      <c r="K270" s="6" t="s">
        <v>182</v>
      </c>
      <c r="L270" s="6" t="s">
        <v>135</v>
      </c>
      <c r="M270" s="7" t="str">
        <f t="shared" si="66"/>
        <v>Home Office</v>
      </c>
      <c r="N270" s="6" t="s">
        <v>47</v>
      </c>
      <c r="O270" s="7" t="str">
        <f t="shared" si="67"/>
        <v>North</v>
      </c>
      <c r="P270" s="6" t="s">
        <v>174</v>
      </c>
      <c r="Q270" s="6" t="s">
        <v>175</v>
      </c>
      <c r="R270" s="6" t="s">
        <v>106</v>
      </c>
      <c r="S270" s="7" t="str">
        <f t="shared" si="68"/>
        <v>Technology</v>
      </c>
      <c r="T270" s="6" t="s">
        <v>107</v>
      </c>
      <c r="U270" s="6" t="s">
        <v>1415</v>
      </c>
      <c r="V270" s="6" t="s">
        <v>76</v>
      </c>
      <c r="W270" s="7" t="str">
        <f t="shared" si="69"/>
        <v>First Class</v>
      </c>
      <c r="X270" s="6">
        <v>7</v>
      </c>
      <c r="Y270" s="6">
        <v>632.20000000000005</v>
      </c>
      <c r="Z270" s="6">
        <v>0.25</v>
      </c>
      <c r="AA270" s="6">
        <f t="shared" si="71"/>
        <v>0.25</v>
      </c>
      <c r="AB270" s="6" t="str">
        <f t="shared" si="72"/>
        <v>Valid</v>
      </c>
      <c r="AC270" s="6">
        <v>3319.05</v>
      </c>
      <c r="AD270" s="6" t="str">
        <f>IF(OR(AO270="Cancelled",AM270="Failed"),"Exclude from Completed Sales","Include in Completed Sales")</f>
        <v>Include in Completed Sales</v>
      </c>
      <c r="AE270" s="6">
        <f t="shared" si="73"/>
        <v>3319.05</v>
      </c>
      <c r="AF270" s="6" t="str">
        <f t="shared" si="74"/>
        <v/>
      </c>
      <c r="AG270" s="6">
        <v>2124.6</v>
      </c>
      <c r="AH270" s="6">
        <v>1194.45</v>
      </c>
      <c r="AI270" s="6">
        <f t="shared" si="75"/>
        <v>1194.4500000000003</v>
      </c>
      <c r="AJ270" s="11">
        <f t="shared" si="76"/>
        <v>0.35987707325891449</v>
      </c>
      <c r="AK270" s="11" t="str">
        <f t="shared" si="77"/>
        <v>August</v>
      </c>
      <c r="AL270" s="12">
        <f t="shared" si="78"/>
        <v>2025</v>
      </c>
      <c r="AM270" s="6" t="s">
        <v>54</v>
      </c>
      <c r="AN270" s="6" t="s">
        <v>55</v>
      </c>
      <c r="AO270" s="6" t="str">
        <f t="shared" si="70"/>
        <v>Completed</v>
      </c>
    </row>
    <row r="271" spans="1:41">
      <c r="A271" s="6" t="s">
        <v>1416</v>
      </c>
      <c r="B271" s="7" t="s">
        <v>1355</v>
      </c>
      <c r="C271" s="8">
        <v>45698</v>
      </c>
      <c r="D271" s="7" t="s">
        <v>1417</v>
      </c>
      <c r="E271" s="9">
        <v>45700</v>
      </c>
      <c r="F271" s="9" t="str">
        <f t="shared" si="63"/>
        <v>Valid</v>
      </c>
      <c r="G271" s="10">
        <f t="shared" si="64"/>
        <v>2</v>
      </c>
      <c r="H271" s="10" t="str">
        <f t="shared" si="65"/>
        <v>Valid</v>
      </c>
      <c r="I271" s="6" t="s">
        <v>1418</v>
      </c>
      <c r="J271" s="6" t="s">
        <v>168</v>
      </c>
      <c r="K271" s="6" t="s">
        <v>168</v>
      </c>
      <c r="L271" s="6" t="s">
        <v>61</v>
      </c>
      <c r="M271" s="7" t="str">
        <f t="shared" si="66"/>
        <v>Small Business</v>
      </c>
      <c r="N271" s="6" t="s">
        <v>93</v>
      </c>
      <c r="O271" s="7" t="str">
        <f t="shared" si="67"/>
        <v>West</v>
      </c>
      <c r="P271" s="6" t="s">
        <v>48</v>
      </c>
      <c r="Q271" s="6" t="s">
        <v>155</v>
      </c>
      <c r="R271" s="6" t="s">
        <v>65</v>
      </c>
      <c r="S271" s="7" t="str">
        <f t="shared" si="68"/>
        <v>Furniture</v>
      </c>
      <c r="T271" s="6" t="s">
        <v>66</v>
      </c>
      <c r="U271" s="6" t="s">
        <v>1419</v>
      </c>
      <c r="V271" s="6" t="s">
        <v>68</v>
      </c>
      <c r="W271" s="7" t="str">
        <f t="shared" si="69"/>
        <v>Same Day</v>
      </c>
      <c r="X271" s="6">
        <v>1</v>
      </c>
      <c r="Y271" s="6">
        <v>1925.86</v>
      </c>
      <c r="Z271" s="6">
        <v>0</v>
      </c>
      <c r="AA271" s="6">
        <f t="shared" si="71"/>
        <v>0</v>
      </c>
      <c r="AB271" s="6" t="str">
        <f t="shared" si="72"/>
        <v>Valid</v>
      </c>
      <c r="AC271" s="6">
        <v>1925.86</v>
      </c>
      <c r="AD271" s="6" t="str">
        <f>IF(OR(AO271="Cancelled",AM271="Failed"),"Exclude from Completed Sales","Include in Completed Sales")</f>
        <v>Include in Completed Sales</v>
      </c>
      <c r="AE271" s="6">
        <f t="shared" si="73"/>
        <v>1925.86</v>
      </c>
      <c r="AF271" s="6" t="str">
        <f t="shared" si="74"/>
        <v/>
      </c>
      <c r="AG271" s="6">
        <v>1321.89</v>
      </c>
      <c r="AH271" s="6">
        <v>603.97</v>
      </c>
      <c r="AI271" s="6">
        <f t="shared" si="75"/>
        <v>603.9699999999998</v>
      </c>
      <c r="AJ271" s="11">
        <f t="shared" si="76"/>
        <v>0.31361054282242729</v>
      </c>
      <c r="AK271" s="11" t="str">
        <f t="shared" si="77"/>
        <v>February</v>
      </c>
      <c r="AL271" s="12">
        <f t="shared" si="78"/>
        <v>2025</v>
      </c>
      <c r="AM271" s="6" t="s">
        <v>54</v>
      </c>
      <c r="AN271" s="6" t="s">
        <v>55</v>
      </c>
      <c r="AO271" s="6" t="str">
        <f t="shared" si="70"/>
        <v>Completed</v>
      </c>
    </row>
    <row r="272" spans="1:41">
      <c r="A272" s="6" t="s">
        <v>1420</v>
      </c>
      <c r="B272" s="7" t="s">
        <v>1278</v>
      </c>
      <c r="C272" s="8">
        <v>45303</v>
      </c>
      <c r="D272" s="7" t="s">
        <v>583</v>
      </c>
      <c r="E272" s="9">
        <v>45304</v>
      </c>
      <c r="F272" s="9" t="str">
        <f t="shared" si="63"/>
        <v>Valid</v>
      </c>
      <c r="G272" s="10">
        <f t="shared" si="64"/>
        <v>1</v>
      </c>
      <c r="H272" s="10" t="str">
        <f t="shared" si="65"/>
        <v>Valid</v>
      </c>
      <c r="I272" s="6" t="s">
        <v>1421</v>
      </c>
      <c r="J272" s="6" t="s">
        <v>127</v>
      </c>
      <c r="K272" s="6" t="s">
        <v>127</v>
      </c>
      <c r="L272" s="6" t="s">
        <v>128</v>
      </c>
      <c r="M272" s="7" t="str">
        <f t="shared" si="66"/>
        <v>Corporate</v>
      </c>
      <c r="N272" s="6" t="s">
        <v>47</v>
      </c>
      <c r="O272" s="7" t="str">
        <f t="shared" si="67"/>
        <v>North</v>
      </c>
      <c r="P272" s="6" t="s">
        <v>194</v>
      </c>
      <c r="Q272" s="6" t="s">
        <v>195</v>
      </c>
      <c r="R272" s="6" t="s">
        <v>106</v>
      </c>
      <c r="S272" s="7" t="str">
        <f t="shared" si="68"/>
        <v>Technology</v>
      </c>
      <c r="T272" s="6" t="s">
        <v>402</v>
      </c>
      <c r="U272" s="6" t="s">
        <v>1422</v>
      </c>
      <c r="V272" s="6" t="s">
        <v>68</v>
      </c>
      <c r="W272" s="7" t="str">
        <f t="shared" si="69"/>
        <v>Same Day</v>
      </c>
      <c r="X272" s="6">
        <v>3</v>
      </c>
      <c r="Y272" s="6">
        <v>827.44</v>
      </c>
      <c r="Z272" s="6">
        <v>0</v>
      </c>
      <c r="AA272" s="6">
        <f t="shared" si="71"/>
        <v>0</v>
      </c>
      <c r="AB272" s="6" t="str">
        <f t="shared" si="72"/>
        <v>Valid</v>
      </c>
      <c r="AC272" s="6">
        <v>2482.3200000000002</v>
      </c>
      <c r="AD272" s="6" t="str">
        <f>IF(OR(AO272="Cancelled",AM272="Failed"),"Exclude from Completed Sales","Include in Completed Sales")</f>
        <v>Include in Completed Sales</v>
      </c>
      <c r="AE272" s="6">
        <f t="shared" si="73"/>
        <v>2482.3200000000002</v>
      </c>
      <c r="AF272" s="6" t="str">
        <f t="shared" si="74"/>
        <v/>
      </c>
      <c r="AG272" s="6">
        <v>1520.21</v>
      </c>
      <c r="AH272" s="6">
        <v>962.11</v>
      </c>
      <c r="AI272" s="6">
        <f t="shared" si="75"/>
        <v>962.11000000000013</v>
      </c>
      <c r="AJ272" s="11">
        <f t="shared" si="76"/>
        <v>0.38758500112797706</v>
      </c>
      <c r="AK272" s="11" t="str">
        <f t="shared" si="77"/>
        <v>January</v>
      </c>
      <c r="AL272" s="12">
        <f t="shared" si="78"/>
        <v>2024</v>
      </c>
      <c r="AM272" s="6" t="s">
        <v>54</v>
      </c>
      <c r="AN272" s="6" t="s">
        <v>55</v>
      </c>
      <c r="AO272" s="6" t="str">
        <f t="shared" si="70"/>
        <v>Completed</v>
      </c>
    </row>
    <row r="273" spans="1:41">
      <c r="A273" s="6" t="s">
        <v>1423</v>
      </c>
      <c r="B273" s="7" t="s">
        <v>1424</v>
      </c>
      <c r="C273" s="8">
        <v>45647</v>
      </c>
      <c r="D273" s="7" t="s">
        <v>1425</v>
      </c>
      <c r="E273" s="9">
        <v>45651</v>
      </c>
      <c r="F273" s="9" t="str">
        <f t="shared" si="63"/>
        <v>Valid</v>
      </c>
      <c r="G273" s="10">
        <f t="shared" si="64"/>
        <v>4</v>
      </c>
      <c r="H273" s="10" t="str">
        <f t="shared" si="65"/>
        <v>Valid</v>
      </c>
      <c r="I273" s="6" t="s">
        <v>1426</v>
      </c>
      <c r="J273" s="6" t="s">
        <v>127</v>
      </c>
      <c r="K273" s="6" t="s">
        <v>127</v>
      </c>
      <c r="L273" s="6" t="s">
        <v>46</v>
      </c>
      <c r="M273" s="7" t="str">
        <f t="shared" si="66"/>
        <v>Consumer</v>
      </c>
      <c r="N273" s="6" t="s">
        <v>82</v>
      </c>
      <c r="O273" s="7" t="str">
        <f t="shared" si="67"/>
        <v>South</v>
      </c>
      <c r="P273" s="6" t="s">
        <v>83</v>
      </c>
      <c r="Q273" s="6" t="s">
        <v>84</v>
      </c>
      <c r="R273" s="6" t="s">
        <v>50</v>
      </c>
      <c r="S273" s="7" t="str">
        <f t="shared" si="68"/>
        <v>Office Supplies</v>
      </c>
      <c r="T273" s="6" t="s">
        <v>218</v>
      </c>
      <c r="U273" s="6" t="s">
        <v>1427</v>
      </c>
      <c r="V273" s="6" t="s">
        <v>87</v>
      </c>
      <c r="W273" s="7" t="str">
        <f t="shared" si="69"/>
        <v>Standard Class</v>
      </c>
      <c r="X273" s="6">
        <v>7</v>
      </c>
      <c r="Y273" s="6">
        <v>1667.75</v>
      </c>
      <c r="Z273" s="6">
        <v>0</v>
      </c>
      <c r="AA273" s="6">
        <f t="shared" si="71"/>
        <v>0</v>
      </c>
      <c r="AB273" s="6" t="str">
        <f t="shared" si="72"/>
        <v>Valid</v>
      </c>
      <c r="AC273" s="6">
        <v>11674.25</v>
      </c>
      <c r="AD273" s="6" t="str">
        <f>IF(OR(AO273="Cancelled",AM273="Failed"),"Exclude from Completed Sales","Include in Completed Sales")</f>
        <v>Exclude from Completed Sales</v>
      </c>
      <c r="AE273" s="6">
        <f t="shared" si="73"/>
        <v>11674.25</v>
      </c>
      <c r="AF273" s="6" t="str">
        <f t="shared" si="74"/>
        <v/>
      </c>
      <c r="AG273" s="6">
        <v>9621.19</v>
      </c>
      <c r="AH273" s="6">
        <v>2053.06</v>
      </c>
      <c r="AI273" s="6">
        <f t="shared" si="75"/>
        <v>2053.0599999999995</v>
      </c>
      <c r="AJ273" s="11">
        <f t="shared" si="76"/>
        <v>0.17586226095894808</v>
      </c>
      <c r="AK273" s="11" t="str">
        <f t="shared" si="77"/>
        <v>December</v>
      </c>
      <c r="AL273" s="12">
        <f t="shared" si="78"/>
        <v>2024</v>
      </c>
      <c r="AM273" s="6" t="s">
        <v>220</v>
      </c>
      <c r="AN273" s="6" t="s">
        <v>98</v>
      </c>
      <c r="AO273" s="6" t="str">
        <f t="shared" si="70"/>
        <v>Cancelled</v>
      </c>
    </row>
    <row r="274" spans="1:41">
      <c r="A274" s="6" t="s">
        <v>1428</v>
      </c>
      <c r="B274" s="7" t="s">
        <v>1429</v>
      </c>
      <c r="C274" s="8">
        <v>45522</v>
      </c>
      <c r="D274" s="7" t="s">
        <v>1430</v>
      </c>
      <c r="E274" s="9">
        <v>45528</v>
      </c>
      <c r="F274" s="9" t="str">
        <f t="shared" si="63"/>
        <v>Valid</v>
      </c>
      <c r="G274" s="10">
        <f t="shared" si="64"/>
        <v>6</v>
      </c>
      <c r="H274" s="10" t="str">
        <f t="shared" si="65"/>
        <v>Valid</v>
      </c>
      <c r="I274" s="6" t="s">
        <v>1431</v>
      </c>
      <c r="J274" s="6" t="s">
        <v>81</v>
      </c>
      <c r="K274" s="6" t="s">
        <v>81</v>
      </c>
      <c r="L274" s="6" t="s">
        <v>46</v>
      </c>
      <c r="M274" s="7" t="str">
        <f t="shared" si="66"/>
        <v>Consumer</v>
      </c>
      <c r="N274" s="6" t="s">
        <v>82</v>
      </c>
      <c r="O274" s="7" t="str">
        <f t="shared" si="67"/>
        <v>South</v>
      </c>
      <c r="P274" s="6" t="s">
        <v>120</v>
      </c>
      <c r="Q274" s="6" t="s">
        <v>121</v>
      </c>
      <c r="R274" s="6" t="s">
        <v>65</v>
      </c>
      <c r="S274" s="7" t="str">
        <f t="shared" si="68"/>
        <v>Furniture</v>
      </c>
      <c r="T274" s="6" t="s">
        <v>96</v>
      </c>
      <c r="U274" s="6" t="s">
        <v>1432</v>
      </c>
      <c r="V274" s="6" t="s">
        <v>76</v>
      </c>
      <c r="W274" s="7" t="str">
        <f t="shared" si="69"/>
        <v>First Class</v>
      </c>
      <c r="X274" s="6">
        <v>7</v>
      </c>
      <c r="Y274" s="6">
        <v>557.21</v>
      </c>
      <c r="Z274" s="6">
        <v>0.1</v>
      </c>
      <c r="AA274" s="6">
        <f t="shared" si="71"/>
        <v>0.1</v>
      </c>
      <c r="AB274" s="6" t="str">
        <f t="shared" si="72"/>
        <v>Valid</v>
      </c>
      <c r="AC274" s="6">
        <v>3510.42</v>
      </c>
      <c r="AD274" s="6" t="str">
        <f>IF(OR(AO274="Cancelled",AM274="Failed"),"Exclude from Completed Sales","Include in Completed Sales")</f>
        <v>Include in Completed Sales</v>
      </c>
      <c r="AE274" s="6">
        <f t="shared" si="73"/>
        <v>3510.4230000000002</v>
      </c>
      <c r="AF274" s="6" t="str">
        <f t="shared" si="74"/>
        <v/>
      </c>
      <c r="AG274" s="6">
        <v>2191.5</v>
      </c>
      <c r="AH274" s="6">
        <v>1213.48</v>
      </c>
      <c r="AI274" s="6">
        <f t="shared" si="75"/>
        <v>1318.9230000000002</v>
      </c>
      <c r="AJ274" s="11">
        <f t="shared" si="76"/>
        <v>0.37571625983535323</v>
      </c>
      <c r="AK274" s="11" t="str">
        <f t="shared" si="77"/>
        <v>August</v>
      </c>
      <c r="AL274" s="12">
        <f t="shared" si="78"/>
        <v>2024</v>
      </c>
      <c r="AM274" s="6" t="s">
        <v>54</v>
      </c>
      <c r="AN274" s="6" t="s">
        <v>55</v>
      </c>
      <c r="AO274" s="6" t="str">
        <f t="shared" si="70"/>
        <v>Completed</v>
      </c>
    </row>
    <row r="275" spans="1:41">
      <c r="A275" s="6" t="s">
        <v>1433</v>
      </c>
      <c r="B275" s="7" t="s">
        <v>1434</v>
      </c>
      <c r="C275" s="8">
        <v>45701</v>
      </c>
      <c r="D275" s="7" t="s">
        <v>1435</v>
      </c>
      <c r="E275" s="9">
        <v>45701</v>
      </c>
      <c r="F275" s="9" t="str">
        <f t="shared" si="63"/>
        <v>Valid</v>
      </c>
      <c r="G275" s="10">
        <f t="shared" si="64"/>
        <v>0</v>
      </c>
      <c r="H275" s="10" t="str">
        <f t="shared" si="65"/>
        <v>Valid</v>
      </c>
      <c r="I275" s="6" t="s">
        <v>1436</v>
      </c>
      <c r="J275" s="6" t="s">
        <v>73</v>
      </c>
      <c r="K275" s="6" t="s">
        <v>73</v>
      </c>
      <c r="L275" s="6" t="s">
        <v>46</v>
      </c>
      <c r="M275" s="7" t="str">
        <f t="shared" si="66"/>
        <v>Consumer</v>
      </c>
      <c r="N275" s="6" t="s">
        <v>62</v>
      </c>
      <c r="O275" s="7" t="str">
        <f t="shared" si="67"/>
        <v>East</v>
      </c>
      <c r="P275" s="6" t="s">
        <v>206</v>
      </c>
      <c r="Q275" s="6" t="s">
        <v>207</v>
      </c>
      <c r="R275" s="6" t="s">
        <v>50</v>
      </c>
      <c r="S275" s="7" t="str">
        <f t="shared" si="68"/>
        <v>Office Supplies</v>
      </c>
      <c r="T275" s="6" t="s">
        <v>51</v>
      </c>
      <c r="U275" s="6" t="s">
        <v>1437</v>
      </c>
      <c r="V275" s="6" t="s">
        <v>53</v>
      </c>
      <c r="W275" s="7" t="str">
        <f t="shared" si="69"/>
        <v>Second Class</v>
      </c>
      <c r="X275" s="6">
        <v>9</v>
      </c>
      <c r="Y275" s="6">
        <v>2521.63</v>
      </c>
      <c r="Z275" s="6">
        <v>0</v>
      </c>
      <c r="AA275" s="6">
        <f t="shared" si="71"/>
        <v>0</v>
      </c>
      <c r="AB275" s="6" t="str">
        <f t="shared" si="72"/>
        <v>Valid</v>
      </c>
      <c r="AC275" s="6">
        <v>22694.67</v>
      </c>
      <c r="AD275" s="6" t="str">
        <f>IF(OR(AO275="Cancelled",AM275="Failed"),"Exclude from Completed Sales","Include in Completed Sales")</f>
        <v>Include in Completed Sales</v>
      </c>
      <c r="AE275" s="6">
        <f t="shared" si="73"/>
        <v>22694.670000000002</v>
      </c>
      <c r="AF275" s="6" t="str">
        <f t="shared" si="74"/>
        <v/>
      </c>
      <c r="AG275" s="6">
        <v>15405.36</v>
      </c>
      <c r="AH275" s="6">
        <v>7289.31</v>
      </c>
      <c r="AI275" s="6">
        <f t="shared" si="75"/>
        <v>7289.3100000000013</v>
      </c>
      <c r="AJ275" s="11">
        <f t="shared" si="76"/>
        <v>0.32119039404406413</v>
      </c>
      <c r="AK275" s="11" t="str">
        <f t="shared" si="77"/>
        <v>February</v>
      </c>
      <c r="AL275" s="12">
        <f t="shared" si="78"/>
        <v>2025</v>
      </c>
      <c r="AM275" s="6" t="s">
        <v>54</v>
      </c>
      <c r="AN275" s="6" t="s">
        <v>145</v>
      </c>
      <c r="AO275" s="6" t="str">
        <f t="shared" si="70"/>
        <v>Returned</v>
      </c>
    </row>
    <row r="276" spans="1:41">
      <c r="A276" s="6" t="s">
        <v>1438</v>
      </c>
      <c r="B276" s="7" t="s">
        <v>1439</v>
      </c>
      <c r="C276" s="8">
        <v>45389</v>
      </c>
      <c r="D276" s="7" t="s">
        <v>1440</v>
      </c>
      <c r="E276" s="9">
        <v>45396</v>
      </c>
      <c r="F276" s="9" t="str">
        <f t="shared" si="63"/>
        <v>Valid</v>
      </c>
      <c r="G276" s="10">
        <f t="shared" si="64"/>
        <v>7</v>
      </c>
      <c r="H276" s="10" t="str">
        <f t="shared" si="65"/>
        <v>Valid</v>
      </c>
      <c r="I276" s="6" t="s">
        <v>1441</v>
      </c>
      <c r="J276" s="6" t="s">
        <v>200</v>
      </c>
      <c r="K276" s="6" t="s">
        <v>200</v>
      </c>
      <c r="L276" s="6" t="s">
        <v>46</v>
      </c>
      <c r="M276" s="7" t="str">
        <f t="shared" si="66"/>
        <v>Consumer</v>
      </c>
      <c r="N276" s="6" t="s">
        <v>82</v>
      </c>
      <c r="O276" s="7" t="str">
        <f t="shared" si="67"/>
        <v>South</v>
      </c>
      <c r="P276" s="6" t="s">
        <v>262</v>
      </c>
      <c r="Q276" s="6" t="s">
        <v>263</v>
      </c>
      <c r="R276" s="6" t="s">
        <v>106</v>
      </c>
      <c r="S276" s="7" t="str">
        <f t="shared" si="68"/>
        <v>Technology</v>
      </c>
      <c r="T276" s="6" t="s">
        <v>114</v>
      </c>
      <c r="U276" s="6" t="s">
        <v>1442</v>
      </c>
      <c r="V276" s="6" t="s">
        <v>87</v>
      </c>
      <c r="W276" s="7" t="str">
        <f t="shared" si="69"/>
        <v>Standard Class</v>
      </c>
      <c r="X276" s="6">
        <v>6</v>
      </c>
      <c r="Y276" s="6">
        <v>4246.71</v>
      </c>
      <c r="Z276" s="6">
        <v>0.15</v>
      </c>
      <c r="AA276" s="6">
        <f t="shared" si="71"/>
        <v>0.15</v>
      </c>
      <c r="AB276" s="6" t="str">
        <f t="shared" si="72"/>
        <v>Valid</v>
      </c>
      <c r="AC276" s="6">
        <v>21658.22</v>
      </c>
      <c r="AD276" s="6" t="str">
        <f>IF(OR(AO276="Cancelled",AM276="Failed"),"Exclude from Completed Sales","Include in Completed Sales")</f>
        <v>Exclude from Completed Sales</v>
      </c>
      <c r="AE276" s="6">
        <f t="shared" si="73"/>
        <v>21658.221000000001</v>
      </c>
      <c r="AF276" s="6" t="str">
        <f t="shared" si="74"/>
        <v/>
      </c>
      <c r="AG276" s="6">
        <v>15490.69</v>
      </c>
      <c r="AH276" s="6">
        <v>6167.53</v>
      </c>
      <c r="AI276" s="6">
        <f t="shared" si="75"/>
        <v>6167.5310000000009</v>
      </c>
      <c r="AJ276" s="11">
        <f t="shared" si="76"/>
        <v>0.28476627881856043</v>
      </c>
      <c r="AK276" s="11" t="str">
        <f t="shared" si="77"/>
        <v>April</v>
      </c>
      <c r="AL276" s="12">
        <f t="shared" si="78"/>
        <v>2024</v>
      </c>
      <c r="AM276" s="6" t="s">
        <v>220</v>
      </c>
      <c r="AN276" s="6" t="s">
        <v>145</v>
      </c>
      <c r="AO276" s="6" t="str">
        <f t="shared" si="70"/>
        <v>Returned</v>
      </c>
    </row>
    <row r="277" spans="1:41">
      <c r="A277" s="6" t="s">
        <v>1443</v>
      </c>
      <c r="B277" s="7" t="s">
        <v>697</v>
      </c>
      <c r="C277" s="8">
        <v>45337</v>
      </c>
      <c r="D277" s="7" t="s">
        <v>1444</v>
      </c>
      <c r="E277" s="9">
        <v>45344</v>
      </c>
      <c r="F277" s="9" t="str">
        <f t="shared" si="63"/>
        <v>Valid</v>
      </c>
      <c r="G277" s="10">
        <f t="shared" si="64"/>
        <v>7</v>
      </c>
      <c r="H277" s="10" t="str">
        <f t="shared" si="65"/>
        <v>Valid</v>
      </c>
      <c r="I277" s="6" t="s">
        <v>1445</v>
      </c>
      <c r="J277" s="6" t="s">
        <v>162</v>
      </c>
      <c r="K277" s="6" t="s">
        <v>162</v>
      </c>
      <c r="L277" s="6" t="s">
        <v>61</v>
      </c>
      <c r="M277" s="7" t="str">
        <f t="shared" si="66"/>
        <v>Small Business</v>
      </c>
      <c r="N277" s="6" t="s">
        <v>62</v>
      </c>
      <c r="O277" s="7" t="str">
        <f t="shared" si="67"/>
        <v>East</v>
      </c>
      <c r="P277" s="6" t="s">
        <v>141</v>
      </c>
      <c r="Q277" s="6" t="s">
        <v>142</v>
      </c>
      <c r="R277" s="6" t="s">
        <v>65</v>
      </c>
      <c r="S277" s="7" t="str">
        <f t="shared" si="68"/>
        <v>Furniture</v>
      </c>
      <c r="T277" s="6" t="s">
        <v>85</v>
      </c>
      <c r="U277" s="6" t="s">
        <v>1446</v>
      </c>
      <c r="V277" s="6" t="s">
        <v>68</v>
      </c>
      <c r="W277" s="7" t="str">
        <f t="shared" si="69"/>
        <v>Same Day</v>
      </c>
      <c r="X277" s="6">
        <v>1</v>
      </c>
      <c r="Y277" s="6">
        <v>980.51</v>
      </c>
      <c r="Z277" s="6">
        <v>0</v>
      </c>
      <c r="AA277" s="6">
        <f t="shared" si="71"/>
        <v>0</v>
      </c>
      <c r="AB277" s="6" t="str">
        <f t="shared" si="72"/>
        <v>Valid</v>
      </c>
      <c r="AC277" s="6">
        <v>980.51</v>
      </c>
      <c r="AD277" s="6" t="str">
        <f>IF(OR(AO277="Cancelled",AM277="Failed"),"Exclude from Completed Sales","Include in Completed Sales")</f>
        <v>Include in Completed Sales</v>
      </c>
      <c r="AE277" s="6">
        <f t="shared" si="73"/>
        <v>980.51</v>
      </c>
      <c r="AF277" s="6" t="str">
        <f t="shared" si="74"/>
        <v/>
      </c>
      <c r="AG277" s="6">
        <v>660.92</v>
      </c>
      <c r="AH277" s="6">
        <v>319.58999999999997</v>
      </c>
      <c r="AI277" s="6">
        <f t="shared" si="75"/>
        <v>319.59000000000003</v>
      </c>
      <c r="AJ277" s="11">
        <f t="shared" si="76"/>
        <v>0.32594262169687205</v>
      </c>
      <c r="AK277" s="11" t="str">
        <f t="shared" si="77"/>
        <v>February</v>
      </c>
      <c r="AL277" s="12">
        <f t="shared" si="78"/>
        <v>2024</v>
      </c>
      <c r="AM277" s="6" t="s">
        <v>54</v>
      </c>
      <c r="AN277" s="6" t="s">
        <v>55</v>
      </c>
      <c r="AO277" s="6" t="str">
        <f t="shared" si="70"/>
        <v>Completed</v>
      </c>
    </row>
    <row r="278" spans="1:41">
      <c r="A278" s="6" t="s">
        <v>1447</v>
      </c>
      <c r="B278" s="7" t="s">
        <v>1078</v>
      </c>
      <c r="C278" s="8">
        <v>45313</v>
      </c>
      <c r="D278" s="7" t="s">
        <v>1448</v>
      </c>
      <c r="E278" s="9">
        <v>45314</v>
      </c>
      <c r="F278" s="9" t="str">
        <f t="shared" si="63"/>
        <v>Valid</v>
      </c>
      <c r="G278" s="10">
        <f t="shared" si="64"/>
        <v>1</v>
      </c>
      <c r="H278" s="10" t="str">
        <f t="shared" si="65"/>
        <v>Valid</v>
      </c>
      <c r="I278" s="6" t="s">
        <v>1449</v>
      </c>
      <c r="J278" s="6" t="s">
        <v>182</v>
      </c>
      <c r="K278" s="6" t="s">
        <v>182</v>
      </c>
      <c r="L278" s="6" t="s">
        <v>61</v>
      </c>
      <c r="M278" s="7" t="str">
        <f t="shared" si="66"/>
        <v>Small Business</v>
      </c>
      <c r="N278" s="6"/>
      <c r="O278" s="7" t="str">
        <f t="shared" si="67"/>
        <v>Unknown</v>
      </c>
      <c r="P278" s="6" t="s">
        <v>236</v>
      </c>
      <c r="Q278" s="6" t="s">
        <v>237</v>
      </c>
      <c r="R278" s="6" t="s">
        <v>65</v>
      </c>
      <c r="S278" s="7" t="str">
        <f t="shared" si="68"/>
        <v>Furniture</v>
      </c>
      <c r="T278" s="6" t="s">
        <v>96</v>
      </c>
      <c r="U278" s="6" t="s">
        <v>1450</v>
      </c>
      <c r="V278" s="6" t="s">
        <v>53</v>
      </c>
      <c r="W278" s="7" t="str">
        <f t="shared" si="69"/>
        <v>Second Class</v>
      </c>
      <c r="X278" s="6">
        <v>6</v>
      </c>
      <c r="Y278" s="6">
        <v>3391.53</v>
      </c>
      <c r="Z278" s="6">
        <v>-0.14000000000000001</v>
      </c>
      <c r="AA278" s="6">
        <f t="shared" si="71"/>
        <v>-0.14000000000000001</v>
      </c>
      <c r="AB278" s="6" t="str">
        <f t="shared" si="72"/>
        <v>Invalid - Negative Discount</v>
      </c>
      <c r="AC278" s="6">
        <v>15261.89</v>
      </c>
      <c r="AD278" s="6" t="str">
        <f>IF(OR(AO278="Cancelled",AM278="Failed"),"Exclude from Completed Sales","Include in Completed Sales")</f>
        <v>Include in Completed Sales</v>
      </c>
      <c r="AE278" s="6">
        <f t="shared" si="73"/>
        <v>23198.065200000005</v>
      </c>
      <c r="AF278" s="6" t="str">
        <f t="shared" si="74"/>
        <v/>
      </c>
      <c r="AG278" s="6">
        <v>8413.5300000000007</v>
      </c>
      <c r="AH278" s="6">
        <v>6848.36</v>
      </c>
      <c r="AI278" s="6">
        <f t="shared" si="75"/>
        <v>14784.535200000004</v>
      </c>
      <c r="AJ278" s="11">
        <f t="shared" si="76"/>
        <v>0.63731759836591895</v>
      </c>
      <c r="AK278" s="11" t="str">
        <f t="shared" si="77"/>
        <v>January</v>
      </c>
      <c r="AL278" s="12">
        <f t="shared" si="78"/>
        <v>2024</v>
      </c>
      <c r="AM278" s="6" t="s">
        <v>54</v>
      </c>
      <c r="AN278" s="6" t="s">
        <v>55</v>
      </c>
      <c r="AO278" s="6" t="str">
        <f t="shared" si="70"/>
        <v>Completed</v>
      </c>
    </row>
    <row r="279" spans="1:41">
      <c r="A279" s="6" t="s">
        <v>1451</v>
      </c>
      <c r="B279" s="7" t="s">
        <v>1452</v>
      </c>
      <c r="C279" s="8">
        <v>45812</v>
      </c>
      <c r="D279" s="7" t="s">
        <v>1452</v>
      </c>
      <c r="E279" s="9">
        <v>45812</v>
      </c>
      <c r="F279" s="9" t="str">
        <f t="shared" si="63"/>
        <v>Valid</v>
      </c>
      <c r="G279" s="10">
        <f t="shared" si="64"/>
        <v>0</v>
      </c>
      <c r="H279" s="10" t="str">
        <f t="shared" si="65"/>
        <v>Valid</v>
      </c>
      <c r="I279" s="6" t="s">
        <v>1226</v>
      </c>
      <c r="J279" s="6" t="s">
        <v>73</v>
      </c>
      <c r="K279" s="6" t="s">
        <v>73</v>
      </c>
      <c r="L279" s="6" t="s">
        <v>128</v>
      </c>
      <c r="M279" s="7" t="str">
        <f t="shared" si="66"/>
        <v>Corporate</v>
      </c>
      <c r="N279" s="6" t="s">
        <v>47</v>
      </c>
      <c r="O279" s="7" t="str">
        <f t="shared" si="67"/>
        <v>North</v>
      </c>
      <c r="P279" s="6" t="s">
        <v>343</v>
      </c>
      <c r="Q279" s="6" t="s">
        <v>344</v>
      </c>
      <c r="R279" s="6" t="s">
        <v>106</v>
      </c>
      <c r="S279" s="7" t="str">
        <f t="shared" si="68"/>
        <v>Technology</v>
      </c>
      <c r="T279" s="6" t="s">
        <v>107</v>
      </c>
      <c r="U279" s="6" t="s">
        <v>1453</v>
      </c>
      <c r="V279" s="6" t="s">
        <v>53</v>
      </c>
      <c r="W279" s="7" t="str">
        <f t="shared" si="69"/>
        <v>Second Class</v>
      </c>
      <c r="X279" s="6">
        <v>1</v>
      </c>
      <c r="Y279" s="6">
        <v>2133.73</v>
      </c>
      <c r="Z279" s="6">
        <v>0.15</v>
      </c>
      <c r="AA279" s="6">
        <f t="shared" si="71"/>
        <v>0.15</v>
      </c>
      <c r="AB279" s="6" t="str">
        <f t="shared" si="72"/>
        <v>Valid</v>
      </c>
      <c r="AC279" s="6">
        <v>2008.39</v>
      </c>
      <c r="AD279" s="6" t="str">
        <f>IF(OR(AO279="Cancelled",AM279="Failed"),"Exclude from Completed Sales","Include in Completed Sales")</f>
        <v>Exclude from Completed Sales</v>
      </c>
      <c r="AE279" s="6">
        <f t="shared" si="73"/>
        <v>1813.6704999999999</v>
      </c>
      <c r="AF279" s="6" t="str">
        <f t="shared" si="74"/>
        <v/>
      </c>
      <c r="AG279" s="6">
        <v>1002.57</v>
      </c>
      <c r="AH279" s="6">
        <v>811.1</v>
      </c>
      <c r="AI279" s="6">
        <f t="shared" si="75"/>
        <v>811.1004999999999</v>
      </c>
      <c r="AJ279" s="11">
        <f t="shared" si="76"/>
        <v>0.4472149158295291</v>
      </c>
      <c r="AK279" s="11" t="str">
        <f t="shared" si="77"/>
        <v>June</v>
      </c>
      <c r="AL279" s="12">
        <f t="shared" si="78"/>
        <v>2025</v>
      </c>
      <c r="AM279" s="6" t="s">
        <v>157</v>
      </c>
      <c r="AN279" s="6" t="s">
        <v>98</v>
      </c>
      <c r="AO279" s="6" t="str">
        <f t="shared" si="70"/>
        <v>Cancelled</v>
      </c>
    </row>
    <row r="280" spans="1:41">
      <c r="A280" s="6" t="s">
        <v>1454</v>
      </c>
      <c r="B280" s="7" t="s">
        <v>807</v>
      </c>
      <c r="C280" s="8">
        <v>45723</v>
      </c>
      <c r="D280" s="7" t="s">
        <v>1455</v>
      </c>
      <c r="E280" s="9">
        <v>45730</v>
      </c>
      <c r="F280" s="9" t="str">
        <f t="shared" si="63"/>
        <v>Valid</v>
      </c>
      <c r="G280" s="10">
        <f t="shared" si="64"/>
        <v>7</v>
      </c>
      <c r="H280" s="10" t="str">
        <f t="shared" si="65"/>
        <v>Valid</v>
      </c>
      <c r="I280" s="6" t="s">
        <v>1456</v>
      </c>
      <c r="J280" s="6" t="s">
        <v>162</v>
      </c>
      <c r="K280" s="6" t="s">
        <v>162</v>
      </c>
      <c r="L280" s="6" t="s">
        <v>61</v>
      </c>
      <c r="M280" s="7" t="str">
        <f t="shared" si="66"/>
        <v>Small Business</v>
      </c>
      <c r="N280" s="6" t="s">
        <v>47</v>
      </c>
      <c r="O280" s="7" t="str">
        <f t="shared" si="67"/>
        <v>North</v>
      </c>
      <c r="P280" s="6" t="s">
        <v>526</v>
      </c>
      <c r="Q280" s="6" t="s">
        <v>527</v>
      </c>
      <c r="R280" s="6" t="s">
        <v>106</v>
      </c>
      <c r="S280" s="7" t="str">
        <f t="shared" si="68"/>
        <v>Technology</v>
      </c>
      <c r="T280" s="6" t="s">
        <v>107</v>
      </c>
      <c r="U280" s="6" t="s">
        <v>1457</v>
      </c>
      <c r="V280" s="6" t="s">
        <v>68</v>
      </c>
      <c r="W280" s="7" t="str">
        <f t="shared" si="69"/>
        <v>Same Day</v>
      </c>
      <c r="X280" s="6">
        <v>1</v>
      </c>
      <c r="Y280" s="6">
        <v>3979.64</v>
      </c>
      <c r="Z280" s="6">
        <v>0.05</v>
      </c>
      <c r="AA280" s="6">
        <f t="shared" si="71"/>
        <v>0.05</v>
      </c>
      <c r="AB280" s="6" t="str">
        <f t="shared" si="72"/>
        <v>Valid</v>
      </c>
      <c r="AC280" s="6">
        <v>3780.66</v>
      </c>
      <c r="AD280" s="6" t="str">
        <f>IF(OR(AO280="Cancelled",AM280="Failed"),"Exclude from Completed Sales","Include in Completed Sales")</f>
        <v>Include in Completed Sales</v>
      </c>
      <c r="AE280" s="6">
        <f t="shared" si="73"/>
        <v>3780.6579999999999</v>
      </c>
      <c r="AF280" s="6" t="str">
        <f t="shared" si="74"/>
        <v/>
      </c>
      <c r="AG280" s="6">
        <v>2148.31</v>
      </c>
      <c r="AH280" s="6">
        <v>1632.35</v>
      </c>
      <c r="AI280" s="6">
        <f t="shared" si="75"/>
        <v>1632.348</v>
      </c>
      <c r="AJ280" s="11">
        <f t="shared" si="76"/>
        <v>0.43176293650470365</v>
      </c>
      <c r="AK280" s="11" t="str">
        <f t="shared" si="77"/>
        <v>March</v>
      </c>
      <c r="AL280" s="12">
        <f t="shared" si="78"/>
        <v>2025</v>
      </c>
      <c r="AM280" s="6" t="s">
        <v>54</v>
      </c>
      <c r="AN280" s="6" t="s">
        <v>145</v>
      </c>
      <c r="AO280" s="6" t="str">
        <f t="shared" si="70"/>
        <v>Returned</v>
      </c>
    </row>
    <row r="281" spans="1:41">
      <c r="A281" s="6" t="s">
        <v>1458</v>
      </c>
      <c r="B281" s="7" t="s">
        <v>1459</v>
      </c>
      <c r="C281" s="8">
        <v>45391</v>
      </c>
      <c r="D281" s="7" t="s">
        <v>1460</v>
      </c>
      <c r="E281" s="9">
        <v>45392</v>
      </c>
      <c r="F281" s="9" t="str">
        <f t="shared" si="63"/>
        <v>Valid</v>
      </c>
      <c r="G281" s="10">
        <f t="shared" si="64"/>
        <v>1</v>
      </c>
      <c r="H281" s="10" t="str">
        <f t="shared" si="65"/>
        <v>Valid</v>
      </c>
      <c r="I281" s="6" t="s">
        <v>1461</v>
      </c>
      <c r="J281" s="6" t="s">
        <v>200</v>
      </c>
      <c r="K281" s="6" t="s">
        <v>200</v>
      </c>
      <c r="L281" s="6" t="s">
        <v>61</v>
      </c>
      <c r="M281" s="7" t="str">
        <f t="shared" si="66"/>
        <v>Small Business</v>
      </c>
      <c r="N281" s="6" t="s">
        <v>93</v>
      </c>
      <c r="O281" s="7" t="str">
        <f t="shared" si="67"/>
        <v>West</v>
      </c>
      <c r="P281" s="6" t="s">
        <v>94</v>
      </c>
      <c r="Q281" s="6" t="s">
        <v>95</v>
      </c>
      <c r="R281" s="6" t="s">
        <v>50</v>
      </c>
      <c r="S281" s="7" t="str">
        <f t="shared" si="68"/>
        <v>Office Supplies</v>
      </c>
      <c r="T281" s="6" t="s">
        <v>176</v>
      </c>
      <c r="U281" s="6" t="s">
        <v>1462</v>
      </c>
      <c r="V281" s="6" t="s">
        <v>76</v>
      </c>
      <c r="W281" s="7" t="str">
        <f t="shared" si="69"/>
        <v>First Class</v>
      </c>
      <c r="X281" s="6">
        <v>1</v>
      </c>
      <c r="Y281" s="6">
        <v>4359.12</v>
      </c>
      <c r="Z281" s="6">
        <v>0.05</v>
      </c>
      <c r="AA281" s="6">
        <f t="shared" si="71"/>
        <v>0.05</v>
      </c>
      <c r="AB281" s="6" t="str">
        <f t="shared" si="72"/>
        <v>Valid</v>
      </c>
      <c r="AC281" s="6">
        <v>4141.16</v>
      </c>
      <c r="AD281" s="6" t="str">
        <f>IF(OR(AO281="Cancelled",AM281="Failed"),"Exclude from Completed Sales","Include in Completed Sales")</f>
        <v>Include in Completed Sales</v>
      </c>
      <c r="AE281" s="6">
        <f t="shared" si="73"/>
        <v>4141.1639999999998</v>
      </c>
      <c r="AF281" s="6" t="str">
        <f t="shared" si="74"/>
        <v/>
      </c>
      <c r="AG281" s="6">
        <v>2754.17</v>
      </c>
      <c r="AH281" s="6">
        <v>1386.99</v>
      </c>
      <c r="AI281" s="6">
        <f t="shared" si="75"/>
        <v>1386.9939999999997</v>
      </c>
      <c r="AJ281" s="11">
        <f t="shared" si="76"/>
        <v>0.33492853700070796</v>
      </c>
      <c r="AK281" s="11" t="str">
        <f t="shared" si="77"/>
        <v>April</v>
      </c>
      <c r="AL281" s="12">
        <f t="shared" si="78"/>
        <v>2024</v>
      </c>
      <c r="AM281" s="6" t="s">
        <v>54</v>
      </c>
      <c r="AN281" s="6" t="s">
        <v>55</v>
      </c>
      <c r="AO281" s="6" t="str">
        <f t="shared" si="70"/>
        <v>Completed</v>
      </c>
    </row>
    <row r="282" spans="1:41">
      <c r="A282" s="6" t="s">
        <v>1463</v>
      </c>
      <c r="B282" s="7" t="s">
        <v>1464</v>
      </c>
      <c r="C282" s="8">
        <v>45649</v>
      </c>
      <c r="D282" s="7" t="s">
        <v>1465</v>
      </c>
      <c r="E282" s="9">
        <v>45652</v>
      </c>
      <c r="F282" s="9" t="str">
        <f t="shared" si="63"/>
        <v>Valid</v>
      </c>
      <c r="G282" s="10">
        <f t="shared" si="64"/>
        <v>3</v>
      </c>
      <c r="H282" s="10" t="str">
        <f t="shared" si="65"/>
        <v>Valid</v>
      </c>
      <c r="I282" s="6" t="s">
        <v>1466</v>
      </c>
      <c r="J282" s="6" t="s">
        <v>127</v>
      </c>
      <c r="K282" s="6" t="s">
        <v>127</v>
      </c>
      <c r="L282" s="6" t="s">
        <v>46</v>
      </c>
      <c r="M282" s="7" t="str">
        <f t="shared" si="66"/>
        <v>Consumer</v>
      </c>
      <c r="N282" s="6" t="s">
        <v>82</v>
      </c>
      <c r="O282" s="7" t="str">
        <f t="shared" si="67"/>
        <v>South</v>
      </c>
      <c r="P282" s="6" t="s">
        <v>249</v>
      </c>
      <c r="Q282" s="6" t="s">
        <v>250</v>
      </c>
      <c r="R282" s="6" t="s">
        <v>106</v>
      </c>
      <c r="S282" s="7" t="str">
        <f t="shared" si="68"/>
        <v>Technology</v>
      </c>
      <c r="T282" s="6" t="s">
        <v>114</v>
      </c>
      <c r="U282" s="6" t="s">
        <v>1467</v>
      </c>
      <c r="V282" s="6" t="s">
        <v>87</v>
      </c>
      <c r="W282" s="7" t="str">
        <f t="shared" si="69"/>
        <v>Standard Class</v>
      </c>
      <c r="X282" s="6">
        <v>9</v>
      </c>
      <c r="Y282" s="6">
        <v>993.67</v>
      </c>
      <c r="Z282" s="6">
        <v>0</v>
      </c>
      <c r="AA282" s="6">
        <f t="shared" si="71"/>
        <v>0</v>
      </c>
      <c r="AB282" s="6" t="str">
        <f t="shared" si="72"/>
        <v>Valid</v>
      </c>
      <c r="AC282" s="6">
        <v>8943.0300000000007</v>
      </c>
      <c r="AD282" s="6" t="str">
        <f>IF(OR(AO282="Cancelled",AM282="Failed"),"Exclude from Completed Sales","Include in Completed Sales")</f>
        <v>Include in Completed Sales</v>
      </c>
      <c r="AE282" s="6">
        <f t="shared" si="73"/>
        <v>8943.0299999999988</v>
      </c>
      <c r="AF282" s="6" t="str">
        <f t="shared" si="74"/>
        <v/>
      </c>
      <c r="AG282" s="6">
        <v>5165.38</v>
      </c>
      <c r="AH282" s="6">
        <v>3777.65</v>
      </c>
      <c r="AI282" s="6">
        <f t="shared" si="75"/>
        <v>3777.6499999999987</v>
      </c>
      <c r="AJ282" s="11">
        <f t="shared" si="76"/>
        <v>0.42241276167026154</v>
      </c>
      <c r="AK282" s="11" t="str">
        <f t="shared" si="77"/>
        <v>December</v>
      </c>
      <c r="AL282" s="12">
        <f t="shared" si="78"/>
        <v>2024</v>
      </c>
      <c r="AM282" s="6" t="s">
        <v>54</v>
      </c>
      <c r="AN282" s="6" t="s">
        <v>55</v>
      </c>
      <c r="AO282" s="6" t="str">
        <f t="shared" si="70"/>
        <v>Completed</v>
      </c>
    </row>
    <row r="283" spans="1:41">
      <c r="A283" s="6" t="s">
        <v>1468</v>
      </c>
      <c r="B283" s="7" t="s">
        <v>1469</v>
      </c>
      <c r="C283" s="8">
        <v>45863</v>
      </c>
      <c r="D283" s="7" t="s">
        <v>1470</v>
      </c>
      <c r="E283" s="9">
        <v>45865</v>
      </c>
      <c r="F283" s="9" t="str">
        <f t="shared" si="63"/>
        <v>Valid</v>
      </c>
      <c r="G283" s="10">
        <f t="shared" si="64"/>
        <v>2</v>
      </c>
      <c r="H283" s="10" t="str">
        <f t="shared" si="65"/>
        <v>Valid</v>
      </c>
      <c r="I283" s="6" t="s">
        <v>1471</v>
      </c>
      <c r="J283" s="6" t="s">
        <v>386</v>
      </c>
      <c r="K283" s="6" t="s">
        <v>386</v>
      </c>
      <c r="L283" s="6" t="s">
        <v>46</v>
      </c>
      <c r="M283" s="7" t="str">
        <f t="shared" si="66"/>
        <v>Consumer</v>
      </c>
      <c r="N283" s="6" t="s">
        <v>62</v>
      </c>
      <c r="O283" s="7" t="str">
        <f t="shared" si="67"/>
        <v>East</v>
      </c>
      <c r="P283" s="6" t="s">
        <v>331</v>
      </c>
      <c r="Q283" s="6" t="s">
        <v>332</v>
      </c>
      <c r="R283" s="6" t="s">
        <v>50</v>
      </c>
      <c r="S283" s="7" t="str">
        <f t="shared" si="68"/>
        <v>Office Supplies</v>
      </c>
      <c r="T283" s="6" t="s">
        <v>218</v>
      </c>
      <c r="U283" s="6" t="s">
        <v>1472</v>
      </c>
      <c r="V283" s="6" t="s">
        <v>53</v>
      </c>
      <c r="W283" s="7" t="str">
        <f t="shared" si="69"/>
        <v>Second Class</v>
      </c>
      <c r="X283" s="6">
        <v>6</v>
      </c>
      <c r="Y283" s="6">
        <v>3438.38</v>
      </c>
      <c r="Z283" s="6">
        <v>0.2</v>
      </c>
      <c r="AA283" s="6">
        <f t="shared" si="71"/>
        <v>0.2</v>
      </c>
      <c r="AB283" s="6" t="str">
        <f t="shared" si="72"/>
        <v>Valid</v>
      </c>
      <c r="AC283" s="6">
        <v>16504.22</v>
      </c>
      <c r="AD283" s="6" t="str">
        <f>IF(OR(AO283="Cancelled",AM283="Failed"),"Exclude from Completed Sales","Include in Completed Sales")</f>
        <v>Include in Completed Sales</v>
      </c>
      <c r="AE283" s="6">
        <f t="shared" si="73"/>
        <v>16504.223999999998</v>
      </c>
      <c r="AF283" s="6" t="str">
        <f t="shared" si="74"/>
        <v/>
      </c>
      <c r="AG283" s="6">
        <v>11262.71</v>
      </c>
      <c r="AH283" s="6">
        <v>5241.51</v>
      </c>
      <c r="AI283" s="6">
        <f t="shared" si="75"/>
        <v>5241.5139999999992</v>
      </c>
      <c r="AJ283" s="11">
        <f t="shared" si="76"/>
        <v>0.31758621308096641</v>
      </c>
      <c r="AK283" s="11" t="str">
        <f t="shared" si="77"/>
        <v>July</v>
      </c>
      <c r="AL283" s="12">
        <f t="shared" si="78"/>
        <v>2025</v>
      </c>
      <c r="AM283" s="6" t="s">
        <v>54</v>
      </c>
      <c r="AN283" s="6" t="s">
        <v>55</v>
      </c>
      <c r="AO283" s="6" t="str">
        <f t="shared" si="70"/>
        <v>Completed</v>
      </c>
    </row>
    <row r="284" spans="1:41">
      <c r="A284" s="6" t="s">
        <v>1473</v>
      </c>
      <c r="B284" s="7" t="s">
        <v>1474</v>
      </c>
      <c r="C284" s="8">
        <v>45566</v>
      </c>
      <c r="D284" s="7" t="s">
        <v>1475</v>
      </c>
      <c r="E284" s="9">
        <v>45567</v>
      </c>
      <c r="F284" s="9" t="str">
        <f t="shared" si="63"/>
        <v>Valid</v>
      </c>
      <c r="G284" s="10">
        <f t="shared" si="64"/>
        <v>1</v>
      </c>
      <c r="H284" s="10" t="str">
        <f t="shared" si="65"/>
        <v>Valid</v>
      </c>
      <c r="I284" s="6" t="s">
        <v>1476</v>
      </c>
      <c r="J284" s="6" t="s">
        <v>45</v>
      </c>
      <c r="K284" s="6" t="s">
        <v>45</v>
      </c>
      <c r="L284" s="6" t="s">
        <v>135</v>
      </c>
      <c r="M284" s="7" t="str">
        <f t="shared" si="66"/>
        <v>Home Office</v>
      </c>
      <c r="N284" s="6" t="s">
        <v>62</v>
      </c>
      <c r="O284" s="7" t="str">
        <f t="shared" si="67"/>
        <v>East</v>
      </c>
      <c r="P284" s="6" t="s">
        <v>236</v>
      </c>
      <c r="Q284" s="6" t="s">
        <v>237</v>
      </c>
      <c r="R284" s="6" t="s">
        <v>65</v>
      </c>
      <c r="S284" s="7" t="str">
        <f t="shared" si="68"/>
        <v>Furniture</v>
      </c>
      <c r="T284" s="6" t="s">
        <v>66</v>
      </c>
      <c r="U284" s="6" t="s">
        <v>1477</v>
      </c>
      <c r="V284" s="6" t="s">
        <v>53</v>
      </c>
      <c r="W284" s="7" t="str">
        <f t="shared" si="69"/>
        <v>Second Class</v>
      </c>
      <c r="X284" s="6">
        <v>2</v>
      </c>
      <c r="Y284" s="6">
        <v>2298</v>
      </c>
      <c r="Z284" s="6">
        <v>0</v>
      </c>
      <c r="AA284" s="6">
        <f t="shared" si="71"/>
        <v>0</v>
      </c>
      <c r="AB284" s="6" t="str">
        <f t="shared" si="72"/>
        <v>Valid</v>
      </c>
      <c r="AC284" s="6">
        <v>4596</v>
      </c>
      <c r="AD284" s="6" t="str">
        <f>IF(OR(AO284="Cancelled",AM284="Failed"),"Exclude from Completed Sales","Include in Completed Sales")</f>
        <v>Include in Completed Sales</v>
      </c>
      <c r="AE284" s="6">
        <f t="shared" si="73"/>
        <v>4596</v>
      </c>
      <c r="AF284" s="6" t="str">
        <f t="shared" si="74"/>
        <v/>
      </c>
      <c r="AG284" s="6">
        <v>3220.33</v>
      </c>
      <c r="AH284" s="6">
        <v>1375.67</v>
      </c>
      <c r="AI284" s="6">
        <f t="shared" si="75"/>
        <v>1375.67</v>
      </c>
      <c r="AJ284" s="11">
        <f t="shared" si="76"/>
        <v>0.29931897302001742</v>
      </c>
      <c r="AK284" s="11" t="str">
        <f t="shared" si="77"/>
        <v>October</v>
      </c>
      <c r="AL284" s="12">
        <f t="shared" si="78"/>
        <v>2024</v>
      </c>
      <c r="AM284" s="6" t="s">
        <v>54</v>
      </c>
      <c r="AN284" s="6" t="s">
        <v>55</v>
      </c>
      <c r="AO284" s="6" t="str">
        <f t="shared" si="70"/>
        <v>Completed</v>
      </c>
    </row>
    <row r="285" spans="1:41">
      <c r="A285" s="6" t="s">
        <v>1478</v>
      </c>
      <c r="B285" s="7" t="s">
        <v>1479</v>
      </c>
      <c r="C285" s="8">
        <v>45729</v>
      </c>
      <c r="D285" s="7" t="s">
        <v>1480</v>
      </c>
      <c r="E285" s="9">
        <v>45736</v>
      </c>
      <c r="F285" s="9" t="str">
        <f t="shared" si="63"/>
        <v>Valid</v>
      </c>
      <c r="G285" s="10">
        <f t="shared" si="64"/>
        <v>7</v>
      </c>
      <c r="H285" s="10" t="str">
        <f t="shared" si="65"/>
        <v>Valid</v>
      </c>
      <c r="I285" s="6" t="s">
        <v>1481</v>
      </c>
      <c r="J285" s="6" t="s">
        <v>103</v>
      </c>
      <c r="K285" s="6" t="s">
        <v>103</v>
      </c>
      <c r="L285" s="6" t="s">
        <v>46</v>
      </c>
      <c r="M285" s="7" t="str">
        <f t="shared" si="66"/>
        <v>Consumer</v>
      </c>
      <c r="N285" s="6" t="s">
        <v>93</v>
      </c>
      <c r="O285" s="7" t="str">
        <f t="shared" si="67"/>
        <v>West</v>
      </c>
      <c r="P285" s="6" t="s">
        <v>94</v>
      </c>
      <c r="Q285" s="6" t="s">
        <v>95</v>
      </c>
      <c r="R285" s="6" t="s">
        <v>65</v>
      </c>
      <c r="S285" s="7" t="str">
        <f t="shared" si="68"/>
        <v>Furniture</v>
      </c>
      <c r="T285" s="6" t="s">
        <v>85</v>
      </c>
      <c r="U285" s="6" t="s">
        <v>1482</v>
      </c>
      <c r="V285" s="6" t="s">
        <v>76</v>
      </c>
      <c r="W285" s="7" t="str">
        <f t="shared" si="69"/>
        <v>First Class</v>
      </c>
      <c r="X285" s="6">
        <v>1</v>
      </c>
      <c r="Y285" s="6">
        <v>1814.01</v>
      </c>
      <c r="Z285" s="6">
        <v>0</v>
      </c>
      <c r="AA285" s="6">
        <f t="shared" si="71"/>
        <v>0</v>
      </c>
      <c r="AB285" s="6" t="str">
        <f t="shared" si="72"/>
        <v>Valid</v>
      </c>
      <c r="AC285" s="6">
        <v>1814.01</v>
      </c>
      <c r="AD285" s="6" t="str">
        <f>IF(OR(AO285="Cancelled",AM285="Failed"),"Exclude from Completed Sales","Include in Completed Sales")</f>
        <v>Include in Completed Sales</v>
      </c>
      <c r="AE285" s="6">
        <f t="shared" si="73"/>
        <v>1814.01</v>
      </c>
      <c r="AF285" s="6" t="str">
        <f t="shared" si="74"/>
        <v/>
      </c>
      <c r="AG285" s="6">
        <v>1033.47</v>
      </c>
      <c r="AH285" s="6">
        <v>780.54</v>
      </c>
      <c r="AI285" s="6">
        <f t="shared" si="75"/>
        <v>780.54</v>
      </c>
      <c r="AJ285" s="11">
        <f t="shared" si="76"/>
        <v>0.43028428729720342</v>
      </c>
      <c r="AK285" s="11" t="str">
        <f t="shared" si="77"/>
        <v>March</v>
      </c>
      <c r="AL285" s="12">
        <f t="shared" si="78"/>
        <v>2025</v>
      </c>
      <c r="AM285" s="6" t="s">
        <v>54</v>
      </c>
      <c r="AN285" s="6" t="s">
        <v>55</v>
      </c>
      <c r="AO285" s="6" t="str">
        <f t="shared" si="70"/>
        <v>Completed</v>
      </c>
    </row>
    <row r="286" spans="1:41">
      <c r="A286" s="6" t="s">
        <v>1483</v>
      </c>
      <c r="B286" s="7" t="s">
        <v>1484</v>
      </c>
      <c r="C286" s="8">
        <v>45634</v>
      </c>
      <c r="D286" s="7" t="s">
        <v>1485</v>
      </c>
      <c r="E286" s="9">
        <v>45640</v>
      </c>
      <c r="F286" s="9" t="str">
        <f t="shared" si="63"/>
        <v>Valid</v>
      </c>
      <c r="G286" s="10">
        <f t="shared" si="64"/>
        <v>6</v>
      </c>
      <c r="H286" s="10" t="str">
        <f t="shared" si="65"/>
        <v>Valid</v>
      </c>
      <c r="I286" s="6" t="s">
        <v>1486</v>
      </c>
      <c r="J286" s="6" t="s">
        <v>45</v>
      </c>
      <c r="K286" s="6" t="s">
        <v>45</v>
      </c>
      <c r="L286" s="6" t="s">
        <v>46</v>
      </c>
      <c r="M286" s="7" t="str">
        <f t="shared" si="66"/>
        <v>Consumer</v>
      </c>
      <c r="N286" s="6" t="s">
        <v>62</v>
      </c>
      <c r="O286" s="7" t="str">
        <f t="shared" si="67"/>
        <v>East</v>
      </c>
      <c r="P286" s="6" t="s">
        <v>63</v>
      </c>
      <c r="Q286" s="6" t="s">
        <v>64</v>
      </c>
      <c r="R286" s="6" t="s">
        <v>65</v>
      </c>
      <c r="S286" s="7" t="str">
        <f t="shared" si="68"/>
        <v>Furniture</v>
      </c>
      <c r="T286" s="6" t="s">
        <v>66</v>
      </c>
      <c r="U286" s="6" t="s">
        <v>1487</v>
      </c>
      <c r="V286" s="6" t="s">
        <v>68</v>
      </c>
      <c r="W286" s="7" t="str">
        <f t="shared" si="69"/>
        <v>Same Day</v>
      </c>
      <c r="X286" s="6">
        <v>3</v>
      </c>
      <c r="Y286" s="6">
        <v>1576.92</v>
      </c>
      <c r="Z286" s="6">
        <v>0</v>
      </c>
      <c r="AA286" s="6">
        <f t="shared" si="71"/>
        <v>0</v>
      </c>
      <c r="AB286" s="6" t="str">
        <f t="shared" si="72"/>
        <v>Valid</v>
      </c>
      <c r="AC286" s="6">
        <v>4730.76</v>
      </c>
      <c r="AD286" s="6" t="str">
        <f>IF(OR(AO286="Cancelled",AM286="Failed"),"Exclude from Completed Sales","Include in Completed Sales")</f>
        <v>Include in Completed Sales</v>
      </c>
      <c r="AE286" s="6">
        <f t="shared" si="73"/>
        <v>4730.76</v>
      </c>
      <c r="AF286" s="6" t="str">
        <f t="shared" si="74"/>
        <v/>
      </c>
      <c r="AG286" s="6">
        <v>3139.73</v>
      </c>
      <c r="AH286" s="6">
        <v>1591.03</v>
      </c>
      <c r="AI286" s="6">
        <f t="shared" si="75"/>
        <v>1591.0300000000002</v>
      </c>
      <c r="AJ286" s="11">
        <f t="shared" si="76"/>
        <v>0.33631594077907145</v>
      </c>
      <c r="AK286" s="11" t="str">
        <f t="shared" si="77"/>
        <v>December</v>
      </c>
      <c r="AL286" s="12">
        <f t="shared" si="78"/>
        <v>2024</v>
      </c>
      <c r="AM286" s="6" t="s">
        <v>54</v>
      </c>
      <c r="AN286" s="6" t="s">
        <v>145</v>
      </c>
      <c r="AO286" s="6" t="str">
        <f t="shared" si="70"/>
        <v>Returned</v>
      </c>
    </row>
    <row r="287" spans="1:41">
      <c r="A287" s="6" t="s">
        <v>1488</v>
      </c>
      <c r="B287" s="7" t="s">
        <v>1489</v>
      </c>
      <c r="C287" s="8">
        <v>45884</v>
      </c>
      <c r="D287" s="7" t="s">
        <v>1490</v>
      </c>
      <c r="E287" s="9">
        <v>45889</v>
      </c>
      <c r="F287" s="9" t="str">
        <f t="shared" si="63"/>
        <v>Valid</v>
      </c>
      <c r="G287" s="10">
        <f t="shared" si="64"/>
        <v>5</v>
      </c>
      <c r="H287" s="10" t="str">
        <f t="shared" si="65"/>
        <v>Valid</v>
      </c>
      <c r="I287" s="6" t="s">
        <v>1491</v>
      </c>
      <c r="J287" s="6" t="s">
        <v>113</v>
      </c>
      <c r="K287" s="6" t="s">
        <v>113</v>
      </c>
      <c r="L287" s="6" t="s">
        <v>135</v>
      </c>
      <c r="M287" s="7" t="str">
        <f t="shared" si="66"/>
        <v>Home Office</v>
      </c>
      <c r="N287" s="6" t="s">
        <v>47</v>
      </c>
      <c r="O287" s="7" t="str">
        <f t="shared" si="67"/>
        <v>North</v>
      </c>
      <c r="P287" s="6" t="s">
        <v>48</v>
      </c>
      <c r="Q287" s="6" t="s">
        <v>49</v>
      </c>
      <c r="R287" s="6" t="s">
        <v>50</v>
      </c>
      <c r="S287" s="7" t="str">
        <f t="shared" si="68"/>
        <v>Office Supplies</v>
      </c>
      <c r="T287" s="6" t="s">
        <v>176</v>
      </c>
      <c r="U287" s="6" t="s">
        <v>1492</v>
      </c>
      <c r="V287" s="6" t="s">
        <v>87</v>
      </c>
      <c r="W287" s="7" t="str">
        <f t="shared" si="69"/>
        <v>Standard Class</v>
      </c>
      <c r="X287" s="6">
        <v>9</v>
      </c>
      <c r="Y287" s="6">
        <v>4081.77</v>
      </c>
      <c r="Z287" s="6">
        <v>0</v>
      </c>
      <c r="AA287" s="6">
        <f t="shared" si="71"/>
        <v>0</v>
      </c>
      <c r="AB287" s="6" t="str">
        <f t="shared" si="72"/>
        <v>Valid</v>
      </c>
      <c r="AC287" s="6">
        <v>36735.93</v>
      </c>
      <c r="AD287" s="6" t="str">
        <f>IF(OR(AO287="Cancelled",AM287="Failed"),"Exclude from Completed Sales","Include in Completed Sales")</f>
        <v>Include in Completed Sales</v>
      </c>
      <c r="AE287" s="6">
        <f t="shared" si="73"/>
        <v>36735.93</v>
      </c>
      <c r="AF287" s="6" t="str">
        <f t="shared" si="74"/>
        <v/>
      </c>
      <c r="AG287" s="6">
        <v>30820.84</v>
      </c>
      <c r="AH287" s="6">
        <v>5915.09</v>
      </c>
      <c r="AI287" s="6">
        <f t="shared" si="75"/>
        <v>5915.09</v>
      </c>
      <c r="AJ287" s="11">
        <f t="shared" si="76"/>
        <v>0.16101647624001897</v>
      </c>
      <c r="AK287" s="11" t="str">
        <f t="shared" si="77"/>
        <v>August</v>
      </c>
      <c r="AL287" s="12">
        <f t="shared" si="78"/>
        <v>2025</v>
      </c>
      <c r="AM287" s="6" t="s">
        <v>54</v>
      </c>
      <c r="AN287" s="6" t="s">
        <v>55</v>
      </c>
      <c r="AO287" s="6" t="str">
        <f t="shared" si="70"/>
        <v>Completed</v>
      </c>
    </row>
    <row r="288" spans="1:41">
      <c r="A288" s="6" t="s">
        <v>1493</v>
      </c>
      <c r="B288" s="7" t="s">
        <v>1494</v>
      </c>
      <c r="C288" s="8">
        <v>45350</v>
      </c>
      <c r="D288" s="7" t="s">
        <v>1495</v>
      </c>
      <c r="E288" s="9">
        <v>45353</v>
      </c>
      <c r="F288" s="9" t="str">
        <f t="shared" si="63"/>
        <v>Valid</v>
      </c>
      <c r="G288" s="10">
        <f t="shared" si="64"/>
        <v>3</v>
      </c>
      <c r="H288" s="10" t="str">
        <f t="shared" si="65"/>
        <v>Valid</v>
      </c>
      <c r="I288" s="6" t="s">
        <v>1496</v>
      </c>
      <c r="J288" s="6" t="s">
        <v>162</v>
      </c>
      <c r="K288" s="6" t="s">
        <v>162</v>
      </c>
      <c r="L288" s="6" t="s">
        <v>61</v>
      </c>
      <c r="M288" s="7" t="str">
        <f t="shared" si="66"/>
        <v>Small Business</v>
      </c>
      <c r="N288" s="6" t="s">
        <v>47</v>
      </c>
      <c r="O288" s="7" t="str">
        <f t="shared" si="67"/>
        <v>North</v>
      </c>
      <c r="P288" s="6" t="s">
        <v>526</v>
      </c>
      <c r="Q288" s="6" t="s">
        <v>527</v>
      </c>
      <c r="R288" s="6" t="s">
        <v>65</v>
      </c>
      <c r="S288" s="7" t="str">
        <f t="shared" si="68"/>
        <v>Furniture</v>
      </c>
      <c r="T288" s="6" t="s">
        <v>85</v>
      </c>
      <c r="U288" s="6" t="s">
        <v>1497</v>
      </c>
      <c r="V288" s="6" t="s">
        <v>76</v>
      </c>
      <c r="W288" s="7" t="str">
        <f t="shared" si="69"/>
        <v>First Class</v>
      </c>
      <c r="X288" s="6">
        <v>7</v>
      </c>
      <c r="Y288" s="6">
        <v>701.8</v>
      </c>
      <c r="Z288" s="6">
        <v>0.1</v>
      </c>
      <c r="AA288" s="6">
        <f t="shared" si="71"/>
        <v>0.1</v>
      </c>
      <c r="AB288" s="6" t="str">
        <f t="shared" si="72"/>
        <v>Valid</v>
      </c>
      <c r="AC288" s="6">
        <v>4421.34</v>
      </c>
      <c r="AD288" s="6" t="str">
        <f>IF(OR(AO288="Cancelled",AM288="Failed"),"Exclude from Completed Sales","Include in Completed Sales")</f>
        <v>Include in Completed Sales</v>
      </c>
      <c r="AE288" s="6">
        <f t="shared" si="73"/>
        <v>4421.3399999999992</v>
      </c>
      <c r="AF288" s="6" t="str">
        <f t="shared" si="74"/>
        <v/>
      </c>
      <c r="AG288" s="6">
        <v>2489.98</v>
      </c>
      <c r="AH288" s="6">
        <v>1931.36</v>
      </c>
      <c r="AI288" s="6">
        <f t="shared" si="75"/>
        <v>1931.3599999999992</v>
      </c>
      <c r="AJ288" s="11">
        <f t="shared" si="76"/>
        <v>0.43682684435035524</v>
      </c>
      <c r="AK288" s="11" t="str">
        <f t="shared" si="77"/>
        <v>February</v>
      </c>
      <c r="AL288" s="12">
        <f t="shared" si="78"/>
        <v>2024</v>
      </c>
      <c r="AM288" s="6" t="s">
        <v>157</v>
      </c>
      <c r="AN288" s="6" t="s">
        <v>145</v>
      </c>
      <c r="AO288" s="6" t="str">
        <f t="shared" si="70"/>
        <v>Returned</v>
      </c>
    </row>
    <row r="289" spans="1:41">
      <c r="A289" s="6" t="s">
        <v>1498</v>
      </c>
      <c r="B289" s="7" t="s">
        <v>1499</v>
      </c>
      <c r="C289" s="8">
        <v>45540</v>
      </c>
      <c r="D289" s="7" t="s">
        <v>1500</v>
      </c>
      <c r="E289" s="9">
        <v>45542</v>
      </c>
      <c r="F289" s="9" t="str">
        <f t="shared" si="63"/>
        <v>Valid</v>
      </c>
      <c r="G289" s="10">
        <f t="shared" si="64"/>
        <v>2</v>
      </c>
      <c r="H289" s="10" t="str">
        <f t="shared" si="65"/>
        <v>Valid</v>
      </c>
      <c r="I289" s="6" t="s">
        <v>1501</v>
      </c>
      <c r="J289" s="6" t="s">
        <v>113</v>
      </c>
      <c r="K289" s="6" t="s">
        <v>113</v>
      </c>
      <c r="L289" s="6" t="s">
        <v>61</v>
      </c>
      <c r="M289" s="7" t="str">
        <f t="shared" si="66"/>
        <v>Small Business</v>
      </c>
      <c r="N289" s="6" t="s">
        <v>82</v>
      </c>
      <c r="O289" s="7" t="str">
        <f t="shared" si="67"/>
        <v>South</v>
      </c>
      <c r="P289" s="6" t="s">
        <v>359</v>
      </c>
      <c r="Q289" s="6" t="s">
        <v>360</v>
      </c>
      <c r="R289" s="6" t="s">
        <v>106</v>
      </c>
      <c r="S289" s="7" t="str">
        <f t="shared" si="68"/>
        <v>Technology</v>
      </c>
      <c r="T289" s="6" t="s">
        <v>114</v>
      </c>
      <c r="U289" s="6" t="s">
        <v>1502</v>
      </c>
      <c r="V289" s="6" t="s">
        <v>87</v>
      </c>
      <c r="W289" s="7" t="str">
        <f t="shared" si="69"/>
        <v>Standard Class</v>
      </c>
      <c r="X289" s="6">
        <v>3</v>
      </c>
      <c r="Y289" s="6">
        <v>2555.66</v>
      </c>
      <c r="Z289" s="6">
        <v>0.15</v>
      </c>
      <c r="AA289" s="6">
        <f t="shared" si="71"/>
        <v>0.15</v>
      </c>
      <c r="AB289" s="6" t="str">
        <f t="shared" si="72"/>
        <v>Valid</v>
      </c>
      <c r="AC289" s="6">
        <v>6516.93</v>
      </c>
      <c r="AD289" s="6" t="str">
        <f>IF(OR(AO289="Cancelled",AM289="Failed"),"Exclude from Completed Sales","Include in Completed Sales")</f>
        <v>Exclude from Completed Sales</v>
      </c>
      <c r="AE289" s="6">
        <f t="shared" si="73"/>
        <v>6516.9329999999991</v>
      </c>
      <c r="AF289" s="6" t="str">
        <f t="shared" si="74"/>
        <v/>
      </c>
      <c r="AG289" s="6">
        <v>4511.54</v>
      </c>
      <c r="AH289" s="6">
        <v>2005.39</v>
      </c>
      <c r="AI289" s="6">
        <f t="shared" si="75"/>
        <v>2005.3929999999991</v>
      </c>
      <c r="AJ289" s="11">
        <f t="shared" si="76"/>
        <v>0.30772036477895343</v>
      </c>
      <c r="AK289" s="11" t="str">
        <f t="shared" si="77"/>
        <v>September</v>
      </c>
      <c r="AL289" s="12">
        <f t="shared" si="78"/>
        <v>2024</v>
      </c>
      <c r="AM289" s="6" t="s">
        <v>54</v>
      </c>
      <c r="AN289" s="6" t="s">
        <v>98</v>
      </c>
      <c r="AO289" s="6" t="str">
        <f t="shared" si="70"/>
        <v>Cancelled</v>
      </c>
    </row>
    <row r="290" spans="1:41">
      <c r="A290" s="6" t="s">
        <v>1503</v>
      </c>
      <c r="B290" s="7" t="s">
        <v>1504</v>
      </c>
      <c r="C290" s="8">
        <v>45467</v>
      </c>
      <c r="D290" s="7" t="s">
        <v>1504</v>
      </c>
      <c r="E290" s="9">
        <v>45467</v>
      </c>
      <c r="F290" s="9" t="str">
        <f t="shared" si="63"/>
        <v>Valid</v>
      </c>
      <c r="G290" s="10">
        <f t="shared" si="64"/>
        <v>0</v>
      </c>
      <c r="H290" s="10" t="str">
        <f t="shared" si="65"/>
        <v>Valid</v>
      </c>
      <c r="I290" s="6" t="s">
        <v>1505</v>
      </c>
      <c r="J290" s="6" t="s">
        <v>200</v>
      </c>
      <c r="K290" s="6" t="s">
        <v>200</v>
      </c>
      <c r="L290" s="6" t="s">
        <v>61</v>
      </c>
      <c r="M290" s="7" t="str">
        <f t="shared" si="66"/>
        <v>Small Business</v>
      </c>
      <c r="N290" s="6" t="s">
        <v>62</v>
      </c>
      <c r="O290" s="7" t="str">
        <f t="shared" si="67"/>
        <v>East</v>
      </c>
      <c r="P290" s="6" t="s">
        <v>206</v>
      </c>
      <c r="Q290" s="6" t="s">
        <v>207</v>
      </c>
      <c r="R290" s="6" t="s">
        <v>50</v>
      </c>
      <c r="S290" s="7" t="str">
        <f t="shared" si="68"/>
        <v>Office Supplies</v>
      </c>
      <c r="T290" s="6" t="s">
        <v>218</v>
      </c>
      <c r="U290" s="6" t="s">
        <v>1506</v>
      </c>
      <c r="V290" s="6" t="s">
        <v>68</v>
      </c>
      <c r="W290" s="7" t="str">
        <f t="shared" si="69"/>
        <v>Same Day</v>
      </c>
      <c r="X290" s="6">
        <v>2</v>
      </c>
      <c r="Y290" s="6">
        <v>4359.8999999999996</v>
      </c>
      <c r="Z290" s="6">
        <v>0.15</v>
      </c>
      <c r="AA290" s="6">
        <f t="shared" si="71"/>
        <v>0.15</v>
      </c>
      <c r="AB290" s="6" t="str">
        <f t="shared" si="72"/>
        <v>Valid</v>
      </c>
      <c r="AC290" s="6">
        <v>7411.83</v>
      </c>
      <c r="AD290" s="6" t="str">
        <f>IF(OR(AO290="Cancelled",AM290="Failed"),"Exclude from Completed Sales","Include in Completed Sales")</f>
        <v>Include in Completed Sales</v>
      </c>
      <c r="AE290" s="6">
        <f t="shared" si="73"/>
        <v>7411.829999999999</v>
      </c>
      <c r="AF290" s="6" t="str">
        <f t="shared" si="74"/>
        <v/>
      </c>
      <c r="AG290" s="6">
        <v>4904.63</v>
      </c>
      <c r="AH290" s="6">
        <v>2507.1999999999998</v>
      </c>
      <c r="AI290" s="6">
        <f t="shared" si="75"/>
        <v>2507.1999999999989</v>
      </c>
      <c r="AJ290" s="11">
        <f t="shared" si="76"/>
        <v>0.3382700358750807</v>
      </c>
      <c r="AK290" s="11" t="str">
        <f t="shared" si="77"/>
        <v>June</v>
      </c>
      <c r="AL290" s="12">
        <f t="shared" si="78"/>
        <v>2024</v>
      </c>
      <c r="AM290" s="6" t="s">
        <v>54</v>
      </c>
      <c r="AN290" s="6" t="s">
        <v>55</v>
      </c>
      <c r="AO290" s="6" t="str">
        <f t="shared" si="70"/>
        <v>Completed</v>
      </c>
    </row>
    <row r="291" spans="1:41">
      <c r="A291" s="6" t="s">
        <v>1507</v>
      </c>
      <c r="B291" s="7" t="s">
        <v>274</v>
      </c>
      <c r="C291" s="8">
        <v>45827</v>
      </c>
      <c r="D291" s="7" t="s">
        <v>669</v>
      </c>
      <c r="E291" s="9">
        <v>45835</v>
      </c>
      <c r="F291" s="9" t="str">
        <f t="shared" si="63"/>
        <v>Valid</v>
      </c>
      <c r="G291" s="10">
        <f t="shared" si="64"/>
        <v>8</v>
      </c>
      <c r="H291" s="10" t="str">
        <f t="shared" si="65"/>
        <v>Valid</v>
      </c>
      <c r="I291" s="6" t="s">
        <v>1508</v>
      </c>
      <c r="J291" s="6" t="s">
        <v>45</v>
      </c>
      <c r="K291" s="6" t="s">
        <v>45</v>
      </c>
      <c r="L291" s="6" t="s">
        <v>135</v>
      </c>
      <c r="M291" s="7" t="str">
        <f t="shared" si="66"/>
        <v>Home Office</v>
      </c>
      <c r="N291" s="6" t="s">
        <v>82</v>
      </c>
      <c r="O291" s="7" t="str">
        <f t="shared" si="67"/>
        <v>South</v>
      </c>
      <c r="P291" s="6" t="s">
        <v>359</v>
      </c>
      <c r="Q291" s="6" t="s">
        <v>360</v>
      </c>
      <c r="R291" s="6" t="s">
        <v>65</v>
      </c>
      <c r="S291" s="7" t="str">
        <f t="shared" si="68"/>
        <v>Furniture</v>
      </c>
      <c r="T291" s="6" t="s">
        <v>224</v>
      </c>
      <c r="U291" s="6" t="s">
        <v>1509</v>
      </c>
      <c r="V291" s="6" t="s">
        <v>76</v>
      </c>
      <c r="W291" s="7" t="str">
        <f t="shared" si="69"/>
        <v>First Class</v>
      </c>
      <c r="X291" s="6">
        <v>2</v>
      </c>
      <c r="Y291" s="6">
        <v>4346.6899999999996</v>
      </c>
      <c r="Z291" s="6">
        <v>0.05</v>
      </c>
      <c r="AA291" s="6">
        <f t="shared" si="71"/>
        <v>0.05</v>
      </c>
      <c r="AB291" s="6" t="str">
        <f t="shared" si="72"/>
        <v>Valid</v>
      </c>
      <c r="AC291" s="6">
        <v>8258.7099999999991</v>
      </c>
      <c r="AD291" s="6" t="str">
        <f>IF(OR(AO291="Cancelled",AM291="Failed"),"Exclude from Completed Sales","Include in Completed Sales")</f>
        <v>Include in Completed Sales</v>
      </c>
      <c r="AE291" s="6">
        <f t="shared" si="73"/>
        <v>8258.7109999999993</v>
      </c>
      <c r="AF291" s="6" t="str">
        <f t="shared" si="74"/>
        <v/>
      </c>
      <c r="AG291" s="6">
        <v>7018.97</v>
      </c>
      <c r="AH291" s="6">
        <v>1239.74</v>
      </c>
      <c r="AI291" s="6">
        <f t="shared" si="75"/>
        <v>1239.7409999999991</v>
      </c>
      <c r="AJ291" s="11">
        <f t="shared" si="76"/>
        <v>0.15011313508851432</v>
      </c>
      <c r="AK291" s="11" t="str">
        <f t="shared" si="77"/>
        <v>June</v>
      </c>
      <c r="AL291" s="12">
        <f t="shared" si="78"/>
        <v>2025</v>
      </c>
      <c r="AM291" s="6" t="s">
        <v>54</v>
      </c>
      <c r="AN291" s="6" t="s">
        <v>55</v>
      </c>
      <c r="AO291" s="6" t="str">
        <f t="shared" si="70"/>
        <v>Completed</v>
      </c>
    </row>
    <row r="292" spans="1:41">
      <c r="A292" s="6" t="s">
        <v>1510</v>
      </c>
      <c r="B292" s="7" t="s">
        <v>1511</v>
      </c>
      <c r="C292" s="8">
        <v>45891</v>
      </c>
      <c r="D292" s="7" t="s">
        <v>1512</v>
      </c>
      <c r="E292" s="9">
        <v>45895</v>
      </c>
      <c r="F292" s="9" t="str">
        <f t="shared" si="63"/>
        <v>Valid</v>
      </c>
      <c r="G292" s="10">
        <f t="shared" si="64"/>
        <v>4</v>
      </c>
      <c r="H292" s="10" t="str">
        <f t="shared" si="65"/>
        <v>Valid</v>
      </c>
      <c r="I292" s="6" t="s">
        <v>1513</v>
      </c>
      <c r="J292" s="6" t="s">
        <v>230</v>
      </c>
      <c r="K292" s="6" t="s">
        <v>230</v>
      </c>
      <c r="L292" s="6" t="s">
        <v>135</v>
      </c>
      <c r="M292" s="7" t="str">
        <f t="shared" si="66"/>
        <v>Home Office</v>
      </c>
      <c r="N292" s="6" t="s">
        <v>62</v>
      </c>
      <c r="O292" s="7" t="str">
        <f t="shared" si="67"/>
        <v>East</v>
      </c>
      <c r="P292" s="6" t="s">
        <v>331</v>
      </c>
      <c r="Q292" s="6" t="s">
        <v>332</v>
      </c>
      <c r="R292" s="6" t="s">
        <v>65</v>
      </c>
      <c r="S292" s="7" t="str">
        <f t="shared" si="68"/>
        <v>Furniture</v>
      </c>
      <c r="T292" s="6" t="s">
        <v>66</v>
      </c>
      <c r="U292" s="6" t="s">
        <v>1514</v>
      </c>
      <c r="V292" s="6" t="s">
        <v>87</v>
      </c>
      <c r="W292" s="7" t="str">
        <f t="shared" si="69"/>
        <v>Standard Class</v>
      </c>
      <c r="X292" s="6">
        <v>1</v>
      </c>
      <c r="Y292" s="6">
        <v>1842.63</v>
      </c>
      <c r="Z292" s="6">
        <v>0.1</v>
      </c>
      <c r="AA292" s="6">
        <f t="shared" si="71"/>
        <v>0.1</v>
      </c>
      <c r="AB292" s="6" t="str">
        <f t="shared" si="72"/>
        <v>Valid</v>
      </c>
      <c r="AC292" s="6">
        <v>1658.37</v>
      </c>
      <c r="AD292" s="6" t="str">
        <f>IF(OR(AO292="Cancelled",AM292="Failed"),"Exclude from Completed Sales","Include in Completed Sales")</f>
        <v>Include in Completed Sales</v>
      </c>
      <c r="AE292" s="6">
        <f t="shared" si="73"/>
        <v>1658.3670000000002</v>
      </c>
      <c r="AF292" s="6" t="str">
        <f t="shared" si="74"/>
        <v/>
      </c>
      <c r="AG292" s="6">
        <v>971.12</v>
      </c>
      <c r="AH292" s="6">
        <v>687.25</v>
      </c>
      <c r="AI292" s="6">
        <f t="shared" si="75"/>
        <v>687.24700000000018</v>
      </c>
      <c r="AJ292" s="11">
        <f t="shared" si="76"/>
        <v>0.41441188832146331</v>
      </c>
      <c r="AK292" s="11" t="str">
        <f t="shared" si="77"/>
        <v>August</v>
      </c>
      <c r="AL292" s="12">
        <f t="shared" si="78"/>
        <v>2025</v>
      </c>
      <c r="AM292" s="6" t="s">
        <v>54</v>
      </c>
      <c r="AN292" s="6" t="s">
        <v>55</v>
      </c>
      <c r="AO292" s="6" t="str">
        <f t="shared" si="70"/>
        <v>Completed</v>
      </c>
    </row>
    <row r="293" spans="1:41">
      <c r="A293" s="6" t="s">
        <v>1515</v>
      </c>
      <c r="B293" s="7" t="s">
        <v>1516</v>
      </c>
      <c r="C293" s="8">
        <v>45387</v>
      </c>
      <c r="D293" s="7" t="s">
        <v>1517</v>
      </c>
      <c r="E293" s="9">
        <v>45392</v>
      </c>
      <c r="F293" s="9" t="str">
        <f t="shared" si="63"/>
        <v>Valid</v>
      </c>
      <c r="G293" s="10">
        <f t="shared" si="64"/>
        <v>5</v>
      </c>
      <c r="H293" s="10" t="str">
        <f t="shared" si="65"/>
        <v>Valid</v>
      </c>
      <c r="I293" s="6" t="s">
        <v>1518</v>
      </c>
      <c r="J293" s="6" t="s">
        <v>162</v>
      </c>
      <c r="K293" s="6" t="s">
        <v>162</v>
      </c>
      <c r="L293" s="6" t="s">
        <v>135</v>
      </c>
      <c r="M293" s="7" t="str">
        <f t="shared" si="66"/>
        <v>Home Office</v>
      </c>
      <c r="N293" s="6" t="s">
        <v>47</v>
      </c>
      <c r="O293" s="7" t="str">
        <f t="shared" si="67"/>
        <v>North</v>
      </c>
      <c r="P293" s="6" t="s">
        <v>48</v>
      </c>
      <c r="Q293" s="6" t="s">
        <v>49</v>
      </c>
      <c r="R293" s="6" t="s">
        <v>50</v>
      </c>
      <c r="S293" s="7" t="str">
        <f t="shared" si="68"/>
        <v>Office Supplies</v>
      </c>
      <c r="T293" s="6" t="s">
        <v>218</v>
      </c>
      <c r="U293" s="6" t="s">
        <v>1519</v>
      </c>
      <c r="V293" s="6" t="s">
        <v>87</v>
      </c>
      <c r="W293" s="7" t="str">
        <f t="shared" si="69"/>
        <v>Standard Class</v>
      </c>
      <c r="X293" s="6">
        <v>4</v>
      </c>
      <c r="Y293" s="6">
        <v>3228.66</v>
      </c>
      <c r="Z293" s="6">
        <v>0.25</v>
      </c>
      <c r="AA293" s="6">
        <f t="shared" si="71"/>
        <v>0.25</v>
      </c>
      <c r="AB293" s="6" t="str">
        <f t="shared" si="72"/>
        <v>Valid</v>
      </c>
      <c r="AC293" s="6">
        <v>9685.98</v>
      </c>
      <c r="AD293" s="6" t="str">
        <f>IF(OR(AO293="Cancelled",AM293="Failed"),"Exclude from Completed Sales","Include in Completed Sales")</f>
        <v>Include in Completed Sales</v>
      </c>
      <c r="AE293" s="6">
        <f t="shared" si="73"/>
        <v>9685.98</v>
      </c>
      <c r="AF293" s="6" t="str">
        <f t="shared" si="74"/>
        <v/>
      </c>
      <c r="AG293" s="6">
        <v>7730.04</v>
      </c>
      <c r="AH293" s="6">
        <v>1955.94</v>
      </c>
      <c r="AI293" s="6">
        <f t="shared" si="75"/>
        <v>1955.9399999999996</v>
      </c>
      <c r="AJ293" s="11">
        <f t="shared" si="76"/>
        <v>0.20193516815025425</v>
      </c>
      <c r="AK293" s="11" t="str">
        <f t="shared" si="77"/>
        <v>April</v>
      </c>
      <c r="AL293" s="12">
        <f t="shared" si="78"/>
        <v>2024</v>
      </c>
      <c r="AM293" s="6" t="s">
        <v>54</v>
      </c>
      <c r="AN293" s="6" t="s">
        <v>55</v>
      </c>
      <c r="AO293" s="6" t="str">
        <f t="shared" si="70"/>
        <v>Completed</v>
      </c>
    </row>
    <row r="294" spans="1:41">
      <c r="A294" s="6" t="s">
        <v>1520</v>
      </c>
      <c r="B294" s="7" t="s">
        <v>1521</v>
      </c>
      <c r="C294" s="8">
        <v>45716</v>
      </c>
      <c r="D294" s="7" t="s">
        <v>1522</v>
      </c>
      <c r="E294" s="9">
        <v>45719</v>
      </c>
      <c r="F294" s="9" t="str">
        <f t="shared" si="63"/>
        <v>Valid</v>
      </c>
      <c r="G294" s="10">
        <f t="shared" si="64"/>
        <v>3</v>
      </c>
      <c r="H294" s="10" t="str">
        <f t="shared" si="65"/>
        <v>Valid</v>
      </c>
      <c r="I294" s="6" t="s">
        <v>1523</v>
      </c>
      <c r="J294" s="6" t="s">
        <v>386</v>
      </c>
      <c r="K294" s="6" t="s">
        <v>386</v>
      </c>
      <c r="L294" s="6" t="s">
        <v>135</v>
      </c>
      <c r="M294" s="7" t="str">
        <f t="shared" si="66"/>
        <v>Home Office</v>
      </c>
      <c r="N294" s="6" t="s">
        <v>47</v>
      </c>
      <c r="O294" s="7" t="str">
        <f t="shared" si="67"/>
        <v>North</v>
      </c>
      <c r="P294" s="6" t="s">
        <v>343</v>
      </c>
      <c r="Q294" s="6" t="s">
        <v>344</v>
      </c>
      <c r="R294" s="6" t="s">
        <v>50</v>
      </c>
      <c r="S294" s="7" t="str">
        <f t="shared" si="68"/>
        <v>Office Supplies</v>
      </c>
      <c r="T294" s="6" t="s">
        <v>74</v>
      </c>
      <c r="U294" s="6" t="s">
        <v>1524</v>
      </c>
      <c r="V294" s="6" t="s">
        <v>68</v>
      </c>
      <c r="W294" s="7" t="str">
        <f t="shared" si="69"/>
        <v>Same Day</v>
      </c>
      <c r="X294" s="6">
        <v>9</v>
      </c>
      <c r="Y294" s="6">
        <v>3748.95</v>
      </c>
      <c r="Z294" s="6">
        <v>0</v>
      </c>
      <c r="AA294" s="6">
        <f t="shared" si="71"/>
        <v>0</v>
      </c>
      <c r="AB294" s="6" t="str">
        <f t="shared" si="72"/>
        <v>Valid</v>
      </c>
      <c r="AC294" s="6">
        <v>33740.550000000003</v>
      </c>
      <c r="AD294" s="6" t="str">
        <f>IF(OR(AO294="Cancelled",AM294="Failed"),"Exclude from Completed Sales","Include in Completed Sales")</f>
        <v>Exclude from Completed Sales</v>
      </c>
      <c r="AE294" s="6">
        <f t="shared" si="73"/>
        <v>33740.549999999996</v>
      </c>
      <c r="AF294" s="6" t="str">
        <f t="shared" si="74"/>
        <v/>
      </c>
      <c r="AG294" s="6">
        <v>24621.89</v>
      </c>
      <c r="AH294" s="6">
        <v>9118.66</v>
      </c>
      <c r="AI294" s="6">
        <f t="shared" si="75"/>
        <v>9118.6599999999962</v>
      </c>
      <c r="AJ294" s="11">
        <f t="shared" si="76"/>
        <v>0.2702581908119458</v>
      </c>
      <c r="AK294" s="11" t="str">
        <f t="shared" si="77"/>
        <v>February</v>
      </c>
      <c r="AL294" s="12">
        <f t="shared" si="78"/>
        <v>2025</v>
      </c>
      <c r="AM294" s="6" t="s">
        <v>157</v>
      </c>
      <c r="AN294" s="6" t="s">
        <v>98</v>
      </c>
      <c r="AO294" s="6" t="str">
        <f t="shared" si="70"/>
        <v>Cancelled</v>
      </c>
    </row>
    <row r="295" spans="1:41">
      <c r="A295" s="6" t="s">
        <v>1525</v>
      </c>
      <c r="B295" s="7" t="s">
        <v>1526</v>
      </c>
      <c r="C295" s="8">
        <v>45358</v>
      </c>
      <c r="D295" s="7" t="s">
        <v>1527</v>
      </c>
      <c r="E295" s="9">
        <v>45362</v>
      </c>
      <c r="F295" s="9" t="str">
        <f t="shared" si="63"/>
        <v>Valid</v>
      </c>
      <c r="G295" s="10">
        <f t="shared" si="64"/>
        <v>4</v>
      </c>
      <c r="H295" s="10" t="str">
        <f t="shared" si="65"/>
        <v>Valid</v>
      </c>
      <c r="I295" s="6" t="s">
        <v>1528</v>
      </c>
      <c r="J295" s="6" t="s">
        <v>81</v>
      </c>
      <c r="K295" s="6" t="s">
        <v>81</v>
      </c>
      <c r="L295" s="6" t="s">
        <v>135</v>
      </c>
      <c r="M295" s="7" t="str">
        <f t="shared" si="66"/>
        <v>Home Office</v>
      </c>
      <c r="N295" s="6" t="s">
        <v>82</v>
      </c>
      <c r="O295" s="7" t="str">
        <f t="shared" si="67"/>
        <v>South</v>
      </c>
      <c r="P295" s="6" t="s">
        <v>83</v>
      </c>
      <c r="Q295" s="6" t="s">
        <v>84</v>
      </c>
      <c r="R295" s="6" t="s">
        <v>106</v>
      </c>
      <c r="S295" s="7" t="str">
        <f t="shared" si="68"/>
        <v>Technology</v>
      </c>
      <c r="T295" s="6" t="s">
        <v>243</v>
      </c>
      <c r="U295" s="6" t="s">
        <v>1529</v>
      </c>
      <c r="V295" s="6" t="s">
        <v>76</v>
      </c>
      <c r="W295" s="7" t="str">
        <f t="shared" si="69"/>
        <v>First Class</v>
      </c>
      <c r="X295" s="6">
        <v>2</v>
      </c>
      <c r="Y295" s="6">
        <v>4401.51</v>
      </c>
      <c r="Z295" s="6">
        <v>0.65</v>
      </c>
      <c r="AA295" s="6">
        <f t="shared" si="71"/>
        <v>0.65</v>
      </c>
      <c r="AB295" s="6" t="str">
        <f t="shared" si="72"/>
        <v>Valid</v>
      </c>
      <c r="AC295" s="6">
        <v>8362.8700000000008</v>
      </c>
      <c r="AD295" s="6" t="str">
        <f>IF(OR(AO295="Cancelled",AM295="Failed"),"Exclude from Completed Sales","Include in Completed Sales")</f>
        <v>Include in Completed Sales</v>
      </c>
      <c r="AE295" s="6">
        <f t="shared" si="73"/>
        <v>3081.0569999999998</v>
      </c>
      <c r="AF295" s="6" t="str">
        <f t="shared" si="74"/>
        <v/>
      </c>
      <c r="AG295" s="6">
        <v>6541.04</v>
      </c>
      <c r="AH295" s="6">
        <v>1821.83</v>
      </c>
      <c r="AI295" s="6">
        <f t="shared" si="75"/>
        <v>-3459.9830000000002</v>
      </c>
      <c r="AJ295" s="11">
        <f t="shared" si="76"/>
        <v>-1.1229857156164267</v>
      </c>
      <c r="AK295" s="11" t="str">
        <f t="shared" si="77"/>
        <v>March</v>
      </c>
      <c r="AL295" s="12">
        <f t="shared" si="78"/>
        <v>2024</v>
      </c>
      <c r="AM295" s="6" t="s">
        <v>54</v>
      </c>
      <c r="AN295" s="6" t="s">
        <v>55</v>
      </c>
      <c r="AO295" s="6" t="str">
        <f t="shared" si="70"/>
        <v>Completed</v>
      </c>
    </row>
    <row r="296" spans="1:41">
      <c r="A296" s="6" t="s">
        <v>1530</v>
      </c>
      <c r="B296" s="7" t="s">
        <v>1531</v>
      </c>
      <c r="C296" s="8">
        <v>45854</v>
      </c>
      <c r="D296" s="7" t="s">
        <v>1532</v>
      </c>
      <c r="E296" s="9">
        <v>45860</v>
      </c>
      <c r="F296" s="9" t="str">
        <f t="shared" si="63"/>
        <v>Valid</v>
      </c>
      <c r="G296" s="10">
        <f t="shared" si="64"/>
        <v>6</v>
      </c>
      <c r="H296" s="10" t="str">
        <f t="shared" si="65"/>
        <v>Valid</v>
      </c>
      <c r="I296" s="6" t="s">
        <v>1533</v>
      </c>
      <c r="J296" s="6" t="s">
        <v>162</v>
      </c>
      <c r="K296" s="6" t="s">
        <v>162</v>
      </c>
      <c r="L296" s="6" t="s">
        <v>46</v>
      </c>
      <c r="M296" s="7" t="str">
        <f t="shared" si="66"/>
        <v>Consumer</v>
      </c>
      <c r="N296" s="6" t="s">
        <v>62</v>
      </c>
      <c r="O296" s="7" t="str">
        <f t="shared" si="67"/>
        <v>East</v>
      </c>
      <c r="P296" s="6" t="s">
        <v>63</v>
      </c>
      <c r="Q296" s="6" t="s">
        <v>64</v>
      </c>
      <c r="R296" s="6" t="s">
        <v>106</v>
      </c>
      <c r="S296" s="7" t="str">
        <f t="shared" si="68"/>
        <v>Technology</v>
      </c>
      <c r="T296" s="6" t="s">
        <v>243</v>
      </c>
      <c r="U296" s="6" t="s">
        <v>1534</v>
      </c>
      <c r="V296" s="6" t="s">
        <v>53</v>
      </c>
      <c r="W296" s="7" t="str">
        <f t="shared" si="69"/>
        <v>Second Class</v>
      </c>
      <c r="X296" s="6">
        <v>6</v>
      </c>
      <c r="Y296" s="6">
        <v>4159.33</v>
      </c>
      <c r="Z296" s="6">
        <v>0.25</v>
      </c>
      <c r="AA296" s="6">
        <f t="shared" si="71"/>
        <v>0.25</v>
      </c>
      <c r="AB296" s="6" t="str">
        <f t="shared" si="72"/>
        <v>Valid</v>
      </c>
      <c r="AC296" s="6">
        <v>18716.990000000002</v>
      </c>
      <c r="AD296" s="6" t="str">
        <f>IF(OR(AO296="Cancelled",AM296="Failed"),"Exclude from Completed Sales","Include in Completed Sales")</f>
        <v>Include in Completed Sales</v>
      </c>
      <c r="AE296" s="6">
        <f t="shared" si="73"/>
        <v>18716.985000000001</v>
      </c>
      <c r="AF296" s="6" t="str">
        <f t="shared" si="74"/>
        <v/>
      </c>
      <c r="AG296" s="6">
        <v>12282.43</v>
      </c>
      <c r="AH296" s="6">
        <v>6434.56</v>
      </c>
      <c r="AI296" s="6">
        <f t="shared" si="75"/>
        <v>6434.5550000000003</v>
      </c>
      <c r="AJ296" s="11">
        <f t="shared" si="76"/>
        <v>0.34378159730319813</v>
      </c>
      <c r="AK296" s="11" t="str">
        <f t="shared" si="77"/>
        <v>July</v>
      </c>
      <c r="AL296" s="12">
        <f t="shared" si="78"/>
        <v>2025</v>
      </c>
      <c r="AM296" s="6" t="s">
        <v>54</v>
      </c>
      <c r="AN296" s="6" t="s">
        <v>145</v>
      </c>
      <c r="AO296" s="6" t="str">
        <f t="shared" si="70"/>
        <v>Returned</v>
      </c>
    </row>
    <row r="297" spans="1:41">
      <c r="A297" s="6" t="s">
        <v>1535</v>
      </c>
      <c r="B297" s="7" t="s">
        <v>1536</v>
      </c>
      <c r="C297" s="8">
        <v>45833</v>
      </c>
      <c r="D297" s="7" t="s">
        <v>1537</v>
      </c>
      <c r="E297" s="9">
        <v>45836</v>
      </c>
      <c r="F297" s="9" t="str">
        <f t="shared" si="63"/>
        <v>Valid</v>
      </c>
      <c r="G297" s="10">
        <f t="shared" si="64"/>
        <v>3</v>
      </c>
      <c r="H297" s="10" t="str">
        <f t="shared" si="65"/>
        <v>Valid</v>
      </c>
      <c r="I297" s="6" t="s">
        <v>1538</v>
      </c>
      <c r="J297" s="6" t="s">
        <v>127</v>
      </c>
      <c r="K297" s="6" t="s">
        <v>127</v>
      </c>
      <c r="L297" s="6" t="s">
        <v>61</v>
      </c>
      <c r="M297" s="7" t="str">
        <f t="shared" si="66"/>
        <v>Small Business</v>
      </c>
      <c r="N297" s="6" t="s">
        <v>62</v>
      </c>
      <c r="O297" s="7" t="str">
        <f t="shared" si="67"/>
        <v>East</v>
      </c>
      <c r="P297" s="6" t="s">
        <v>236</v>
      </c>
      <c r="Q297" s="6" t="s">
        <v>237</v>
      </c>
      <c r="R297" s="6" t="s">
        <v>50</v>
      </c>
      <c r="S297" s="7" t="str">
        <f t="shared" si="68"/>
        <v>Office Supplies</v>
      </c>
      <c r="T297" s="6" t="s">
        <v>218</v>
      </c>
      <c r="U297" s="6" t="s">
        <v>1539</v>
      </c>
      <c r="V297" s="6" t="s">
        <v>87</v>
      </c>
      <c r="W297" s="7" t="str">
        <f t="shared" si="69"/>
        <v>Standard Class</v>
      </c>
      <c r="X297" s="6">
        <v>3</v>
      </c>
      <c r="Y297" s="6">
        <v>3476.05</v>
      </c>
      <c r="Z297" s="6">
        <v>0.1</v>
      </c>
      <c r="AA297" s="6">
        <f t="shared" si="71"/>
        <v>0.1</v>
      </c>
      <c r="AB297" s="6" t="str">
        <f t="shared" si="72"/>
        <v>Valid</v>
      </c>
      <c r="AC297" s="6">
        <v>9385.34</v>
      </c>
      <c r="AD297" s="6" t="str">
        <f>IF(OR(AO297="Cancelled",AM297="Failed"),"Exclude from Completed Sales","Include in Completed Sales")</f>
        <v>Include in Completed Sales</v>
      </c>
      <c r="AE297" s="6">
        <f t="shared" si="73"/>
        <v>9385.3350000000009</v>
      </c>
      <c r="AF297" s="6" t="str">
        <f t="shared" si="74"/>
        <v/>
      </c>
      <c r="AG297" s="6">
        <v>5828.54</v>
      </c>
      <c r="AH297" s="6">
        <v>3556.8</v>
      </c>
      <c r="AI297" s="6">
        <f t="shared" si="75"/>
        <v>3556.795000000001</v>
      </c>
      <c r="AJ297" s="11">
        <f t="shared" si="76"/>
        <v>0.37897368607513748</v>
      </c>
      <c r="AK297" s="11" t="str">
        <f t="shared" si="77"/>
        <v>June</v>
      </c>
      <c r="AL297" s="12">
        <f t="shared" si="78"/>
        <v>2025</v>
      </c>
      <c r="AM297" s="6" t="s">
        <v>54</v>
      </c>
      <c r="AN297" s="6" t="s">
        <v>55</v>
      </c>
      <c r="AO297" s="6" t="str">
        <f t="shared" si="70"/>
        <v>Completed</v>
      </c>
    </row>
    <row r="298" spans="1:41">
      <c r="A298" s="6" t="s">
        <v>1540</v>
      </c>
      <c r="B298" s="7" t="s">
        <v>1541</v>
      </c>
      <c r="C298" s="8">
        <v>45801</v>
      </c>
      <c r="D298" s="7" t="s">
        <v>1542</v>
      </c>
      <c r="E298" s="9">
        <v>45803</v>
      </c>
      <c r="F298" s="9" t="str">
        <f t="shared" si="63"/>
        <v>Valid</v>
      </c>
      <c r="G298" s="10">
        <f t="shared" si="64"/>
        <v>2</v>
      </c>
      <c r="H298" s="10" t="str">
        <f t="shared" si="65"/>
        <v>Valid</v>
      </c>
      <c r="I298" s="6" t="s">
        <v>1543</v>
      </c>
      <c r="J298" s="6" t="s">
        <v>127</v>
      </c>
      <c r="K298" s="6" t="s">
        <v>127</v>
      </c>
      <c r="L298" s="6" t="s">
        <v>135</v>
      </c>
      <c r="M298" s="7" t="str">
        <f t="shared" si="66"/>
        <v>Home Office</v>
      </c>
      <c r="N298" s="6" t="s">
        <v>47</v>
      </c>
      <c r="O298" s="7" t="str">
        <f t="shared" si="67"/>
        <v>North</v>
      </c>
      <c r="P298" s="6" t="s">
        <v>343</v>
      </c>
      <c r="Q298" s="6" t="s">
        <v>344</v>
      </c>
      <c r="R298" s="6" t="s">
        <v>65</v>
      </c>
      <c r="S298" s="7" t="str">
        <f t="shared" si="68"/>
        <v>Furniture</v>
      </c>
      <c r="T298" s="6" t="s">
        <v>85</v>
      </c>
      <c r="U298" s="6" t="s">
        <v>1544</v>
      </c>
      <c r="V298" s="6" t="s">
        <v>68</v>
      </c>
      <c r="W298" s="7" t="str">
        <f t="shared" si="69"/>
        <v>Same Day</v>
      </c>
      <c r="X298" s="6">
        <v>6</v>
      </c>
      <c r="Y298" s="6">
        <v>3495.41</v>
      </c>
      <c r="Z298" s="6">
        <v>0.15</v>
      </c>
      <c r="AA298" s="6">
        <f t="shared" si="71"/>
        <v>0.15</v>
      </c>
      <c r="AB298" s="6" t="str">
        <f t="shared" si="72"/>
        <v>Valid</v>
      </c>
      <c r="AC298" s="6">
        <v>17826.59</v>
      </c>
      <c r="AD298" s="6" t="str">
        <f>IF(OR(AO298="Cancelled",AM298="Failed"),"Exclude from Completed Sales","Include in Completed Sales")</f>
        <v>Include in Completed Sales</v>
      </c>
      <c r="AE298" s="6">
        <f t="shared" si="73"/>
        <v>17826.591</v>
      </c>
      <c r="AF298" s="6" t="str">
        <f t="shared" si="74"/>
        <v/>
      </c>
      <c r="AG298" s="6">
        <v>10855.35</v>
      </c>
      <c r="AH298" s="6">
        <v>6971.24</v>
      </c>
      <c r="AI298" s="6">
        <f t="shared" si="75"/>
        <v>6971.241</v>
      </c>
      <c r="AJ298" s="11">
        <f t="shared" si="76"/>
        <v>0.39105855965394615</v>
      </c>
      <c r="AK298" s="11" t="str">
        <f t="shared" si="77"/>
        <v>May</v>
      </c>
      <c r="AL298" s="12">
        <f t="shared" si="78"/>
        <v>2025</v>
      </c>
      <c r="AM298" s="6" t="s">
        <v>54</v>
      </c>
      <c r="AN298" s="6" t="s">
        <v>55</v>
      </c>
      <c r="AO298" s="6" t="str">
        <f t="shared" si="70"/>
        <v>Completed</v>
      </c>
    </row>
    <row r="299" spans="1:41">
      <c r="A299" s="6" t="s">
        <v>1545</v>
      </c>
      <c r="B299" s="7" t="s">
        <v>1546</v>
      </c>
      <c r="C299" s="8">
        <v>45594</v>
      </c>
      <c r="D299" s="7" t="s">
        <v>1547</v>
      </c>
      <c r="E299" s="9">
        <v>45602</v>
      </c>
      <c r="F299" s="9" t="str">
        <f t="shared" si="63"/>
        <v>Valid</v>
      </c>
      <c r="G299" s="10">
        <f t="shared" si="64"/>
        <v>8</v>
      </c>
      <c r="H299" s="10" t="str">
        <f t="shared" si="65"/>
        <v>Valid</v>
      </c>
      <c r="I299" s="6" t="s">
        <v>1548</v>
      </c>
      <c r="J299" s="6" t="s">
        <v>188</v>
      </c>
      <c r="K299" s="6" t="s">
        <v>188</v>
      </c>
      <c r="L299" s="6" t="s">
        <v>128</v>
      </c>
      <c r="M299" s="7" t="str">
        <f t="shared" si="66"/>
        <v>Corporate</v>
      </c>
      <c r="N299" s="6" t="s">
        <v>82</v>
      </c>
      <c r="O299" s="7" t="str">
        <f t="shared" si="67"/>
        <v>South</v>
      </c>
      <c r="P299" s="6" t="s">
        <v>359</v>
      </c>
      <c r="Q299" s="6" t="s">
        <v>360</v>
      </c>
      <c r="R299" s="6" t="s">
        <v>106</v>
      </c>
      <c r="S299" s="7" t="str">
        <f t="shared" si="68"/>
        <v>Technology</v>
      </c>
      <c r="T299" s="6" t="s">
        <v>114</v>
      </c>
      <c r="U299" s="6" t="s">
        <v>1549</v>
      </c>
      <c r="V299" s="6" t="s">
        <v>68</v>
      </c>
      <c r="W299" s="7" t="str">
        <f t="shared" si="69"/>
        <v>Same Day</v>
      </c>
      <c r="X299" s="6">
        <v>6</v>
      </c>
      <c r="Y299" s="6">
        <v>1169.92</v>
      </c>
      <c r="Z299" s="6">
        <v>0.15</v>
      </c>
      <c r="AA299" s="6">
        <f t="shared" si="71"/>
        <v>0.15</v>
      </c>
      <c r="AB299" s="6" t="str">
        <f t="shared" si="72"/>
        <v>Valid</v>
      </c>
      <c r="AC299" s="6">
        <v>5966.59</v>
      </c>
      <c r="AD299" s="6" t="str">
        <f>IF(OR(AO299="Cancelled",AM299="Failed"),"Exclude from Completed Sales","Include in Completed Sales")</f>
        <v>Include in Completed Sales</v>
      </c>
      <c r="AE299" s="6">
        <f t="shared" si="73"/>
        <v>5966.5920000000006</v>
      </c>
      <c r="AF299" s="6" t="str">
        <f t="shared" si="74"/>
        <v/>
      </c>
      <c r="AG299" s="6">
        <v>3994.72</v>
      </c>
      <c r="AH299" s="6">
        <v>1971.87</v>
      </c>
      <c r="AI299" s="6">
        <f t="shared" si="75"/>
        <v>1971.8720000000008</v>
      </c>
      <c r="AJ299" s="11">
        <f t="shared" si="76"/>
        <v>0.33048547646629778</v>
      </c>
      <c r="AK299" s="11" t="str">
        <f t="shared" si="77"/>
        <v>October</v>
      </c>
      <c r="AL299" s="12">
        <f t="shared" si="78"/>
        <v>2024</v>
      </c>
      <c r="AM299" s="6" t="s">
        <v>54</v>
      </c>
      <c r="AN299" s="6" t="s">
        <v>55</v>
      </c>
      <c r="AO299" s="6" t="str">
        <f t="shared" si="70"/>
        <v>Completed</v>
      </c>
    </row>
    <row r="300" spans="1:41">
      <c r="A300" s="6" t="s">
        <v>1550</v>
      </c>
      <c r="B300" s="7" t="s">
        <v>1551</v>
      </c>
      <c r="C300" s="8">
        <v>45680</v>
      </c>
      <c r="D300" s="7" t="s">
        <v>1552</v>
      </c>
      <c r="E300" s="9">
        <v>45683</v>
      </c>
      <c r="F300" s="9" t="str">
        <f t="shared" si="63"/>
        <v>Valid</v>
      </c>
      <c r="G300" s="10">
        <f t="shared" si="64"/>
        <v>3</v>
      </c>
      <c r="H300" s="10" t="str">
        <f t="shared" si="65"/>
        <v>Valid</v>
      </c>
      <c r="I300" s="6" t="s">
        <v>1553</v>
      </c>
      <c r="J300" s="6" t="s">
        <v>73</v>
      </c>
      <c r="K300" s="6" t="s">
        <v>73</v>
      </c>
      <c r="L300" s="6" t="s">
        <v>46</v>
      </c>
      <c r="M300" s="7" t="str">
        <f t="shared" si="66"/>
        <v>Consumer</v>
      </c>
      <c r="N300" s="6" t="s">
        <v>82</v>
      </c>
      <c r="O300" s="7" t="str">
        <f t="shared" si="67"/>
        <v>South</v>
      </c>
      <c r="P300" s="6" t="s">
        <v>262</v>
      </c>
      <c r="Q300" s="6" t="s">
        <v>263</v>
      </c>
      <c r="R300" s="6" t="s">
        <v>106</v>
      </c>
      <c r="S300" s="7" t="str">
        <f t="shared" si="68"/>
        <v>Technology</v>
      </c>
      <c r="T300" s="6" t="s">
        <v>114</v>
      </c>
      <c r="U300" s="6" t="s">
        <v>1554</v>
      </c>
      <c r="V300" s="6" t="s">
        <v>76</v>
      </c>
      <c r="W300" s="7" t="str">
        <f t="shared" si="69"/>
        <v>First Class</v>
      </c>
      <c r="X300" s="6">
        <v>7</v>
      </c>
      <c r="Y300" s="6">
        <v>348.49</v>
      </c>
      <c r="Z300" s="6">
        <v>0.2</v>
      </c>
      <c r="AA300" s="6">
        <f t="shared" si="71"/>
        <v>0.2</v>
      </c>
      <c r="AB300" s="6" t="str">
        <f t="shared" si="72"/>
        <v>Valid</v>
      </c>
      <c r="AC300" s="6">
        <v>1951.54</v>
      </c>
      <c r="AD300" s="6" t="str">
        <f>IF(OR(AO300="Cancelled",AM300="Failed"),"Exclude from Completed Sales","Include in Completed Sales")</f>
        <v>Exclude from Completed Sales</v>
      </c>
      <c r="AE300" s="6">
        <f t="shared" si="73"/>
        <v>1951.5440000000003</v>
      </c>
      <c r="AF300" s="6" t="str">
        <f t="shared" si="74"/>
        <v/>
      </c>
      <c r="AG300" s="6">
        <v>1609.95</v>
      </c>
      <c r="AH300" s="6">
        <v>341.59</v>
      </c>
      <c r="AI300" s="6">
        <f t="shared" si="75"/>
        <v>341.59400000000028</v>
      </c>
      <c r="AJ300" s="11">
        <f t="shared" si="76"/>
        <v>0.17503781621116421</v>
      </c>
      <c r="AK300" s="11" t="str">
        <f t="shared" si="77"/>
        <v>January</v>
      </c>
      <c r="AL300" s="12">
        <f t="shared" si="78"/>
        <v>2025</v>
      </c>
      <c r="AM300" s="6" t="s">
        <v>220</v>
      </c>
      <c r="AN300" s="6" t="s">
        <v>145</v>
      </c>
      <c r="AO300" s="6" t="str">
        <f t="shared" si="70"/>
        <v>Returned</v>
      </c>
    </row>
    <row r="301" spans="1:41">
      <c r="A301" s="6" t="s">
        <v>1555</v>
      </c>
      <c r="B301" s="7" t="s">
        <v>1547</v>
      </c>
      <c r="C301" s="8">
        <v>45602</v>
      </c>
      <c r="D301" s="7" t="s">
        <v>1556</v>
      </c>
      <c r="E301" s="9">
        <v>45608</v>
      </c>
      <c r="F301" s="9" t="str">
        <f t="shared" si="63"/>
        <v>Valid</v>
      </c>
      <c r="G301" s="10">
        <f t="shared" si="64"/>
        <v>6</v>
      </c>
      <c r="H301" s="10" t="str">
        <f t="shared" si="65"/>
        <v>Valid</v>
      </c>
      <c r="I301" s="6" t="s">
        <v>1557</v>
      </c>
      <c r="J301" s="6" t="s">
        <v>168</v>
      </c>
      <c r="K301" s="6" t="s">
        <v>168</v>
      </c>
      <c r="L301" s="6" t="s">
        <v>61</v>
      </c>
      <c r="M301" s="7" t="str">
        <f t="shared" si="66"/>
        <v>Small Business</v>
      </c>
      <c r="N301" s="6" t="s">
        <v>93</v>
      </c>
      <c r="O301" s="7" t="str">
        <f t="shared" si="67"/>
        <v>West</v>
      </c>
      <c r="P301" s="6" t="s">
        <v>255</v>
      </c>
      <c r="Q301" s="6" t="s">
        <v>256</v>
      </c>
      <c r="R301" s="6" t="s">
        <v>106</v>
      </c>
      <c r="S301" s="7" t="str">
        <f t="shared" si="68"/>
        <v>Technology</v>
      </c>
      <c r="T301" s="6" t="s">
        <v>107</v>
      </c>
      <c r="U301" s="6" t="s">
        <v>1558</v>
      </c>
      <c r="V301" s="6" t="s">
        <v>87</v>
      </c>
      <c r="W301" s="7" t="str">
        <f t="shared" si="69"/>
        <v>Standard Class</v>
      </c>
      <c r="X301" s="6">
        <v>7</v>
      </c>
      <c r="Y301" s="6">
        <v>1719.05</v>
      </c>
      <c r="Z301" s="6">
        <v>0.1</v>
      </c>
      <c r="AA301" s="6">
        <f t="shared" si="71"/>
        <v>0.1</v>
      </c>
      <c r="AB301" s="6" t="str">
        <f t="shared" si="72"/>
        <v>Valid</v>
      </c>
      <c r="AC301" s="6">
        <v>10830.02</v>
      </c>
      <c r="AD301" s="6" t="str">
        <f>IF(OR(AO301="Cancelled",AM301="Failed"),"Exclude from Completed Sales","Include in Completed Sales")</f>
        <v>Include in Completed Sales</v>
      </c>
      <c r="AE301" s="6">
        <f t="shared" si="73"/>
        <v>10830.015000000001</v>
      </c>
      <c r="AF301" s="6" t="str">
        <f t="shared" si="74"/>
        <v/>
      </c>
      <c r="AG301" s="6">
        <v>7055.31</v>
      </c>
      <c r="AH301" s="6">
        <v>3774.71</v>
      </c>
      <c r="AI301" s="6">
        <f t="shared" si="75"/>
        <v>3774.7050000000008</v>
      </c>
      <c r="AJ301" s="11">
        <f t="shared" si="76"/>
        <v>0.34854106850267524</v>
      </c>
      <c r="AK301" s="11" t="str">
        <f t="shared" si="77"/>
        <v>November</v>
      </c>
      <c r="AL301" s="12">
        <f t="shared" si="78"/>
        <v>2024</v>
      </c>
      <c r="AM301" s="6" t="s">
        <v>54</v>
      </c>
      <c r="AN301" s="6" t="s">
        <v>55</v>
      </c>
      <c r="AO301" s="6" t="str">
        <f t="shared" si="70"/>
        <v>Completed</v>
      </c>
    </row>
    <row r="302" spans="1:41">
      <c r="A302" s="6" t="s">
        <v>1559</v>
      </c>
      <c r="B302" s="7" t="s">
        <v>1560</v>
      </c>
      <c r="C302" s="8">
        <v>45397</v>
      </c>
      <c r="D302" s="7" t="s">
        <v>1561</v>
      </c>
      <c r="E302" s="9">
        <v>45405</v>
      </c>
      <c r="F302" s="9" t="str">
        <f t="shared" si="63"/>
        <v>Valid</v>
      </c>
      <c r="G302" s="10">
        <f t="shared" si="64"/>
        <v>8</v>
      </c>
      <c r="H302" s="10" t="str">
        <f t="shared" si="65"/>
        <v>Valid</v>
      </c>
      <c r="I302" s="6" t="s">
        <v>1562</v>
      </c>
      <c r="J302" s="6" t="s">
        <v>230</v>
      </c>
      <c r="K302" s="6" t="s">
        <v>230</v>
      </c>
      <c r="L302" s="6" t="s">
        <v>61</v>
      </c>
      <c r="M302" s="7" t="str">
        <f t="shared" si="66"/>
        <v>Small Business</v>
      </c>
      <c r="N302" s="6" t="s">
        <v>47</v>
      </c>
      <c r="O302" s="7" t="str">
        <f t="shared" si="67"/>
        <v>North</v>
      </c>
      <c r="P302" s="6" t="s">
        <v>174</v>
      </c>
      <c r="Q302" s="6" t="s">
        <v>175</v>
      </c>
      <c r="R302" s="6" t="s">
        <v>106</v>
      </c>
      <c r="S302" s="7" t="str">
        <f t="shared" si="68"/>
        <v>Technology</v>
      </c>
      <c r="T302" s="6" t="s">
        <v>107</v>
      </c>
      <c r="U302" s="6" t="s">
        <v>1563</v>
      </c>
      <c r="V302" s="6" t="s">
        <v>53</v>
      </c>
      <c r="W302" s="7" t="str">
        <f t="shared" si="69"/>
        <v>Second Class</v>
      </c>
      <c r="X302" s="6">
        <v>9</v>
      </c>
      <c r="Y302" s="6">
        <v>3893.74</v>
      </c>
      <c r="Z302" s="6">
        <v>0.1</v>
      </c>
      <c r="AA302" s="6">
        <f t="shared" si="71"/>
        <v>0.1</v>
      </c>
      <c r="AB302" s="6" t="str">
        <f t="shared" si="72"/>
        <v>Valid</v>
      </c>
      <c r="AC302" s="6">
        <v>31539.29</v>
      </c>
      <c r="AD302" s="6" t="str">
        <f>IF(OR(AO302="Cancelled",AM302="Failed"),"Exclude from Completed Sales","Include in Completed Sales")</f>
        <v>Include in Completed Sales</v>
      </c>
      <c r="AE302" s="6">
        <f t="shared" si="73"/>
        <v>31539.293999999998</v>
      </c>
      <c r="AF302" s="6" t="str">
        <f t="shared" si="74"/>
        <v/>
      </c>
      <c r="AG302" s="6">
        <v>22100.14</v>
      </c>
      <c r="AH302" s="6">
        <v>9439.15</v>
      </c>
      <c r="AI302" s="6">
        <f t="shared" si="75"/>
        <v>9439.1539999999986</v>
      </c>
      <c r="AJ302" s="11">
        <f t="shared" si="76"/>
        <v>0.29928234918638313</v>
      </c>
      <c r="AK302" s="11" t="str">
        <f t="shared" si="77"/>
        <v>April</v>
      </c>
      <c r="AL302" s="12">
        <f t="shared" si="78"/>
        <v>2024</v>
      </c>
      <c r="AM302" s="6" t="s">
        <v>54</v>
      </c>
      <c r="AN302" s="6" t="s">
        <v>55</v>
      </c>
      <c r="AO302" s="6" t="str">
        <f t="shared" si="70"/>
        <v>Completed</v>
      </c>
    </row>
    <row r="303" spans="1:41">
      <c r="A303" s="6" t="s">
        <v>1564</v>
      </c>
      <c r="B303" s="7" t="s">
        <v>1038</v>
      </c>
      <c r="C303" s="8">
        <v>45805</v>
      </c>
      <c r="D303" s="7" t="s">
        <v>1565</v>
      </c>
      <c r="E303" s="9">
        <v>45809</v>
      </c>
      <c r="F303" s="9" t="str">
        <f t="shared" si="63"/>
        <v>Valid</v>
      </c>
      <c r="G303" s="10">
        <f t="shared" si="64"/>
        <v>4</v>
      </c>
      <c r="H303" s="10" t="str">
        <f t="shared" si="65"/>
        <v>Valid</v>
      </c>
      <c r="I303" s="6" t="s">
        <v>1566</v>
      </c>
      <c r="J303" s="6" t="s">
        <v>73</v>
      </c>
      <c r="K303" s="6" t="s">
        <v>73</v>
      </c>
      <c r="L303" s="6" t="s">
        <v>135</v>
      </c>
      <c r="M303" s="7" t="str">
        <f t="shared" si="66"/>
        <v>Home Office</v>
      </c>
      <c r="N303" s="6" t="s">
        <v>62</v>
      </c>
      <c r="O303" s="7" t="str">
        <f t="shared" si="67"/>
        <v>East</v>
      </c>
      <c r="P303" s="6" t="s">
        <v>206</v>
      </c>
      <c r="Q303" s="6" t="s">
        <v>207</v>
      </c>
      <c r="R303" s="6" t="s">
        <v>106</v>
      </c>
      <c r="S303" s="7" t="str">
        <f t="shared" si="68"/>
        <v>Technology</v>
      </c>
      <c r="T303" s="6" t="s">
        <v>243</v>
      </c>
      <c r="U303" s="6" t="s">
        <v>1567</v>
      </c>
      <c r="V303" s="6" t="s">
        <v>68</v>
      </c>
      <c r="W303" s="7" t="str">
        <f t="shared" si="69"/>
        <v>Same Day</v>
      </c>
      <c r="X303" s="6">
        <v>4</v>
      </c>
      <c r="Y303" s="6">
        <v>1654.11</v>
      </c>
      <c r="Z303" s="6">
        <v>0.05</v>
      </c>
      <c r="AA303" s="6">
        <f t="shared" si="71"/>
        <v>0.05</v>
      </c>
      <c r="AB303" s="6" t="str">
        <f t="shared" si="72"/>
        <v>Valid</v>
      </c>
      <c r="AC303" s="6">
        <v>6285.62</v>
      </c>
      <c r="AD303" s="6" t="str">
        <f>IF(OR(AO303="Cancelled",AM303="Failed"),"Exclude from Completed Sales","Include in Completed Sales")</f>
        <v>Include in Completed Sales</v>
      </c>
      <c r="AE303" s="6">
        <f t="shared" si="73"/>
        <v>6285.6179999999995</v>
      </c>
      <c r="AF303" s="6" t="str">
        <f t="shared" si="74"/>
        <v/>
      </c>
      <c r="AG303" s="6">
        <v>3705.38</v>
      </c>
      <c r="AH303" s="6">
        <v>2580.2399999999998</v>
      </c>
      <c r="AI303" s="6">
        <f t="shared" si="75"/>
        <v>2580.2379999999994</v>
      </c>
      <c r="AJ303" s="11">
        <f t="shared" si="76"/>
        <v>0.41049869718458865</v>
      </c>
      <c r="AK303" s="11" t="str">
        <f t="shared" si="77"/>
        <v>May</v>
      </c>
      <c r="AL303" s="12">
        <f t="shared" si="78"/>
        <v>2025</v>
      </c>
      <c r="AM303" s="6" t="s">
        <v>54</v>
      </c>
      <c r="AN303" s="6" t="s">
        <v>55</v>
      </c>
      <c r="AO303" s="6" t="str">
        <f t="shared" si="70"/>
        <v>Completed</v>
      </c>
    </row>
    <row r="304" spans="1:41">
      <c r="A304" s="6" t="s">
        <v>1568</v>
      </c>
      <c r="B304" s="7" t="s">
        <v>1409</v>
      </c>
      <c r="C304" s="8">
        <v>45812</v>
      </c>
      <c r="D304" s="7" t="s">
        <v>1569</v>
      </c>
      <c r="E304" s="9">
        <v>45820</v>
      </c>
      <c r="F304" s="9" t="str">
        <f t="shared" si="63"/>
        <v>Valid</v>
      </c>
      <c r="G304" s="10">
        <f t="shared" si="64"/>
        <v>8</v>
      </c>
      <c r="H304" s="10" t="str">
        <f t="shared" si="65"/>
        <v>Valid</v>
      </c>
      <c r="I304" s="6" t="s">
        <v>1570</v>
      </c>
      <c r="J304" s="6" t="s">
        <v>113</v>
      </c>
      <c r="K304" s="6" t="s">
        <v>113</v>
      </c>
      <c r="L304" s="6" t="s">
        <v>46</v>
      </c>
      <c r="M304" s="7" t="str">
        <f t="shared" si="66"/>
        <v>Consumer</v>
      </c>
      <c r="N304" s="6" t="s">
        <v>93</v>
      </c>
      <c r="O304" s="7" t="str">
        <f t="shared" si="67"/>
        <v>West</v>
      </c>
      <c r="P304" s="6" t="s">
        <v>269</v>
      </c>
      <c r="Q304" s="6" t="s">
        <v>270</v>
      </c>
      <c r="R304" s="6" t="s">
        <v>938</v>
      </c>
      <c r="S304" s="7" t="str">
        <f t="shared" si="68"/>
        <v>Office Supplies</v>
      </c>
      <c r="T304" s="6" t="s">
        <v>176</v>
      </c>
      <c r="U304" s="6" t="s">
        <v>1571</v>
      </c>
      <c r="V304" s="6" t="s">
        <v>68</v>
      </c>
      <c r="W304" s="7" t="str">
        <f t="shared" si="69"/>
        <v>Same Day</v>
      </c>
      <c r="X304" s="6">
        <v>2</v>
      </c>
      <c r="Y304" s="6">
        <v>2703.28</v>
      </c>
      <c r="Z304" s="6">
        <v>0.25</v>
      </c>
      <c r="AA304" s="6">
        <f t="shared" si="71"/>
        <v>0.25</v>
      </c>
      <c r="AB304" s="6" t="str">
        <f t="shared" si="72"/>
        <v>Valid</v>
      </c>
      <c r="AC304" s="6">
        <v>4054.92</v>
      </c>
      <c r="AD304" s="6" t="str">
        <f>IF(OR(AO304="Cancelled",AM304="Failed"),"Exclude from Completed Sales","Include in Completed Sales")</f>
        <v>Include in Completed Sales</v>
      </c>
      <c r="AE304" s="6">
        <f t="shared" si="73"/>
        <v>4054.92</v>
      </c>
      <c r="AF304" s="6" t="str">
        <f t="shared" si="74"/>
        <v/>
      </c>
      <c r="AG304" s="6">
        <v>2424.83</v>
      </c>
      <c r="AH304" s="6">
        <v>1630.09</v>
      </c>
      <c r="AI304" s="6">
        <f t="shared" si="75"/>
        <v>1630.0900000000001</v>
      </c>
      <c r="AJ304" s="11">
        <f t="shared" si="76"/>
        <v>0.40200299882611745</v>
      </c>
      <c r="AK304" s="11" t="str">
        <f t="shared" si="77"/>
        <v>June</v>
      </c>
      <c r="AL304" s="12">
        <f t="shared" si="78"/>
        <v>2025</v>
      </c>
      <c r="AM304" s="6" t="s">
        <v>54</v>
      </c>
      <c r="AN304" s="6" t="s">
        <v>55</v>
      </c>
      <c r="AO304" s="6" t="str">
        <f t="shared" si="70"/>
        <v>Completed</v>
      </c>
    </row>
    <row r="305" spans="1:41">
      <c r="A305" s="6" t="s">
        <v>1572</v>
      </c>
      <c r="B305" s="7" t="s">
        <v>1573</v>
      </c>
      <c r="C305" s="8">
        <v>45466</v>
      </c>
      <c r="D305" s="7" t="s">
        <v>1063</v>
      </c>
      <c r="E305" s="9">
        <v>45471</v>
      </c>
      <c r="F305" s="9" t="str">
        <f t="shared" si="63"/>
        <v>Valid</v>
      </c>
      <c r="G305" s="10">
        <f t="shared" si="64"/>
        <v>5</v>
      </c>
      <c r="H305" s="10" t="str">
        <f t="shared" si="65"/>
        <v>Valid</v>
      </c>
      <c r="I305" s="6" t="s">
        <v>1574</v>
      </c>
      <c r="J305" s="6" t="s">
        <v>230</v>
      </c>
      <c r="K305" s="6" t="s">
        <v>230</v>
      </c>
      <c r="L305" s="6" t="s">
        <v>135</v>
      </c>
      <c r="M305" s="7" t="str">
        <f t="shared" si="66"/>
        <v>Home Office</v>
      </c>
      <c r="N305" s="6" t="s">
        <v>93</v>
      </c>
      <c r="O305" s="7" t="str">
        <f t="shared" si="67"/>
        <v>West</v>
      </c>
      <c r="P305" s="6" t="s">
        <v>255</v>
      </c>
      <c r="Q305" s="6" t="s">
        <v>256</v>
      </c>
      <c r="R305" s="6" t="s">
        <v>65</v>
      </c>
      <c r="S305" s="7" t="str">
        <f t="shared" si="68"/>
        <v>Furniture</v>
      </c>
      <c r="T305" s="6" t="s">
        <v>96</v>
      </c>
      <c r="U305" s="6" t="s">
        <v>1575</v>
      </c>
      <c r="V305" s="6" t="s">
        <v>87</v>
      </c>
      <c r="W305" s="7" t="str">
        <f t="shared" si="69"/>
        <v>Standard Class</v>
      </c>
      <c r="X305" s="6">
        <v>2</v>
      </c>
      <c r="Y305" s="6">
        <v>1313.14</v>
      </c>
      <c r="Z305" s="6">
        <v>0.1</v>
      </c>
      <c r="AA305" s="6">
        <f t="shared" si="71"/>
        <v>0.1</v>
      </c>
      <c r="AB305" s="6" t="str">
        <f t="shared" si="72"/>
        <v>Valid</v>
      </c>
      <c r="AC305" s="6">
        <v>2363.65</v>
      </c>
      <c r="AD305" s="6" t="str">
        <f>IF(OR(AO305="Cancelled",AM305="Failed"),"Exclude from Completed Sales","Include in Completed Sales")</f>
        <v>Include in Completed Sales</v>
      </c>
      <c r="AE305" s="6">
        <f t="shared" si="73"/>
        <v>2363.652</v>
      </c>
      <c r="AF305" s="6" t="str">
        <f t="shared" si="74"/>
        <v/>
      </c>
      <c r="AG305" s="6">
        <v>1876.1</v>
      </c>
      <c r="AH305" s="6">
        <v>487.55</v>
      </c>
      <c r="AI305" s="6">
        <f t="shared" si="75"/>
        <v>487.55200000000013</v>
      </c>
      <c r="AJ305" s="11">
        <f t="shared" si="76"/>
        <v>0.20627063544041174</v>
      </c>
      <c r="AK305" s="11" t="str">
        <f t="shared" si="77"/>
        <v>June</v>
      </c>
      <c r="AL305" s="12">
        <f t="shared" si="78"/>
        <v>2024</v>
      </c>
      <c r="AM305" s="6" t="s">
        <v>157</v>
      </c>
      <c r="AN305" s="6" t="s">
        <v>145</v>
      </c>
      <c r="AO305" s="6" t="str">
        <f t="shared" si="70"/>
        <v>Returned</v>
      </c>
    </row>
    <row r="306" spans="1:41">
      <c r="A306" s="6" t="s">
        <v>1576</v>
      </c>
      <c r="B306" s="7" t="s">
        <v>1577</v>
      </c>
      <c r="C306" s="8">
        <v>45357</v>
      </c>
      <c r="D306" s="7" t="s">
        <v>1578</v>
      </c>
      <c r="E306" s="9">
        <v>45364</v>
      </c>
      <c r="F306" s="9" t="str">
        <f t="shared" si="63"/>
        <v>Valid</v>
      </c>
      <c r="G306" s="10">
        <f t="shared" si="64"/>
        <v>7</v>
      </c>
      <c r="H306" s="10" t="str">
        <f t="shared" si="65"/>
        <v>Valid</v>
      </c>
      <c r="I306" s="6" t="s">
        <v>1579</v>
      </c>
      <c r="J306" s="6" t="s">
        <v>45</v>
      </c>
      <c r="K306" s="6" t="s">
        <v>45</v>
      </c>
      <c r="L306" s="6" t="s">
        <v>46</v>
      </c>
      <c r="M306" s="7" t="str">
        <f t="shared" si="66"/>
        <v>Consumer</v>
      </c>
      <c r="N306" s="6" t="s">
        <v>47</v>
      </c>
      <c r="O306" s="7" t="str">
        <f t="shared" si="67"/>
        <v>North</v>
      </c>
      <c r="P306" s="6" t="s">
        <v>174</v>
      </c>
      <c r="Q306" s="6" t="s">
        <v>175</v>
      </c>
      <c r="R306" s="6" t="s">
        <v>65</v>
      </c>
      <c r="S306" s="7" t="str">
        <f t="shared" si="68"/>
        <v>Furniture</v>
      </c>
      <c r="T306" s="6" t="s">
        <v>85</v>
      </c>
      <c r="U306" s="6" t="s">
        <v>1580</v>
      </c>
      <c r="V306" s="6" t="s">
        <v>87</v>
      </c>
      <c r="W306" s="7" t="str">
        <f t="shared" si="69"/>
        <v>Standard Class</v>
      </c>
      <c r="X306" s="6">
        <v>6</v>
      </c>
      <c r="Y306" s="6">
        <v>2403.0500000000002</v>
      </c>
      <c r="Z306" s="6">
        <v>0.1</v>
      </c>
      <c r="AA306" s="6">
        <f t="shared" si="71"/>
        <v>0.1</v>
      </c>
      <c r="AB306" s="6" t="str">
        <f t="shared" si="72"/>
        <v>Valid</v>
      </c>
      <c r="AC306" s="6">
        <v>12976.47</v>
      </c>
      <c r="AD306" s="6" t="str">
        <f>IF(OR(AO306="Cancelled",AM306="Failed"),"Exclude from Completed Sales","Include in Completed Sales")</f>
        <v>Include in Completed Sales</v>
      </c>
      <c r="AE306" s="6">
        <f t="shared" si="73"/>
        <v>12976.470000000001</v>
      </c>
      <c r="AF306" s="6" t="str">
        <f t="shared" si="74"/>
        <v/>
      </c>
      <c r="AG306" s="6">
        <v>10019.98</v>
      </c>
      <c r="AH306" s="6">
        <v>2956.49</v>
      </c>
      <c r="AI306" s="6">
        <f t="shared" si="75"/>
        <v>2956.4900000000016</v>
      </c>
      <c r="AJ306" s="11">
        <f t="shared" si="76"/>
        <v>0.22783468847845378</v>
      </c>
      <c r="AK306" s="11" t="str">
        <f t="shared" si="77"/>
        <v>March</v>
      </c>
      <c r="AL306" s="12">
        <f t="shared" si="78"/>
        <v>2024</v>
      </c>
      <c r="AM306" s="6" t="s">
        <v>54</v>
      </c>
      <c r="AN306" s="6" t="s">
        <v>55</v>
      </c>
      <c r="AO306" s="6" t="str">
        <f t="shared" si="70"/>
        <v>Completed</v>
      </c>
    </row>
    <row r="307" spans="1:41">
      <c r="A307" s="6" t="s">
        <v>1581</v>
      </c>
      <c r="B307" s="7" t="s">
        <v>1582</v>
      </c>
      <c r="C307" s="8">
        <v>45413</v>
      </c>
      <c r="D307" s="7" t="s">
        <v>1245</v>
      </c>
      <c r="E307" s="9">
        <v>45414</v>
      </c>
      <c r="F307" s="9" t="str">
        <f t="shared" si="63"/>
        <v>Valid</v>
      </c>
      <c r="G307" s="10">
        <f t="shared" si="64"/>
        <v>1</v>
      </c>
      <c r="H307" s="10" t="str">
        <f t="shared" si="65"/>
        <v>Valid</v>
      </c>
      <c r="I307" s="6" t="s">
        <v>1583</v>
      </c>
      <c r="J307" s="6" t="s">
        <v>92</v>
      </c>
      <c r="K307" s="6" t="s">
        <v>92</v>
      </c>
      <c r="L307" s="6" t="s">
        <v>46</v>
      </c>
      <c r="M307" s="7" t="str">
        <f t="shared" si="66"/>
        <v>Consumer</v>
      </c>
      <c r="N307" s="6" t="s">
        <v>62</v>
      </c>
      <c r="O307" s="7" t="str">
        <f t="shared" si="67"/>
        <v>East</v>
      </c>
      <c r="P307" s="6" t="s">
        <v>236</v>
      </c>
      <c r="Q307" s="6" t="s">
        <v>237</v>
      </c>
      <c r="R307" s="6" t="s">
        <v>65</v>
      </c>
      <c r="S307" s="7" t="str">
        <f t="shared" si="68"/>
        <v>Furniture</v>
      </c>
      <c r="T307" s="6" t="s">
        <v>96</v>
      </c>
      <c r="U307" s="6" t="s">
        <v>1584</v>
      </c>
      <c r="V307" s="6" t="s">
        <v>76</v>
      </c>
      <c r="W307" s="7" t="str">
        <f t="shared" si="69"/>
        <v>First Class</v>
      </c>
      <c r="X307" s="6">
        <v>4</v>
      </c>
      <c r="Y307" s="6">
        <v>4156.0600000000004</v>
      </c>
      <c r="Z307" s="6">
        <v>0.55000000000000004</v>
      </c>
      <c r="AA307" s="6">
        <f t="shared" si="71"/>
        <v>0.55000000000000004</v>
      </c>
      <c r="AB307" s="6" t="str">
        <f t="shared" si="72"/>
        <v>Valid</v>
      </c>
      <c r="AC307" s="6">
        <v>13299.39</v>
      </c>
      <c r="AD307" s="6" t="str">
        <f>IF(OR(AO307="Cancelled",AM307="Failed"),"Exclude from Completed Sales","Include in Completed Sales")</f>
        <v>Exclude from Completed Sales</v>
      </c>
      <c r="AE307" s="6">
        <f t="shared" si="73"/>
        <v>7480.9080000000004</v>
      </c>
      <c r="AF307" s="6" t="str">
        <f t="shared" si="74"/>
        <v/>
      </c>
      <c r="AG307" s="6">
        <v>9851.91</v>
      </c>
      <c r="AH307" s="6">
        <v>3447.48</v>
      </c>
      <c r="AI307" s="6">
        <f t="shared" si="75"/>
        <v>-2371.0019999999995</v>
      </c>
      <c r="AJ307" s="11">
        <f t="shared" si="76"/>
        <v>-0.31694040349112695</v>
      </c>
      <c r="AK307" s="11" t="str">
        <f t="shared" si="77"/>
        <v>May</v>
      </c>
      <c r="AL307" s="12">
        <f t="shared" si="78"/>
        <v>2024</v>
      </c>
      <c r="AM307" s="6" t="s">
        <v>54</v>
      </c>
      <c r="AN307" s="6" t="s">
        <v>98</v>
      </c>
      <c r="AO307" s="6" t="str">
        <f t="shared" si="70"/>
        <v>Cancelled</v>
      </c>
    </row>
    <row r="308" spans="1:41">
      <c r="A308" s="6" t="s">
        <v>1585</v>
      </c>
      <c r="B308" s="7" t="s">
        <v>1586</v>
      </c>
      <c r="C308" s="8">
        <v>45708</v>
      </c>
      <c r="D308" s="7" t="s">
        <v>117</v>
      </c>
      <c r="E308" s="9">
        <v>45711</v>
      </c>
      <c r="F308" s="9" t="str">
        <f t="shared" si="63"/>
        <v>Valid</v>
      </c>
      <c r="G308" s="10">
        <f t="shared" si="64"/>
        <v>3</v>
      </c>
      <c r="H308" s="10" t="str">
        <f t="shared" si="65"/>
        <v>Valid</v>
      </c>
      <c r="I308" s="6" t="s">
        <v>1587</v>
      </c>
      <c r="J308" s="6" t="s">
        <v>182</v>
      </c>
      <c r="K308" s="6" t="s">
        <v>182</v>
      </c>
      <c r="L308" s="6" t="s">
        <v>46</v>
      </c>
      <c r="M308" s="7" t="str">
        <f t="shared" si="66"/>
        <v>Consumer</v>
      </c>
      <c r="N308" s="6" t="s">
        <v>47</v>
      </c>
      <c r="O308" s="7" t="str">
        <f t="shared" si="67"/>
        <v>North</v>
      </c>
      <c r="P308" s="6" t="s">
        <v>48</v>
      </c>
      <c r="Q308" s="6" t="s">
        <v>49</v>
      </c>
      <c r="R308" s="6" t="s">
        <v>106</v>
      </c>
      <c r="S308" s="7" t="str">
        <f t="shared" si="68"/>
        <v>Technology</v>
      </c>
      <c r="T308" s="6" t="s">
        <v>243</v>
      </c>
      <c r="U308" s="6" t="s">
        <v>1588</v>
      </c>
      <c r="V308" s="6" t="s">
        <v>53</v>
      </c>
      <c r="W308" s="7" t="str">
        <f t="shared" si="69"/>
        <v>Second Class</v>
      </c>
      <c r="X308" s="6">
        <v>4</v>
      </c>
      <c r="Y308" s="6">
        <v>3673.11</v>
      </c>
      <c r="Z308" s="6">
        <v>0</v>
      </c>
      <c r="AA308" s="6">
        <f t="shared" si="71"/>
        <v>0</v>
      </c>
      <c r="AB308" s="6" t="str">
        <f t="shared" si="72"/>
        <v>Valid</v>
      </c>
      <c r="AC308" s="6">
        <v>14692.44</v>
      </c>
      <c r="AD308" s="6" t="str">
        <f>IF(OR(AO308="Cancelled",AM308="Failed"),"Exclude from Completed Sales","Include in Completed Sales")</f>
        <v>Include in Completed Sales</v>
      </c>
      <c r="AE308" s="6">
        <f t="shared" si="73"/>
        <v>14692.44</v>
      </c>
      <c r="AF308" s="6" t="str">
        <f t="shared" si="74"/>
        <v/>
      </c>
      <c r="AG308" s="6">
        <v>10082.19</v>
      </c>
      <c r="AH308" s="6">
        <v>4610.25</v>
      </c>
      <c r="AI308" s="6">
        <f t="shared" si="75"/>
        <v>4610.25</v>
      </c>
      <c r="AJ308" s="11">
        <f t="shared" si="76"/>
        <v>0.31378382351740075</v>
      </c>
      <c r="AK308" s="11" t="str">
        <f t="shared" si="77"/>
        <v>February</v>
      </c>
      <c r="AL308" s="12">
        <f t="shared" si="78"/>
        <v>2025</v>
      </c>
      <c r="AM308" s="6" t="s">
        <v>54</v>
      </c>
      <c r="AN308" s="6" t="s">
        <v>55</v>
      </c>
      <c r="AO308" s="6" t="str">
        <f t="shared" si="70"/>
        <v>Completed</v>
      </c>
    </row>
    <row r="309" spans="1:41">
      <c r="A309" s="6" t="s">
        <v>1589</v>
      </c>
      <c r="B309" s="7" t="s">
        <v>1590</v>
      </c>
      <c r="C309" s="8">
        <v>45850</v>
      </c>
      <c r="D309" s="7" t="s">
        <v>1591</v>
      </c>
      <c r="E309" s="9">
        <v>45857</v>
      </c>
      <c r="F309" s="9" t="str">
        <f t="shared" si="63"/>
        <v>Valid</v>
      </c>
      <c r="G309" s="10">
        <f t="shared" si="64"/>
        <v>7</v>
      </c>
      <c r="H309" s="10" t="str">
        <f t="shared" si="65"/>
        <v>Valid</v>
      </c>
      <c r="I309" s="6" t="s">
        <v>1592</v>
      </c>
      <c r="J309" s="6" t="s">
        <v>92</v>
      </c>
      <c r="K309" s="6" t="s">
        <v>92</v>
      </c>
      <c r="L309" s="6" t="s">
        <v>128</v>
      </c>
      <c r="M309" s="7" t="str">
        <f t="shared" si="66"/>
        <v>Corporate</v>
      </c>
      <c r="N309" s="6" t="s">
        <v>47</v>
      </c>
      <c r="O309" s="7" t="str">
        <f t="shared" si="67"/>
        <v>North</v>
      </c>
      <c r="P309" s="6" t="s">
        <v>194</v>
      </c>
      <c r="Q309" s="6" t="s">
        <v>195</v>
      </c>
      <c r="R309" s="6" t="s">
        <v>65</v>
      </c>
      <c r="S309" s="7" t="str">
        <f t="shared" si="68"/>
        <v>Furniture</v>
      </c>
      <c r="T309" s="6" t="s">
        <v>66</v>
      </c>
      <c r="U309" s="6" t="s">
        <v>1593</v>
      </c>
      <c r="V309" s="6" t="s">
        <v>76</v>
      </c>
      <c r="W309" s="7" t="str">
        <f t="shared" si="69"/>
        <v>First Class</v>
      </c>
      <c r="X309" s="6">
        <v>9</v>
      </c>
      <c r="Y309" s="6">
        <v>4093.04</v>
      </c>
      <c r="Z309" s="6">
        <v>0.2</v>
      </c>
      <c r="AA309" s="6">
        <f t="shared" si="71"/>
        <v>0.2</v>
      </c>
      <c r="AB309" s="6" t="str">
        <f t="shared" si="72"/>
        <v>Valid</v>
      </c>
      <c r="AC309" s="6">
        <v>29469.89</v>
      </c>
      <c r="AD309" s="6" t="str">
        <f>IF(OR(AO309="Cancelled",AM309="Failed"),"Exclude from Completed Sales","Include in Completed Sales")</f>
        <v>Exclude from Completed Sales</v>
      </c>
      <c r="AE309" s="6">
        <f t="shared" si="73"/>
        <v>29469.888000000003</v>
      </c>
      <c r="AF309" s="6" t="str">
        <f t="shared" si="74"/>
        <v/>
      </c>
      <c r="AG309" s="6">
        <v>18935.509999999998</v>
      </c>
      <c r="AH309" s="6">
        <v>10534.38</v>
      </c>
      <c r="AI309" s="6">
        <f t="shared" si="75"/>
        <v>10534.378000000004</v>
      </c>
      <c r="AJ309" s="11">
        <f t="shared" si="76"/>
        <v>0.3574624375905332</v>
      </c>
      <c r="AK309" s="11" t="str">
        <f t="shared" si="77"/>
        <v>July</v>
      </c>
      <c r="AL309" s="12">
        <f t="shared" si="78"/>
        <v>2025</v>
      </c>
      <c r="AM309" s="6" t="s">
        <v>1594</v>
      </c>
      <c r="AN309" s="6" t="s">
        <v>98</v>
      </c>
      <c r="AO309" s="6" t="str">
        <f t="shared" si="70"/>
        <v>Cancelled</v>
      </c>
    </row>
    <row r="310" spans="1:41">
      <c r="A310" s="6" t="s">
        <v>1595</v>
      </c>
      <c r="B310" s="7" t="s">
        <v>1596</v>
      </c>
      <c r="C310" s="8">
        <v>45821</v>
      </c>
      <c r="D310" s="7" t="s">
        <v>1597</v>
      </c>
      <c r="E310" s="9">
        <v>45827</v>
      </c>
      <c r="F310" s="9" t="str">
        <f t="shared" si="63"/>
        <v>Valid</v>
      </c>
      <c r="G310" s="10">
        <f t="shared" si="64"/>
        <v>6</v>
      </c>
      <c r="H310" s="10" t="str">
        <f t="shared" si="65"/>
        <v>Valid</v>
      </c>
      <c r="I310" s="6" t="s">
        <v>1598</v>
      </c>
      <c r="J310" s="6" t="s">
        <v>200</v>
      </c>
      <c r="K310" s="6" t="s">
        <v>200</v>
      </c>
      <c r="L310" s="6" t="s">
        <v>46</v>
      </c>
      <c r="M310" s="7" t="str">
        <f t="shared" si="66"/>
        <v>Consumer</v>
      </c>
      <c r="N310" s="6" t="s">
        <v>47</v>
      </c>
      <c r="O310" s="7" t="str">
        <f t="shared" si="67"/>
        <v>North</v>
      </c>
      <c r="P310" s="6" t="s">
        <v>48</v>
      </c>
      <c r="Q310" s="6" t="s">
        <v>49</v>
      </c>
      <c r="R310" s="6" t="s">
        <v>65</v>
      </c>
      <c r="S310" s="7" t="str">
        <f t="shared" si="68"/>
        <v>Furniture</v>
      </c>
      <c r="T310" s="6" t="s">
        <v>66</v>
      </c>
      <c r="U310" s="6" t="s">
        <v>1599</v>
      </c>
      <c r="V310" s="6" t="s">
        <v>76</v>
      </c>
      <c r="W310" s="7" t="str">
        <f t="shared" si="69"/>
        <v>First Class</v>
      </c>
      <c r="X310" s="6">
        <v>4</v>
      </c>
      <c r="Y310" s="6">
        <v>731.57</v>
      </c>
      <c r="Z310" s="6">
        <v>0.2</v>
      </c>
      <c r="AA310" s="6">
        <f t="shared" si="71"/>
        <v>0.2</v>
      </c>
      <c r="AB310" s="6" t="str">
        <f t="shared" si="72"/>
        <v>Valid</v>
      </c>
      <c r="AC310" s="6">
        <v>2341.02</v>
      </c>
      <c r="AD310" s="6" t="str">
        <f>IF(OR(AO310="Cancelled",AM310="Failed"),"Exclude from Completed Sales","Include in Completed Sales")</f>
        <v>Include in Completed Sales</v>
      </c>
      <c r="AE310" s="6">
        <f t="shared" si="73"/>
        <v>2341.0240000000003</v>
      </c>
      <c r="AF310" s="6" t="str">
        <f t="shared" si="74"/>
        <v/>
      </c>
      <c r="AG310" s="6">
        <v>1565.49</v>
      </c>
      <c r="AH310" s="6">
        <v>775.53</v>
      </c>
      <c r="AI310" s="6">
        <f t="shared" si="75"/>
        <v>775.53400000000033</v>
      </c>
      <c r="AJ310" s="11">
        <f t="shared" si="76"/>
        <v>0.33127981601213835</v>
      </c>
      <c r="AK310" s="11" t="str">
        <f t="shared" si="77"/>
        <v>June</v>
      </c>
      <c r="AL310" s="12">
        <f t="shared" si="78"/>
        <v>2025</v>
      </c>
      <c r="AM310" s="6" t="s">
        <v>54</v>
      </c>
      <c r="AN310" s="6" t="s">
        <v>55</v>
      </c>
      <c r="AO310" s="6" t="str">
        <f t="shared" si="70"/>
        <v>Completed</v>
      </c>
    </row>
    <row r="311" spans="1:41">
      <c r="A311" s="6" t="s">
        <v>1600</v>
      </c>
      <c r="B311" s="7" t="s">
        <v>1601</v>
      </c>
      <c r="C311" s="8">
        <v>45493</v>
      </c>
      <c r="D311" s="7" t="s">
        <v>147</v>
      </c>
      <c r="E311" s="9">
        <v>45495</v>
      </c>
      <c r="F311" s="9" t="str">
        <f t="shared" si="63"/>
        <v>Valid</v>
      </c>
      <c r="G311" s="10">
        <f t="shared" si="64"/>
        <v>2</v>
      </c>
      <c r="H311" s="10" t="str">
        <f t="shared" si="65"/>
        <v>Valid</v>
      </c>
      <c r="I311" s="6" t="s">
        <v>1602</v>
      </c>
      <c r="J311" s="6" t="s">
        <v>92</v>
      </c>
      <c r="K311" s="6" t="s">
        <v>92</v>
      </c>
      <c r="L311" s="6" t="s">
        <v>46</v>
      </c>
      <c r="M311" s="7" t="str">
        <f t="shared" si="66"/>
        <v>Consumer</v>
      </c>
      <c r="N311" s="6" t="s">
        <v>82</v>
      </c>
      <c r="O311" s="7" t="str">
        <f t="shared" si="67"/>
        <v>South</v>
      </c>
      <c r="P311" s="6" t="s">
        <v>359</v>
      </c>
      <c r="Q311" s="6" t="s">
        <v>360</v>
      </c>
      <c r="R311" s="6" t="s">
        <v>65</v>
      </c>
      <c r="S311" s="7" t="str">
        <f t="shared" si="68"/>
        <v>Furniture</v>
      </c>
      <c r="T311" s="6" t="s">
        <v>66</v>
      </c>
      <c r="U311" s="6" t="s">
        <v>1603</v>
      </c>
      <c r="V311" s="6" t="s">
        <v>76</v>
      </c>
      <c r="W311" s="7" t="str">
        <f t="shared" si="69"/>
        <v>First Class</v>
      </c>
      <c r="X311" s="6">
        <v>7</v>
      </c>
      <c r="Y311" s="6">
        <v>2060.73</v>
      </c>
      <c r="Z311" s="6">
        <v>0.1</v>
      </c>
      <c r="AA311" s="6">
        <f t="shared" si="71"/>
        <v>0.1</v>
      </c>
      <c r="AB311" s="6" t="str">
        <f t="shared" si="72"/>
        <v>Valid</v>
      </c>
      <c r="AC311" s="6">
        <v>12982.6</v>
      </c>
      <c r="AD311" s="6" t="str">
        <f>IF(OR(AO311="Cancelled",AM311="Failed"),"Exclude from Completed Sales","Include in Completed Sales")</f>
        <v>Exclude from Completed Sales</v>
      </c>
      <c r="AE311" s="6">
        <f t="shared" si="73"/>
        <v>12982.599</v>
      </c>
      <c r="AF311" s="6" t="str">
        <f t="shared" si="74"/>
        <v/>
      </c>
      <c r="AG311" s="6">
        <v>7246.36</v>
      </c>
      <c r="AH311" s="6">
        <v>5736.24</v>
      </c>
      <c r="AI311" s="6">
        <f t="shared" si="75"/>
        <v>5736.2390000000005</v>
      </c>
      <c r="AJ311" s="11">
        <f t="shared" si="76"/>
        <v>0.441840574448922</v>
      </c>
      <c r="AK311" s="11" t="str">
        <f t="shared" si="77"/>
        <v>July</v>
      </c>
      <c r="AL311" s="12">
        <f t="shared" si="78"/>
        <v>2024</v>
      </c>
      <c r="AM311" s="6" t="s">
        <v>54</v>
      </c>
      <c r="AN311" s="6" t="s">
        <v>98</v>
      </c>
      <c r="AO311" s="6" t="str">
        <f t="shared" si="70"/>
        <v>Cancelled</v>
      </c>
    </row>
    <row r="312" spans="1:41">
      <c r="A312" s="6" t="s">
        <v>1604</v>
      </c>
      <c r="B312" s="7" t="s">
        <v>1605</v>
      </c>
      <c r="C312" s="8">
        <v>45477</v>
      </c>
      <c r="D312" s="7" t="s">
        <v>1606</v>
      </c>
      <c r="E312" s="9">
        <v>45481</v>
      </c>
      <c r="F312" s="9" t="str">
        <f t="shared" si="63"/>
        <v>Valid</v>
      </c>
      <c r="G312" s="10">
        <f t="shared" si="64"/>
        <v>4</v>
      </c>
      <c r="H312" s="10" t="str">
        <f t="shared" si="65"/>
        <v>Valid</v>
      </c>
      <c r="I312" s="6" t="s">
        <v>1607</v>
      </c>
      <c r="J312" s="6" t="s">
        <v>200</v>
      </c>
      <c r="K312" s="6" t="s">
        <v>200</v>
      </c>
      <c r="L312" s="6" t="s">
        <v>61</v>
      </c>
      <c r="M312" s="7" t="str">
        <f t="shared" si="66"/>
        <v>Small Business</v>
      </c>
      <c r="N312" s="6" t="s">
        <v>82</v>
      </c>
      <c r="O312" s="7" t="str">
        <f t="shared" si="67"/>
        <v>South</v>
      </c>
      <c r="P312" s="6" t="s">
        <v>359</v>
      </c>
      <c r="Q312" s="6" t="s">
        <v>360</v>
      </c>
      <c r="R312" s="6" t="s">
        <v>106</v>
      </c>
      <c r="S312" s="7" t="str">
        <f t="shared" si="68"/>
        <v>Technology</v>
      </c>
      <c r="T312" s="6" t="s">
        <v>402</v>
      </c>
      <c r="U312" s="6" t="s">
        <v>1608</v>
      </c>
      <c r="V312" s="6" t="s">
        <v>76</v>
      </c>
      <c r="W312" s="7" t="str">
        <f t="shared" si="69"/>
        <v>First Class</v>
      </c>
      <c r="X312" s="6">
        <v>8</v>
      </c>
      <c r="Y312" s="6">
        <v>2034.25</v>
      </c>
      <c r="Z312" s="6">
        <v>0</v>
      </c>
      <c r="AA312" s="6">
        <f t="shared" si="71"/>
        <v>0</v>
      </c>
      <c r="AB312" s="6" t="str">
        <f t="shared" si="72"/>
        <v>Valid</v>
      </c>
      <c r="AC312" s="6">
        <v>16274</v>
      </c>
      <c r="AD312" s="6" t="str">
        <f>IF(OR(AO312="Cancelled",AM312="Failed"),"Exclude from Completed Sales","Include in Completed Sales")</f>
        <v>Include in Completed Sales</v>
      </c>
      <c r="AE312" s="6">
        <f t="shared" si="73"/>
        <v>16274</v>
      </c>
      <c r="AF312" s="6" t="str">
        <f t="shared" si="74"/>
        <v/>
      </c>
      <c r="AG312" s="6">
        <v>9424.25</v>
      </c>
      <c r="AH312" s="6">
        <v>6849.75</v>
      </c>
      <c r="AI312" s="6">
        <f t="shared" si="75"/>
        <v>6849.75</v>
      </c>
      <c r="AJ312" s="11">
        <f t="shared" si="76"/>
        <v>0.42090143787636719</v>
      </c>
      <c r="AK312" s="11" t="str">
        <f t="shared" si="77"/>
        <v>July</v>
      </c>
      <c r="AL312" s="12">
        <f t="shared" si="78"/>
        <v>2024</v>
      </c>
      <c r="AM312" s="6" t="s">
        <v>54</v>
      </c>
      <c r="AN312" s="6" t="s">
        <v>55</v>
      </c>
      <c r="AO312" s="6" t="str">
        <f t="shared" si="70"/>
        <v>Completed</v>
      </c>
    </row>
    <row r="313" spans="1:41">
      <c r="A313" s="6" t="s">
        <v>1609</v>
      </c>
      <c r="B313" s="7" t="s">
        <v>1610</v>
      </c>
      <c r="C313" s="8">
        <v>45409</v>
      </c>
      <c r="D313" s="7" t="s">
        <v>968</v>
      </c>
      <c r="E313" s="9">
        <v>45414</v>
      </c>
      <c r="F313" s="9" t="str">
        <f t="shared" si="63"/>
        <v>Valid</v>
      </c>
      <c r="G313" s="10">
        <f t="shared" si="64"/>
        <v>5</v>
      </c>
      <c r="H313" s="10" t="str">
        <f t="shared" si="65"/>
        <v>Valid</v>
      </c>
      <c r="I313" s="6" t="s">
        <v>1611</v>
      </c>
      <c r="J313" s="6" t="s">
        <v>60</v>
      </c>
      <c r="K313" s="6" t="s">
        <v>60</v>
      </c>
      <c r="L313" s="6" t="s">
        <v>128</v>
      </c>
      <c r="M313" s="7" t="str">
        <f t="shared" si="66"/>
        <v>Corporate</v>
      </c>
      <c r="N313" s="6" t="s">
        <v>82</v>
      </c>
      <c r="O313" s="7" t="str">
        <f t="shared" si="67"/>
        <v>South</v>
      </c>
      <c r="P313" s="6" t="s">
        <v>249</v>
      </c>
      <c r="Q313" s="6" t="s">
        <v>250</v>
      </c>
      <c r="R313" s="6" t="s">
        <v>50</v>
      </c>
      <c r="S313" s="7" t="str">
        <f t="shared" si="68"/>
        <v>Office Supplies</v>
      </c>
      <c r="T313" s="6" t="s">
        <v>218</v>
      </c>
      <c r="U313" s="6" t="s">
        <v>1612</v>
      </c>
      <c r="V313" s="6" t="s">
        <v>53</v>
      </c>
      <c r="W313" s="7" t="str">
        <f t="shared" si="69"/>
        <v>Second Class</v>
      </c>
      <c r="X313" s="6">
        <v>5</v>
      </c>
      <c r="Y313" s="6">
        <v>554.04</v>
      </c>
      <c r="Z313" s="6">
        <v>0.1</v>
      </c>
      <c r="AA313" s="6">
        <f t="shared" si="71"/>
        <v>0.1</v>
      </c>
      <c r="AB313" s="6" t="str">
        <f t="shared" si="72"/>
        <v>Valid</v>
      </c>
      <c r="AC313" s="6">
        <v>2493.1799999999998</v>
      </c>
      <c r="AD313" s="6" t="str">
        <f>IF(OR(AO313="Cancelled",AM313="Failed"),"Exclude from Completed Sales","Include in Completed Sales")</f>
        <v>Include in Completed Sales</v>
      </c>
      <c r="AE313" s="6">
        <f t="shared" si="73"/>
        <v>2493.1799999999998</v>
      </c>
      <c r="AF313" s="6" t="str">
        <f t="shared" si="74"/>
        <v/>
      </c>
      <c r="AG313" s="6">
        <v>1764</v>
      </c>
      <c r="AH313" s="6">
        <v>729.18</v>
      </c>
      <c r="AI313" s="6">
        <f t="shared" si="75"/>
        <v>729.17999999999984</v>
      </c>
      <c r="AJ313" s="11">
        <f t="shared" si="76"/>
        <v>0.29246985777200196</v>
      </c>
      <c r="AK313" s="11" t="str">
        <f t="shared" si="77"/>
        <v>April</v>
      </c>
      <c r="AL313" s="12">
        <f t="shared" si="78"/>
        <v>2024</v>
      </c>
      <c r="AM313" s="6" t="s">
        <v>54</v>
      </c>
      <c r="AN313" s="6" t="s">
        <v>55</v>
      </c>
      <c r="AO313" s="6" t="str">
        <f t="shared" si="70"/>
        <v>Completed</v>
      </c>
    </row>
    <row r="314" spans="1:41">
      <c r="A314" s="6" t="s">
        <v>1613</v>
      </c>
      <c r="B314" s="7" t="s">
        <v>1614</v>
      </c>
      <c r="C314" s="8">
        <v>45504</v>
      </c>
      <c r="D314" s="7" t="s">
        <v>536</v>
      </c>
      <c r="E314" s="9">
        <v>45508</v>
      </c>
      <c r="F314" s="9" t="str">
        <f t="shared" si="63"/>
        <v>Valid</v>
      </c>
      <c r="G314" s="10">
        <f t="shared" si="64"/>
        <v>4</v>
      </c>
      <c r="H314" s="10" t="str">
        <f t="shared" si="65"/>
        <v>Valid</v>
      </c>
      <c r="I314" s="6" t="s">
        <v>1615</v>
      </c>
      <c r="J314" s="6" t="s">
        <v>45</v>
      </c>
      <c r="K314" s="6" t="s">
        <v>45</v>
      </c>
      <c r="L314" s="6" t="s">
        <v>61</v>
      </c>
      <c r="M314" s="7" t="str">
        <f t="shared" si="66"/>
        <v>Small Business</v>
      </c>
      <c r="N314" s="6" t="s">
        <v>62</v>
      </c>
      <c r="O314" s="7" t="str">
        <f t="shared" si="67"/>
        <v>East</v>
      </c>
      <c r="P314" s="6" t="s">
        <v>236</v>
      </c>
      <c r="Q314" s="6" t="s">
        <v>237</v>
      </c>
      <c r="R314" s="6" t="s">
        <v>106</v>
      </c>
      <c r="S314" s="7" t="str">
        <f t="shared" si="68"/>
        <v>Technology</v>
      </c>
      <c r="T314" s="6" t="s">
        <v>243</v>
      </c>
      <c r="U314" s="6" t="s">
        <v>1616</v>
      </c>
      <c r="V314" s="6" t="s">
        <v>87</v>
      </c>
      <c r="W314" s="7" t="str">
        <f t="shared" si="69"/>
        <v>Standard Class</v>
      </c>
      <c r="X314" s="6">
        <v>8</v>
      </c>
      <c r="Y314" s="6">
        <v>2614.7399999999998</v>
      </c>
      <c r="Z314" s="6"/>
      <c r="AA314" s="6">
        <f t="shared" si="71"/>
        <v>0</v>
      </c>
      <c r="AB314" s="6" t="str">
        <f t="shared" si="72"/>
        <v>Valid</v>
      </c>
      <c r="AC314" s="6">
        <v>15688.44</v>
      </c>
      <c r="AD314" s="6" t="str">
        <f>IF(OR(AO314="Cancelled",AM314="Failed"),"Exclude from Completed Sales","Include in Completed Sales")</f>
        <v>Exclude from Completed Sales</v>
      </c>
      <c r="AE314" s="6">
        <f t="shared" si="73"/>
        <v>20917.919999999998</v>
      </c>
      <c r="AF314" s="6" t="str">
        <f t="shared" si="74"/>
        <v/>
      </c>
      <c r="AG314" s="6">
        <v>10047.33</v>
      </c>
      <c r="AH314" s="6">
        <v>5641.11</v>
      </c>
      <c r="AI314" s="6">
        <f t="shared" si="75"/>
        <v>10870.589999999998</v>
      </c>
      <c r="AJ314" s="11">
        <f t="shared" si="76"/>
        <v>0.5196783427797792</v>
      </c>
      <c r="AK314" s="11" t="str">
        <f t="shared" si="77"/>
        <v>July</v>
      </c>
      <c r="AL314" s="12">
        <f t="shared" si="78"/>
        <v>2024</v>
      </c>
      <c r="AM314" s="6" t="s">
        <v>54</v>
      </c>
      <c r="AN314" s="6" t="s">
        <v>98</v>
      </c>
      <c r="AO314" s="6" t="str">
        <f t="shared" si="70"/>
        <v>Cancelled</v>
      </c>
    </row>
    <row r="315" spans="1:41">
      <c r="A315" s="6" t="s">
        <v>1617</v>
      </c>
      <c r="B315" s="7" t="s">
        <v>1618</v>
      </c>
      <c r="C315" s="8">
        <v>45807</v>
      </c>
      <c r="D315" s="7" t="s">
        <v>1619</v>
      </c>
      <c r="E315" s="9">
        <v>45808</v>
      </c>
      <c r="F315" s="9" t="str">
        <f t="shared" si="63"/>
        <v>Valid</v>
      </c>
      <c r="G315" s="10">
        <f t="shared" si="64"/>
        <v>1</v>
      </c>
      <c r="H315" s="10" t="str">
        <f t="shared" si="65"/>
        <v>Valid</v>
      </c>
      <c r="I315" s="6" t="s">
        <v>1620</v>
      </c>
      <c r="J315" s="6" t="s">
        <v>168</v>
      </c>
      <c r="K315" s="6" t="s">
        <v>168</v>
      </c>
      <c r="L315" s="6" t="s">
        <v>128</v>
      </c>
      <c r="M315" s="7" t="str">
        <f t="shared" si="66"/>
        <v>Corporate</v>
      </c>
      <c r="N315" s="6" t="s">
        <v>47</v>
      </c>
      <c r="O315" s="7" t="str">
        <f t="shared" si="67"/>
        <v>North</v>
      </c>
      <c r="P315" s="6" t="s">
        <v>194</v>
      </c>
      <c r="Q315" s="6" t="s">
        <v>195</v>
      </c>
      <c r="R315" s="6" t="s">
        <v>106</v>
      </c>
      <c r="S315" s="7" t="str">
        <f t="shared" si="68"/>
        <v>Technology</v>
      </c>
      <c r="T315" s="6" t="s">
        <v>243</v>
      </c>
      <c r="U315" s="6" t="s">
        <v>1621</v>
      </c>
      <c r="V315" s="6" t="s">
        <v>76</v>
      </c>
      <c r="W315" s="7" t="str">
        <f t="shared" si="69"/>
        <v>First Class</v>
      </c>
      <c r="X315" s="6">
        <v>8</v>
      </c>
      <c r="Y315" s="6">
        <v>2081.4299999999998</v>
      </c>
      <c r="Z315" s="6">
        <v>0.25</v>
      </c>
      <c r="AA315" s="6">
        <f t="shared" si="71"/>
        <v>0.25</v>
      </c>
      <c r="AB315" s="6" t="str">
        <f t="shared" si="72"/>
        <v>Valid</v>
      </c>
      <c r="AC315" s="6">
        <v>12488.58</v>
      </c>
      <c r="AD315" s="6" t="str">
        <f>IF(OR(AO315="Cancelled",AM315="Failed"),"Exclude from Completed Sales","Include in Completed Sales")</f>
        <v>Exclude from Completed Sales</v>
      </c>
      <c r="AE315" s="6">
        <f t="shared" si="73"/>
        <v>12488.579999999998</v>
      </c>
      <c r="AF315" s="6" t="str">
        <f t="shared" si="74"/>
        <v>Refunded</v>
      </c>
      <c r="AG315" s="6">
        <v>10717.4</v>
      </c>
      <c r="AH315" s="6">
        <v>1771.18</v>
      </c>
      <c r="AI315" s="6">
        <f t="shared" si="75"/>
        <v>1771.1799999999985</v>
      </c>
      <c r="AJ315" s="11">
        <f t="shared" si="76"/>
        <v>0.14182397037933847</v>
      </c>
      <c r="AK315" s="11" t="str">
        <f t="shared" si="77"/>
        <v>May</v>
      </c>
      <c r="AL315" s="12">
        <f t="shared" si="78"/>
        <v>2025</v>
      </c>
      <c r="AM315" s="6" t="s">
        <v>144</v>
      </c>
      <c r="AN315" s="6" t="s">
        <v>98</v>
      </c>
      <c r="AO315" s="6" t="str">
        <f t="shared" si="70"/>
        <v>Cancelled</v>
      </c>
    </row>
    <row r="316" spans="1:41">
      <c r="A316" s="6" t="s">
        <v>1622</v>
      </c>
      <c r="B316" s="7" t="s">
        <v>1124</v>
      </c>
      <c r="C316" s="8">
        <v>45795</v>
      </c>
      <c r="D316" s="7" t="s">
        <v>138</v>
      </c>
      <c r="E316" s="9">
        <v>45797</v>
      </c>
      <c r="F316" s="9" t="str">
        <f t="shared" si="63"/>
        <v>Valid</v>
      </c>
      <c r="G316" s="10">
        <f t="shared" si="64"/>
        <v>2</v>
      </c>
      <c r="H316" s="10" t="str">
        <f t="shared" si="65"/>
        <v>Valid</v>
      </c>
      <c r="I316" s="6" t="s">
        <v>1623</v>
      </c>
      <c r="J316" s="6" t="s">
        <v>73</v>
      </c>
      <c r="K316" s="6" t="s">
        <v>73</v>
      </c>
      <c r="L316" s="6" t="s">
        <v>128</v>
      </c>
      <c r="M316" s="7" t="str">
        <f t="shared" si="66"/>
        <v>Corporate</v>
      </c>
      <c r="N316" s="6" t="s">
        <v>93</v>
      </c>
      <c r="O316" s="7" t="str">
        <f t="shared" si="67"/>
        <v>West</v>
      </c>
      <c r="P316" s="6" t="s">
        <v>104</v>
      </c>
      <c r="Q316" s="6" t="s">
        <v>105</v>
      </c>
      <c r="R316" s="6" t="s">
        <v>50</v>
      </c>
      <c r="S316" s="7" t="str">
        <f t="shared" si="68"/>
        <v>Office Supplies</v>
      </c>
      <c r="T316" s="6" t="s">
        <v>129</v>
      </c>
      <c r="U316" s="6" t="s">
        <v>1624</v>
      </c>
      <c r="V316" s="6" t="s">
        <v>87</v>
      </c>
      <c r="W316" s="7" t="str">
        <f t="shared" si="69"/>
        <v>Standard Class</v>
      </c>
      <c r="X316" s="6">
        <v>9</v>
      </c>
      <c r="Y316" s="6">
        <v>847.76</v>
      </c>
      <c r="Z316" s="6">
        <v>0.15</v>
      </c>
      <c r="AA316" s="6">
        <f t="shared" si="71"/>
        <v>0.15</v>
      </c>
      <c r="AB316" s="6" t="str">
        <f t="shared" si="72"/>
        <v>Valid</v>
      </c>
      <c r="AC316" s="6">
        <v>6485.36</v>
      </c>
      <c r="AD316" s="6" t="str">
        <f>IF(OR(AO316="Cancelled",AM316="Failed"),"Exclude from Completed Sales","Include in Completed Sales")</f>
        <v>Exclude from Completed Sales</v>
      </c>
      <c r="AE316" s="6">
        <f t="shared" si="73"/>
        <v>6485.3639999999996</v>
      </c>
      <c r="AF316" s="6" t="str">
        <f t="shared" si="74"/>
        <v/>
      </c>
      <c r="AG316" s="6">
        <v>5376.17</v>
      </c>
      <c r="AH316" s="6">
        <v>1109.19</v>
      </c>
      <c r="AI316" s="6">
        <f t="shared" si="75"/>
        <v>1109.1939999999995</v>
      </c>
      <c r="AJ316" s="11">
        <f t="shared" si="76"/>
        <v>0.17103033846673826</v>
      </c>
      <c r="AK316" s="11" t="str">
        <f t="shared" si="77"/>
        <v>May</v>
      </c>
      <c r="AL316" s="12">
        <f t="shared" si="78"/>
        <v>2025</v>
      </c>
      <c r="AM316" s="6" t="s">
        <v>220</v>
      </c>
      <c r="AN316" s="6" t="s">
        <v>145</v>
      </c>
      <c r="AO316" s="6" t="str">
        <f t="shared" si="70"/>
        <v>Returned</v>
      </c>
    </row>
    <row r="317" spans="1:41">
      <c r="A317" s="6" t="s">
        <v>1625</v>
      </c>
      <c r="B317" s="7" t="s">
        <v>1626</v>
      </c>
      <c r="C317" s="8">
        <v>45475</v>
      </c>
      <c r="D317" s="7" t="s">
        <v>1627</v>
      </c>
      <c r="E317" s="9">
        <v>45481</v>
      </c>
      <c r="F317" s="9" t="str">
        <f t="shared" si="63"/>
        <v>Valid</v>
      </c>
      <c r="G317" s="10">
        <f t="shared" si="64"/>
        <v>6</v>
      </c>
      <c r="H317" s="10" t="str">
        <f t="shared" si="65"/>
        <v>Valid</v>
      </c>
      <c r="I317" s="6" t="s">
        <v>1628</v>
      </c>
      <c r="J317" s="6" t="s">
        <v>200</v>
      </c>
      <c r="K317" s="6" t="s">
        <v>200</v>
      </c>
      <c r="L317" s="6" t="s">
        <v>46</v>
      </c>
      <c r="M317" s="7" t="str">
        <f t="shared" si="66"/>
        <v>Consumer</v>
      </c>
      <c r="N317" s="6" t="s">
        <v>47</v>
      </c>
      <c r="O317" s="7" t="str">
        <f t="shared" si="67"/>
        <v>North</v>
      </c>
      <c r="P317" s="6" t="s">
        <v>526</v>
      </c>
      <c r="Q317" s="6" t="s">
        <v>527</v>
      </c>
      <c r="R317" s="6" t="s">
        <v>50</v>
      </c>
      <c r="S317" s="7" t="str">
        <f t="shared" si="68"/>
        <v>Office Supplies</v>
      </c>
      <c r="T317" s="6" t="s">
        <v>51</v>
      </c>
      <c r="U317" s="6" t="s">
        <v>1629</v>
      </c>
      <c r="V317" s="6" t="s">
        <v>87</v>
      </c>
      <c r="W317" s="7" t="str">
        <f t="shared" si="69"/>
        <v>Standard Class</v>
      </c>
      <c r="X317" s="6">
        <v>9</v>
      </c>
      <c r="Y317" s="6">
        <v>3450.4</v>
      </c>
      <c r="Z317" s="6">
        <v>0.05</v>
      </c>
      <c r="AA317" s="6">
        <f t="shared" si="71"/>
        <v>0.05</v>
      </c>
      <c r="AB317" s="6" t="str">
        <f t="shared" si="72"/>
        <v>Valid</v>
      </c>
      <c r="AC317" s="6">
        <v>29500.92</v>
      </c>
      <c r="AD317" s="6" t="str">
        <f>IF(OR(AO317="Cancelled",AM317="Failed"),"Exclude from Completed Sales","Include in Completed Sales")</f>
        <v>Include in Completed Sales</v>
      </c>
      <c r="AE317" s="6">
        <f t="shared" si="73"/>
        <v>29500.920000000002</v>
      </c>
      <c r="AF317" s="6" t="str">
        <f t="shared" si="74"/>
        <v/>
      </c>
      <c r="AG317" s="6">
        <v>17989.68</v>
      </c>
      <c r="AH317" s="6">
        <v>11511.24</v>
      </c>
      <c r="AI317" s="6">
        <f t="shared" si="75"/>
        <v>11511.240000000002</v>
      </c>
      <c r="AJ317" s="11">
        <f t="shared" si="76"/>
        <v>0.39019935649464493</v>
      </c>
      <c r="AK317" s="11" t="str">
        <f t="shared" si="77"/>
        <v>July</v>
      </c>
      <c r="AL317" s="12">
        <f t="shared" si="78"/>
        <v>2024</v>
      </c>
      <c r="AM317" s="6" t="s">
        <v>157</v>
      </c>
      <c r="AN317" s="6" t="s">
        <v>145</v>
      </c>
      <c r="AO317" s="6" t="str">
        <f t="shared" si="70"/>
        <v>Returned</v>
      </c>
    </row>
    <row r="318" spans="1:41">
      <c r="A318" s="6" t="s">
        <v>1630</v>
      </c>
      <c r="B318" s="7" t="s">
        <v>1631</v>
      </c>
      <c r="C318" s="8">
        <v>45338</v>
      </c>
      <c r="D318" s="7" t="s">
        <v>1632</v>
      </c>
      <c r="E318" s="9">
        <v>45340</v>
      </c>
      <c r="F318" s="9" t="str">
        <f t="shared" si="63"/>
        <v>Valid</v>
      </c>
      <c r="G318" s="10">
        <f t="shared" si="64"/>
        <v>2</v>
      </c>
      <c r="H318" s="10" t="str">
        <f t="shared" si="65"/>
        <v>Valid</v>
      </c>
      <c r="I318" s="6" t="s">
        <v>1633</v>
      </c>
      <c r="J318" s="6" t="s">
        <v>45</v>
      </c>
      <c r="K318" s="6" t="s">
        <v>45</v>
      </c>
      <c r="L318" s="6" t="s">
        <v>128</v>
      </c>
      <c r="M318" s="7" t="str">
        <f t="shared" si="66"/>
        <v>Corporate</v>
      </c>
      <c r="N318" s="6" t="s">
        <v>47</v>
      </c>
      <c r="O318" s="7" t="str">
        <f t="shared" si="67"/>
        <v>North</v>
      </c>
      <c r="P318" s="6" t="s">
        <v>174</v>
      </c>
      <c r="Q318" s="6" t="s">
        <v>175</v>
      </c>
      <c r="R318" s="6" t="s">
        <v>50</v>
      </c>
      <c r="S318" s="7" t="str">
        <f t="shared" si="68"/>
        <v>Office Supplies</v>
      </c>
      <c r="T318" s="6" t="s">
        <v>129</v>
      </c>
      <c r="U318" s="6" t="s">
        <v>1634</v>
      </c>
      <c r="V318" s="6" t="s">
        <v>87</v>
      </c>
      <c r="W318" s="7" t="str">
        <f t="shared" si="69"/>
        <v>Standard Class</v>
      </c>
      <c r="X318" s="6">
        <v>2</v>
      </c>
      <c r="Y318" s="6">
        <v>1947.53</v>
      </c>
      <c r="Z318" s="6">
        <v>0.2</v>
      </c>
      <c r="AA318" s="6">
        <f t="shared" si="71"/>
        <v>0.2</v>
      </c>
      <c r="AB318" s="6" t="str">
        <f t="shared" si="72"/>
        <v>Valid</v>
      </c>
      <c r="AC318" s="6">
        <v>3116.05</v>
      </c>
      <c r="AD318" s="6" t="str">
        <f>IF(OR(AO318="Cancelled",AM318="Failed"),"Exclude from Completed Sales","Include in Completed Sales")</f>
        <v>Exclude from Completed Sales</v>
      </c>
      <c r="AE318" s="6">
        <f t="shared" si="73"/>
        <v>3116.0480000000002</v>
      </c>
      <c r="AF318" s="6" t="str">
        <f t="shared" si="74"/>
        <v/>
      </c>
      <c r="AG318" s="6">
        <v>1956.63</v>
      </c>
      <c r="AH318" s="6">
        <v>1159.42</v>
      </c>
      <c r="AI318" s="6">
        <f t="shared" si="75"/>
        <v>1159.4180000000001</v>
      </c>
      <c r="AJ318" s="11">
        <f t="shared" si="76"/>
        <v>0.37207963420332424</v>
      </c>
      <c r="AK318" s="11" t="str">
        <f t="shared" si="77"/>
        <v>February</v>
      </c>
      <c r="AL318" s="12">
        <f t="shared" si="78"/>
        <v>2024</v>
      </c>
      <c r="AM318" s="6" t="s">
        <v>54</v>
      </c>
      <c r="AN318" s="6" t="s">
        <v>98</v>
      </c>
      <c r="AO318" s="6" t="str">
        <f t="shared" si="70"/>
        <v>Cancelled</v>
      </c>
    </row>
    <row r="319" spans="1:41">
      <c r="A319" s="6" t="s">
        <v>1635</v>
      </c>
      <c r="B319" s="7" t="s">
        <v>1636</v>
      </c>
      <c r="C319" s="8">
        <v>45898</v>
      </c>
      <c r="D319" s="7" t="s">
        <v>1637</v>
      </c>
      <c r="E319" s="9">
        <v>45904</v>
      </c>
      <c r="F319" s="9" t="str">
        <f t="shared" si="63"/>
        <v>Valid</v>
      </c>
      <c r="G319" s="10">
        <f t="shared" si="64"/>
        <v>6</v>
      </c>
      <c r="H319" s="10" t="str">
        <f t="shared" si="65"/>
        <v>Valid</v>
      </c>
      <c r="I319" s="6" t="s">
        <v>1638</v>
      </c>
      <c r="J319" s="6" t="s">
        <v>113</v>
      </c>
      <c r="K319" s="6" t="s">
        <v>113</v>
      </c>
      <c r="L319" s="6" t="s">
        <v>128</v>
      </c>
      <c r="M319" s="7" t="str">
        <f t="shared" si="66"/>
        <v>Corporate</v>
      </c>
      <c r="N319" s="6" t="s">
        <v>82</v>
      </c>
      <c r="O319" s="7" t="str">
        <f t="shared" si="67"/>
        <v>South</v>
      </c>
      <c r="P319" s="6" t="s">
        <v>262</v>
      </c>
      <c r="Q319" s="6" t="s">
        <v>263</v>
      </c>
      <c r="R319" s="6" t="s">
        <v>65</v>
      </c>
      <c r="S319" s="7" t="str">
        <f t="shared" si="68"/>
        <v>Furniture</v>
      </c>
      <c r="T319" s="6" t="s">
        <v>66</v>
      </c>
      <c r="U319" s="6" t="s">
        <v>1639</v>
      </c>
      <c r="V319" s="6" t="s">
        <v>76</v>
      </c>
      <c r="W319" s="7" t="str">
        <f t="shared" si="69"/>
        <v>First Class</v>
      </c>
      <c r="X319" s="6">
        <v>9</v>
      </c>
      <c r="Y319" s="6">
        <v>2996.97</v>
      </c>
      <c r="Z319" s="6">
        <v>0.15</v>
      </c>
      <c r="AA319" s="6">
        <f t="shared" si="71"/>
        <v>0.15</v>
      </c>
      <c r="AB319" s="6" t="str">
        <f t="shared" si="72"/>
        <v>Valid</v>
      </c>
      <c r="AC319" s="6">
        <v>22926.82</v>
      </c>
      <c r="AD319" s="6" t="str">
        <f>IF(OR(AO319="Cancelled",AM319="Failed"),"Exclude from Completed Sales","Include in Completed Sales")</f>
        <v>Include in Completed Sales</v>
      </c>
      <c r="AE319" s="6">
        <f t="shared" si="73"/>
        <v>22926.820499999998</v>
      </c>
      <c r="AF319" s="6" t="str">
        <f t="shared" si="74"/>
        <v/>
      </c>
      <c r="AG319" s="6">
        <v>14621.59</v>
      </c>
      <c r="AH319" s="6">
        <v>8305.23</v>
      </c>
      <c r="AI319" s="6">
        <f t="shared" si="75"/>
        <v>8305.2304999999978</v>
      </c>
      <c r="AJ319" s="11">
        <f t="shared" si="76"/>
        <v>0.36224955396671765</v>
      </c>
      <c r="AK319" s="11" t="str">
        <f t="shared" si="77"/>
        <v>August</v>
      </c>
      <c r="AL319" s="12">
        <f t="shared" si="78"/>
        <v>2025</v>
      </c>
      <c r="AM319" s="6" t="s">
        <v>54</v>
      </c>
      <c r="AN319" s="6" t="s">
        <v>55</v>
      </c>
      <c r="AO319" s="6" t="str">
        <f t="shared" si="70"/>
        <v>Completed</v>
      </c>
    </row>
    <row r="320" spans="1:41">
      <c r="A320" s="6" t="s">
        <v>1640</v>
      </c>
      <c r="B320" s="7" t="s">
        <v>1641</v>
      </c>
      <c r="C320" s="8">
        <v>45407</v>
      </c>
      <c r="D320" s="7" t="s">
        <v>1642</v>
      </c>
      <c r="E320" s="9">
        <v>45412</v>
      </c>
      <c r="F320" s="9" t="str">
        <f t="shared" si="63"/>
        <v>Valid</v>
      </c>
      <c r="G320" s="10">
        <f t="shared" si="64"/>
        <v>5</v>
      </c>
      <c r="H320" s="10" t="str">
        <f t="shared" si="65"/>
        <v>Valid</v>
      </c>
      <c r="I320" s="6" t="s">
        <v>1643</v>
      </c>
      <c r="J320" s="6" t="s">
        <v>60</v>
      </c>
      <c r="K320" s="6" t="s">
        <v>60</v>
      </c>
      <c r="L320" s="6" t="s">
        <v>61</v>
      </c>
      <c r="M320" s="7" t="str">
        <f t="shared" si="66"/>
        <v>Small Business</v>
      </c>
      <c r="N320" s="6" t="s">
        <v>82</v>
      </c>
      <c r="O320" s="7" t="str">
        <f t="shared" si="67"/>
        <v>South</v>
      </c>
      <c r="P320" s="6" t="s">
        <v>249</v>
      </c>
      <c r="Q320" s="6" t="s">
        <v>250</v>
      </c>
      <c r="R320" s="6" t="s">
        <v>106</v>
      </c>
      <c r="S320" s="7" t="str">
        <f t="shared" si="68"/>
        <v>Technology</v>
      </c>
      <c r="T320" s="6" t="s">
        <v>243</v>
      </c>
      <c r="U320" s="6" t="s">
        <v>1644</v>
      </c>
      <c r="V320" s="6" t="s">
        <v>87</v>
      </c>
      <c r="W320" s="7" t="str">
        <f t="shared" si="69"/>
        <v>Standard Class</v>
      </c>
      <c r="X320" s="6">
        <v>3</v>
      </c>
      <c r="Y320" s="6">
        <v>4149.46</v>
      </c>
      <c r="Z320" s="6">
        <v>0.1</v>
      </c>
      <c r="AA320" s="6">
        <f t="shared" si="71"/>
        <v>0.1</v>
      </c>
      <c r="AB320" s="6" t="str">
        <f t="shared" si="72"/>
        <v>Valid</v>
      </c>
      <c r="AC320" s="6">
        <v>11203.54</v>
      </c>
      <c r="AD320" s="6" t="str">
        <f>IF(OR(AO320="Cancelled",AM320="Failed"),"Exclude from Completed Sales","Include in Completed Sales")</f>
        <v>Include in Completed Sales</v>
      </c>
      <c r="AE320" s="6">
        <f t="shared" si="73"/>
        <v>11203.542000000001</v>
      </c>
      <c r="AF320" s="6" t="str">
        <f t="shared" si="74"/>
        <v/>
      </c>
      <c r="AG320" s="6">
        <v>8452.93</v>
      </c>
      <c r="AH320" s="6">
        <v>2750.61</v>
      </c>
      <c r="AI320" s="6">
        <f t="shared" si="75"/>
        <v>2750.612000000001</v>
      </c>
      <c r="AJ320" s="11">
        <f t="shared" si="76"/>
        <v>0.24551271374713468</v>
      </c>
      <c r="AK320" s="11" t="str">
        <f t="shared" si="77"/>
        <v>April</v>
      </c>
      <c r="AL320" s="12">
        <f t="shared" si="78"/>
        <v>2024</v>
      </c>
      <c r="AM320" s="6" t="s">
        <v>54</v>
      </c>
      <c r="AN320" s="6" t="s">
        <v>55</v>
      </c>
      <c r="AO320" s="6" t="str">
        <f t="shared" si="70"/>
        <v>Completed</v>
      </c>
    </row>
    <row r="321" spans="1:41">
      <c r="A321" s="6" t="s">
        <v>1645</v>
      </c>
      <c r="B321" s="7" t="s">
        <v>1646</v>
      </c>
      <c r="C321" s="8">
        <v>45525</v>
      </c>
      <c r="D321" s="7" t="s">
        <v>1647</v>
      </c>
      <c r="E321" s="9">
        <v>45529</v>
      </c>
      <c r="F321" s="9" t="str">
        <f t="shared" si="63"/>
        <v>Valid</v>
      </c>
      <c r="G321" s="10">
        <f t="shared" si="64"/>
        <v>4</v>
      </c>
      <c r="H321" s="10" t="str">
        <f t="shared" si="65"/>
        <v>Valid</v>
      </c>
      <c r="I321" s="6" t="s">
        <v>1648</v>
      </c>
      <c r="J321" s="6" t="s">
        <v>230</v>
      </c>
      <c r="K321" s="6" t="s">
        <v>230</v>
      </c>
      <c r="L321" s="6" t="s">
        <v>46</v>
      </c>
      <c r="M321" s="7" t="str">
        <f t="shared" si="66"/>
        <v>Consumer</v>
      </c>
      <c r="N321" s="6" t="s">
        <v>93</v>
      </c>
      <c r="O321" s="7" t="str">
        <f t="shared" si="67"/>
        <v>West</v>
      </c>
      <c r="P321" s="6" t="s">
        <v>255</v>
      </c>
      <c r="Q321" s="6" t="s">
        <v>256</v>
      </c>
      <c r="R321" s="6" t="s">
        <v>50</v>
      </c>
      <c r="S321" s="7" t="str">
        <f t="shared" si="68"/>
        <v>Office Supplies</v>
      </c>
      <c r="T321" s="6" t="s">
        <v>218</v>
      </c>
      <c r="U321" s="6" t="s">
        <v>1649</v>
      </c>
      <c r="V321" s="6" t="s">
        <v>76</v>
      </c>
      <c r="W321" s="7" t="str">
        <f t="shared" si="69"/>
        <v>First Class</v>
      </c>
      <c r="X321" s="6">
        <v>1</v>
      </c>
      <c r="Y321" s="6">
        <v>270.27999999999997</v>
      </c>
      <c r="Z321" s="6">
        <v>0</v>
      </c>
      <c r="AA321" s="6">
        <f t="shared" si="71"/>
        <v>0</v>
      </c>
      <c r="AB321" s="6" t="str">
        <f t="shared" si="72"/>
        <v>Valid</v>
      </c>
      <c r="AC321" s="6">
        <v>270.27999999999997</v>
      </c>
      <c r="AD321" s="6" t="str">
        <f>IF(OR(AO321="Cancelled",AM321="Failed"),"Exclude from Completed Sales","Include in Completed Sales")</f>
        <v>Include in Completed Sales</v>
      </c>
      <c r="AE321" s="6">
        <f t="shared" si="73"/>
        <v>270.27999999999997</v>
      </c>
      <c r="AF321" s="6" t="str">
        <f t="shared" si="74"/>
        <v/>
      </c>
      <c r="AG321" s="6">
        <v>156.34</v>
      </c>
      <c r="AH321" s="6">
        <v>113.94</v>
      </c>
      <c r="AI321" s="6">
        <f t="shared" si="75"/>
        <v>113.93999999999997</v>
      </c>
      <c r="AJ321" s="11">
        <f t="shared" si="76"/>
        <v>0.42156282373834536</v>
      </c>
      <c r="AK321" s="11" t="str">
        <f t="shared" si="77"/>
        <v>August</v>
      </c>
      <c r="AL321" s="12">
        <f t="shared" si="78"/>
        <v>2024</v>
      </c>
      <c r="AM321" s="6" t="s">
        <v>54</v>
      </c>
      <c r="AN321" s="6" t="s">
        <v>55</v>
      </c>
      <c r="AO321" s="6" t="str">
        <f t="shared" si="70"/>
        <v>Completed</v>
      </c>
    </row>
    <row r="322" spans="1:41">
      <c r="A322" s="6" t="s">
        <v>1650</v>
      </c>
      <c r="B322" s="7" t="s">
        <v>1651</v>
      </c>
      <c r="C322" s="8">
        <v>45630</v>
      </c>
      <c r="D322" s="7" t="s">
        <v>1652</v>
      </c>
      <c r="E322" s="9">
        <v>45632</v>
      </c>
      <c r="F322" s="9" t="str">
        <f t="shared" ref="F322:F385" si="79">IF(E322&lt;C322,"Invalid Shipping Record","Valid")</f>
        <v>Valid</v>
      </c>
      <c r="G322" s="10">
        <f t="shared" ref="G322:G385" si="80">E322-C322</f>
        <v>2</v>
      </c>
      <c r="H322" s="10" t="str">
        <f t="shared" ref="H322:H385" si="81">IF(OR(C322="",E322=""),"Missing Date",IF(OR(NOT(ISNUMBER(C322)),NOT(ISNUMBER(E322))),"Invalid Date",IF(E322&lt;C322,"Invalid Shipping Record","Valid")))</f>
        <v>Valid</v>
      </c>
      <c r="I322" s="6" t="s">
        <v>1653</v>
      </c>
      <c r="J322" s="6" t="s">
        <v>182</v>
      </c>
      <c r="K322" s="6" t="s">
        <v>182</v>
      </c>
      <c r="L322" s="6" t="s">
        <v>135</v>
      </c>
      <c r="M322" s="7" t="str">
        <f t="shared" ref="M322:M385" si="82">PROPER(TRIM(L322))</f>
        <v>Home Office</v>
      </c>
      <c r="N322" s="6" t="s">
        <v>62</v>
      </c>
      <c r="O322" s="7" t="str">
        <f t="shared" ref="O322:O385" si="83">IF(TRIM(N322)="","Unknown",PROPER(TRIM(N322)))</f>
        <v>East</v>
      </c>
      <c r="P322" s="6" t="s">
        <v>141</v>
      </c>
      <c r="Q322" s="6" t="s">
        <v>142</v>
      </c>
      <c r="R322" s="6" t="s">
        <v>50</v>
      </c>
      <c r="S322" s="7" t="str">
        <f t="shared" ref="S322:S385" si="84">PROPER(TRIM(R322))</f>
        <v>Office Supplies</v>
      </c>
      <c r="T322" s="6" t="s">
        <v>74</v>
      </c>
      <c r="U322" s="6" t="s">
        <v>1654</v>
      </c>
      <c r="V322" s="6" t="s">
        <v>53</v>
      </c>
      <c r="W322" s="7" t="str">
        <f t="shared" ref="W322:W385" si="85">IF(TRIM(V322)="","Unknown",PROPER(TRIM(V322)))</f>
        <v>Second Class</v>
      </c>
      <c r="X322" s="6">
        <v>3</v>
      </c>
      <c r="Y322" s="6">
        <v>876.14</v>
      </c>
      <c r="Z322" s="6" t="s">
        <v>701</v>
      </c>
      <c r="AA322" s="6" t="str">
        <f t="shared" si="71"/>
        <v>70%</v>
      </c>
      <c r="AB322" s="6" t="str">
        <f t="shared" si="72"/>
        <v>Invalid - Discount Above Limit</v>
      </c>
      <c r="AC322" s="6">
        <v>2628.42</v>
      </c>
      <c r="AD322" s="6" t="str">
        <f>IF(OR(AO322="Cancelled",AM322="Failed"),"Exclude from Completed Sales","Include in Completed Sales")</f>
        <v>Include in Completed Sales</v>
      </c>
      <c r="AE322" s="6">
        <f t="shared" si="73"/>
        <v>788.52600000000018</v>
      </c>
      <c r="AF322" s="6" t="str">
        <f t="shared" si="74"/>
        <v/>
      </c>
      <c r="AG322" s="6">
        <v>1541.54</v>
      </c>
      <c r="AH322" s="6">
        <v>1086.8800000000001</v>
      </c>
      <c r="AI322" s="6">
        <f t="shared" si="75"/>
        <v>-753.01399999999978</v>
      </c>
      <c r="AJ322" s="11">
        <f t="shared" si="76"/>
        <v>-0.95496407220560842</v>
      </c>
      <c r="AK322" s="11" t="str">
        <f t="shared" si="77"/>
        <v>December</v>
      </c>
      <c r="AL322" s="12">
        <f t="shared" si="78"/>
        <v>2024</v>
      </c>
      <c r="AM322" s="6" t="s">
        <v>157</v>
      </c>
      <c r="AN322" s="6" t="s">
        <v>145</v>
      </c>
      <c r="AO322" s="6" t="str">
        <f t="shared" ref="AO322:AO385" si="86">PROPER(TRIM(AN322))</f>
        <v>Returned</v>
      </c>
    </row>
    <row r="323" spans="1:41">
      <c r="A323" s="6" t="s">
        <v>1655</v>
      </c>
      <c r="B323" s="7" t="s">
        <v>1656</v>
      </c>
      <c r="C323" s="8">
        <v>45466</v>
      </c>
      <c r="D323" s="7" t="s">
        <v>1657</v>
      </c>
      <c r="E323" s="9">
        <v>45473</v>
      </c>
      <c r="F323" s="9" t="str">
        <f t="shared" si="79"/>
        <v>Valid</v>
      </c>
      <c r="G323" s="10">
        <f t="shared" si="80"/>
        <v>7</v>
      </c>
      <c r="H323" s="10" t="str">
        <f t="shared" si="81"/>
        <v>Valid</v>
      </c>
      <c r="I323" s="6" t="s">
        <v>1658</v>
      </c>
      <c r="J323" s="6" t="s">
        <v>113</v>
      </c>
      <c r="K323" s="6" t="s">
        <v>113</v>
      </c>
      <c r="L323" s="6" t="s">
        <v>61</v>
      </c>
      <c r="M323" s="7" t="str">
        <f t="shared" si="82"/>
        <v>Small Business</v>
      </c>
      <c r="N323" s="6" t="s">
        <v>93</v>
      </c>
      <c r="O323" s="7" t="str">
        <f t="shared" si="83"/>
        <v>West</v>
      </c>
      <c r="P323" s="6" t="s">
        <v>269</v>
      </c>
      <c r="Q323" s="6" t="s">
        <v>270</v>
      </c>
      <c r="R323" s="6" t="s">
        <v>106</v>
      </c>
      <c r="S323" s="7" t="str">
        <f t="shared" si="84"/>
        <v>Technology</v>
      </c>
      <c r="T323" s="6" t="s">
        <v>107</v>
      </c>
      <c r="U323" s="6" t="s">
        <v>1659</v>
      </c>
      <c r="V323" s="6" t="s">
        <v>68</v>
      </c>
      <c r="W323" s="7" t="str">
        <f t="shared" si="85"/>
        <v>Same Day</v>
      </c>
      <c r="X323" s="6">
        <v>4</v>
      </c>
      <c r="Y323" s="6">
        <v>674.82</v>
      </c>
      <c r="Z323" s="6">
        <v>0</v>
      </c>
      <c r="AA323" s="6">
        <f t="shared" ref="AA323:AA386" si="87">IF(Z323="",0,Z323)</f>
        <v>0</v>
      </c>
      <c r="AB323" s="6" t="str">
        <f t="shared" ref="AB323:AB386" si="88">IF(AA323&lt;0,"Invalid - Negative Discount",IF(AA323&gt;1,"Invalid - Discount Above Limit","Valid"))</f>
        <v>Valid</v>
      </c>
      <c r="AC323" s="6">
        <v>2699.28</v>
      </c>
      <c r="AD323" s="6" t="str">
        <f>IF(OR(AO323="Cancelled",AM323="Failed"),"Exclude from Completed Sales","Include in Completed Sales")</f>
        <v>Exclude from Completed Sales</v>
      </c>
      <c r="AE323" s="6">
        <f t="shared" ref="AE323:AE386" si="89">X323*Y323*(1-AA323)</f>
        <v>2699.28</v>
      </c>
      <c r="AF323" s="6" t="str">
        <f t="shared" ref="AF323:AF386" si="90">IF(TRIM(AM323)="Refunded","Refunded","")</f>
        <v/>
      </c>
      <c r="AG323" s="6">
        <v>1759.76</v>
      </c>
      <c r="AH323" s="6">
        <v>939.52</v>
      </c>
      <c r="AI323" s="6">
        <f t="shared" ref="AI323:AI386" si="91">AE323-AG323</f>
        <v>939.52000000000021</v>
      </c>
      <c r="AJ323" s="11">
        <f t="shared" ref="AJ323:AJ386" si="92">IF(AE323=0,0,AI323/AE323)</f>
        <v>0.34806318722029583</v>
      </c>
      <c r="AK323" s="11" t="str">
        <f t="shared" ref="AK323:AK386" si="93">TEXT(C323,"mmmm")</f>
        <v>June</v>
      </c>
      <c r="AL323" s="12">
        <f t="shared" ref="AL323:AL386" si="94">YEAR(C323)</f>
        <v>2024</v>
      </c>
      <c r="AM323" s="6" t="s">
        <v>220</v>
      </c>
      <c r="AN323" s="6" t="s">
        <v>98</v>
      </c>
      <c r="AO323" s="6" t="str">
        <f t="shared" si="86"/>
        <v>Cancelled</v>
      </c>
    </row>
    <row r="324" spans="1:41">
      <c r="A324" s="6" t="s">
        <v>1660</v>
      </c>
      <c r="B324" s="7" t="s">
        <v>1556</v>
      </c>
      <c r="C324" s="8">
        <v>45608</v>
      </c>
      <c r="D324" s="7" t="s">
        <v>1661</v>
      </c>
      <c r="E324" s="9">
        <v>45608</v>
      </c>
      <c r="F324" s="9" t="str">
        <f t="shared" si="79"/>
        <v>Valid</v>
      </c>
      <c r="G324" s="10">
        <f t="shared" si="80"/>
        <v>0</v>
      </c>
      <c r="H324" s="10" t="str">
        <f t="shared" si="81"/>
        <v>Valid</v>
      </c>
      <c r="I324" s="6" t="s">
        <v>1662</v>
      </c>
      <c r="J324" s="6" t="s">
        <v>73</v>
      </c>
      <c r="K324" s="6" t="s">
        <v>73</v>
      </c>
      <c r="L324" s="6" t="s">
        <v>46</v>
      </c>
      <c r="M324" s="7" t="str">
        <f t="shared" si="82"/>
        <v>Consumer</v>
      </c>
      <c r="N324" s="6" t="s">
        <v>47</v>
      </c>
      <c r="O324" s="7" t="str">
        <f t="shared" si="83"/>
        <v>North</v>
      </c>
      <c r="P324" s="6" t="s">
        <v>194</v>
      </c>
      <c r="Q324" s="6" t="s">
        <v>195</v>
      </c>
      <c r="R324" s="6" t="s">
        <v>106</v>
      </c>
      <c r="S324" s="7" t="str">
        <f t="shared" si="84"/>
        <v>Technology</v>
      </c>
      <c r="T324" s="6" t="s">
        <v>243</v>
      </c>
      <c r="U324" s="6" t="s">
        <v>1663</v>
      </c>
      <c r="V324" s="6" t="s">
        <v>53</v>
      </c>
      <c r="W324" s="7" t="str">
        <f t="shared" si="85"/>
        <v>Second Class</v>
      </c>
      <c r="X324" s="6">
        <v>6</v>
      </c>
      <c r="Y324" s="6">
        <v>1369.48</v>
      </c>
      <c r="Z324" s="6">
        <v>0.15</v>
      </c>
      <c r="AA324" s="6">
        <f t="shared" si="87"/>
        <v>0.15</v>
      </c>
      <c r="AB324" s="6" t="str">
        <f t="shared" si="88"/>
        <v>Valid</v>
      </c>
      <c r="AC324" s="6">
        <v>6984.35</v>
      </c>
      <c r="AD324" s="6" t="str">
        <f>IF(OR(AO324="Cancelled",AM324="Failed"),"Exclude from Completed Sales","Include in Completed Sales")</f>
        <v>Include in Completed Sales</v>
      </c>
      <c r="AE324" s="6">
        <f t="shared" si="89"/>
        <v>6984.3480000000009</v>
      </c>
      <c r="AF324" s="6" t="str">
        <f t="shared" si="90"/>
        <v/>
      </c>
      <c r="AG324" s="6">
        <v>4023.63</v>
      </c>
      <c r="AH324" s="6">
        <v>2960.72</v>
      </c>
      <c r="AI324" s="6">
        <f t="shared" si="91"/>
        <v>2960.7180000000008</v>
      </c>
      <c r="AJ324" s="11">
        <f t="shared" si="92"/>
        <v>0.42390757161584736</v>
      </c>
      <c r="AK324" s="11" t="str">
        <f t="shared" si="93"/>
        <v>November</v>
      </c>
      <c r="AL324" s="12">
        <f t="shared" si="94"/>
        <v>2024</v>
      </c>
      <c r="AM324" s="6" t="s">
        <v>54</v>
      </c>
      <c r="AN324" s="6" t="s">
        <v>55</v>
      </c>
      <c r="AO324" s="6" t="str">
        <f t="shared" si="86"/>
        <v>Completed</v>
      </c>
    </row>
    <row r="325" spans="1:41">
      <c r="A325" s="6" t="s">
        <v>1664</v>
      </c>
      <c r="B325" s="7" t="s">
        <v>1665</v>
      </c>
      <c r="C325" s="8">
        <v>45347</v>
      </c>
      <c r="D325" s="7" t="s">
        <v>1666</v>
      </c>
      <c r="E325" s="9">
        <v>45351</v>
      </c>
      <c r="F325" s="9" t="str">
        <f t="shared" si="79"/>
        <v>Valid</v>
      </c>
      <c r="G325" s="10">
        <f t="shared" si="80"/>
        <v>4</v>
      </c>
      <c r="H325" s="10" t="str">
        <f t="shared" si="81"/>
        <v>Valid</v>
      </c>
      <c r="I325" s="6" t="s">
        <v>1667</v>
      </c>
      <c r="J325" s="6" t="s">
        <v>73</v>
      </c>
      <c r="K325" s="6" t="s">
        <v>73</v>
      </c>
      <c r="L325" s="6" t="s">
        <v>61</v>
      </c>
      <c r="M325" s="7" t="str">
        <f t="shared" si="82"/>
        <v>Small Business</v>
      </c>
      <c r="N325" s="6" t="s">
        <v>93</v>
      </c>
      <c r="O325" s="7" t="str">
        <f t="shared" si="83"/>
        <v>West</v>
      </c>
      <c r="P325" s="6" t="s">
        <v>269</v>
      </c>
      <c r="Q325" s="6" t="s">
        <v>270</v>
      </c>
      <c r="R325" s="6" t="s">
        <v>65</v>
      </c>
      <c r="S325" s="7" t="str">
        <f t="shared" si="84"/>
        <v>Furniture</v>
      </c>
      <c r="T325" s="6" t="s">
        <v>85</v>
      </c>
      <c r="U325" s="6" t="s">
        <v>213</v>
      </c>
      <c r="V325" s="6" t="s">
        <v>87</v>
      </c>
      <c r="W325" s="7" t="str">
        <f t="shared" si="85"/>
        <v>Standard Class</v>
      </c>
      <c r="X325" s="6">
        <v>9</v>
      </c>
      <c r="Y325" s="6">
        <v>1331.46</v>
      </c>
      <c r="Z325" s="6">
        <v>0.15</v>
      </c>
      <c r="AA325" s="6">
        <f t="shared" si="87"/>
        <v>0.15</v>
      </c>
      <c r="AB325" s="6" t="str">
        <f t="shared" si="88"/>
        <v>Valid</v>
      </c>
      <c r="AC325" s="6">
        <v>10185.67</v>
      </c>
      <c r="AD325" s="6" t="str">
        <f>IF(OR(AO325="Cancelled",AM325="Failed"),"Exclude from Completed Sales","Include in Completed Sales")</f>
        <v>Include in Completed Sales</v>
      </c>
      <c r="AE325" s="6">
        <f t="shared" si="89"/>
        <v>10185.669</v>
      </c>
      <c r="AF325" s="6" t="str">
        <f t="shared" si="90"/>
        <v/>
      </c>
      <c r="AG325" s="6">
        <v>6479.31</v>
      </c>
      <c r="AH325" s="6">
        <v>3706.36</v>
      </c>
      <c r="AI325" s="6">
        <f t="shared" si="91"/>
        <v>3706.3589999999995</v>
      </c>
      <c r="AJ325" s="11">
        <f t="shared" si="92"/>
        <v>0.36387978050337189</v>
      </c>
      <c r="AK325" s="11" t="str">
        <f t="shared" si="93"/>
        <v>February</v>
      </c>
      <c r="AL325" s="12">
        <f t="shared" si="94"/>
        <v>2024</v>
      </c>
      <c r="AM325" s="6" t="s">
        <v>54</v>
      </c>
      <c r="AN325" s="6" t="s">
        <v>55</v>
      </c>
      <c r="AO325" s="6" t="str">
        <f t="shared" si="86"/>
        <v>Completed</v>
      </c>
    </row>
    <row r="326" spans="1:41">
      <c r="A326" s="6" t="s">
        <v>1668</v>
      </c>
      <c r="B326" s="7" t="s">
        <v>1669</v>
      </c>
      <c r="C326" s="8">
        <v>45869</v>
      </c>
      <c r="D326" s="7" t="s">
        <v>963</v>
      </c>
      <c r="E326" s="9">
        <v>45871</v>
      </c>
      <c r="F326" s="9" t="str">
        <f t="shared" si="79"/>
        <v>Valid</v>
      </c>
      <c r="G326" s="10">
        <f t="shared" si="80"/>
        <v>2</v>
      </c>
      <c r="H326" s="10" t="str">
        <f t="shared" si="81"/>
        <v>Valid</v>
      </c>
      <c r="I326" s="6" t="s">
        <v>1670</v>
      </c>
      <c r="J326" s="6" t="s">
        <v>200</v>
      </c>
      <c r="K326" s="6" t="s">
        <v>200</v>
      </c>
      <c r="L326" s="6" t="s">
        <v>135</v>
      </c>
      <c r="M326" s="7" t="str">
        <f t="shared" si="82"/>
        <v>Home Office</v>
      </c>
      <c r="N326" s="6" t="s">
        <v>82</v>
      </c>
      <c r="O326" s="7" t="str">
        <f t="shared" si="83"/>
        <v>South</v>
      </c>
      <c r="P326" s="6" t="s">
        <v>120</v>
      </c>
      <c r="Q326" s="6" t="s">
        <v>121</v>
      </c>
      <c r="R326" s="6" t="s">
        <v>50</v>
      </c>
      <c r="S326" s="7" t="str">
        <f t="shared" si="84"/>
        <v>Office Supplies</v>
      </c>
      <c r="T326" s="6" t="s">
        <v>129</v>
      </c>
      <c r="U326" s="6" t="s">
        <v>1671</v>
      </c>
      <c r="V326" s="6" t="s">
        <v>68</v>
      </c>
      <c r="W326" s="7" t="str">
        <f t="shared" si="85"/>
        <v>Same Day</v>
      </c>
      <c r="X326" s="6">
        <v>1</v>
      </c>
      <c r="Y326" s="6">
        <v>1947.88</v>
      </c>
      <c r="Z326" s="6">
        <v>0.15</v>
      </c>
      <c r="AA326" s="6">
        <f t="shared" si="87"/>
        <v>0.15</v>
      </c>
      <c r="AB326" s="6" t="str">
        <f t="shared" si="88"/>
        <v>Valid</v>
      </c>
      <c r="AC326" s="6">
        <v>1655.7</v>
      </c>
      <c r="AD326" s="6" t="str">
        <f>IF(OR(AO326="Cancelled",AM326="Failed"),"Exclude from Completed Sales","Include in Completed Sales")</f>
        <v>Include in Completed Sales</v>
      </c>
      <c r="AE326" s="6">
        <f t="shared" si="89"/>
        <v>1655.6980000000001</v>
      </c>
      <c r="AF326" s="6" t="str">
        <f t="shared" si="90"/>
        <v/>
      </c>
      <c r="AG326" s="6">
        <v>1354.8</v>
      </c>
      <c r="AH326" s="6">
        <v>300.89999999999998</v>
      </c>
      <c r="AI326" s="6">
        <f t="shared" si="91"/>
        <v>300.89800000000014</v>
      </c>
      <c r="AJ326" s="11">
        <f t="shared" si="92"/>
        <v>0.1817348332848141</v>
      </c>
      <c r="AK326" s="11" t="str">
        <f t="shared" si="93"/>
        <v>July</v>
      </c>
      <c r="AL326" s="12">
        <f t="shared" si="94"/>
        <v>2025</v>
      </c>
      <c r="AM326" s="6" t="s">
        <v>54</v>
      </c>
      <c r="AN326" s="6" t="s">
        <v>145</v>
      </c>
      <c r="AO326" s="6" t="str">
        <f t="shared" si="86"/>
        <v>Returned</v>
      </c>
    </row>
    <row r="327" spans="1:41">
      <c r="A327" s="6" t="s">
        <v>1672</v>
      </c>
      <c r="B327" s="7" t="s">
        <v>1673</v>
      </c>
      <c r="C327" s="8">
        <v>45916</v>
      </c>
      <c r="D327" s="7" t="s">
        <v>1674</v>
      </c>
      <c r="E327" s="9">
        <v>45922</v>
      </c>
      <c r="F327" s="9" t="str">
        <f t="shared" si="79"/>
        <v>Valid</v>
      </c>
      <c r="G327" s="10">
        <f t="shared" si="80"/>
        <v>6</v>
      </c>
      <c r="H327" s="10" t="str">
        <f t="shared" si="81"/>
        <v>Valid</v>
      </c>
      <c r="I327" s="6" t="s">
        <v>1675</v>
      </c>
      <c r="J327" s="6" t="s">
        <v>188</v>
      </c>
      <c r="K327" s="6" t="s">
        <v>188</v>
      </c>
      <c r="L327" s="6" t="s">
        <v>135</v>
      </c>
      <c r="M327" s="7" t="str">
        <f t="shared" si="82"/>
        <v>Home Office</v>
      </c>
      <c r="N327" s="6" t="s">
        <v>62</v>
      </c>
      <c r="O327" s="7" t="str">
        <f t="shared" si="83"/>
        <v>East</v>
      </c>
      <c r="P327" s="6" t="s">
        <v>141</v>
      </c>
      <c r="Q327" s="6" t="s">
        <v>142</v>
      </c>
      <c r="R327" s="6" t="s">
        <v>106</v>
      </c>
      <c r="S327" s="7" t="str">
        <f t="shared" si="84"/>
        <v>Technology</v>
      </c>
      <c r="T327" s="6" t="s">
        <v>114</v>
      </c>
      <c r="U327" s="6" t="s">
        <v>1676</v>
      </c>
      <c r="V327" s="6" t="s">
        <v>53</v>
      </c>
      <c r="W327" s="7" t="str">
        <f t="shared" si="85"/>
        <v>Second Class</v>
      </c>
      <c r="X327" s="6">
        <v>5</v>
      </c>
      <c r="Y327" s="6">
        <v>3671.2</v>
      </c>
      <c r="Z327" s="6">
        <v>0.15</v>
      </c>
      <c r="AA327" s="6">
        <f t="shared" si="87"/>
        <v>0.15</v>
      </c>
      <c r="AB327" s="6" t="str">
        <f t="shared" si="88"/>
        <v>Valid</v>
      </c>
      <c r="AC327" s="6">
        <v>15602.6</v>
      </c>
      <c r="AD327" s="6" t="str">
        <f>IF(OR(AO327="Cancelled",AM327="Failed"),"Exclude from Completed Sales","Include in Completed Sales")</f>
        <v>Include in Completed Sales</v>
      </c>
      <c r="AE327" s="6">
        <f t="shared" si="89"/>
        <v>15602.6</v>
      </c>
      <c r="AF327" s="6" t="str">
        <f t="shared" si="90"/>
        <v/>
      </c>
      <c r="AG327" s="6">
        <v>11908.52</v>
      </c>
      <c r="AH327" s="6">
        <v>3694.08</v>
      </c>
      <c r="AI327" s="6">
        <f t="shared" si="91"/>
        <v>3694.08</v>
      </c>
      <c r="AJ327" s="11">
        <f t="shared" si="92"/>
        <v>0.236760539910015</v>
      </c>
      <c r="AK327" s="11" t="str">
        <f t="shared" si="93"/>
        <v>September</v>
      </c>
      <c r="AL327" s="12">
        <f t="shared" si="94"/>
        <v>2025</v>
      </c>
      <c r="AM327" s="6" t="s">
        <v>54</v>
      </c>
      <c r="AN327" s="6" t="s">
        <v>55</v>
      </c>
      <c r="AO327" s="6" t="str">
        <f t="shared" si="86"/>
        <v>Completed</v>
      </c>
    </row>
    <row r="328" spans="1:41">
      <c r="A328" s="6" t="s">
        <v>1677</v>
      </c>
      <c r="B328" s="7" t="s">
        <v>1678</v>
      </c>
      <c r="C328" s="8">
        <v>45860</v>
      </c>
      <c r="D328" s="7" t="s">
        <v>1532</v>
      </c>
      <c r="E328" s="9">
        <v>45860</v>
      </c>
      <c r="F328" s="9" t="str">
        <f t="shared" si="79"/>
        <v>Valid</v>
      </c>
      <c r="G328" s="10">
        <f t="shared" si="80"/>
        <v>0</v>
      </c>
      <c r="H328" s="10" t="str">
        <f t="shared" si="81"/>
        <v>Valid</v>
      </c>
      <c r="I328" s="6" t="s">
        <v>1679</v>
      </c>
      <c r="J328" s="6" t="s">
        <v>188</v>
      </c>
      <c r="K328" s="6" t="s">
        <v>188</v>
      </c>
      <c r="L328" s="6" t="s">
        <v>128</v>
      </c>
      <c r="M328" s="7" t="str">
        <f t="shared" si="82"/>
        <v>Corporate</v>
      </c>
      <c r="N328" s="6" t="s">
        <v>62</v>
      </c>
      <c r="O328" s="7" t="str">
        <f t="shared" si="83"/>
        <v>East</v>
      </c>
      <c r="P328" s="6" t="s">
        <v>331</v>
      </c>
      <c r="Q328" s="6" t="s">
        <v>332</v>
      </c>
      <c r="R328" s="6" t="s">
        <v>65</v>
      </c>
      <c r="S328" s="7" t="str">
        <f t="shared" si="84"/>
        <v>Furniture</v>
      </c>
      <c r="T328" s="6" t="s">
        <v>85</v>
      </c>
      <c r="U328" s="6" t="s">
        <v>1680</v>
      </c>
      <c r="V328" s="6" t="s">
        <v>68</v>
      </c>
      <c r="W328" s="7" t="str">
        <f t="shared" si="85"/>
        <v>Same Day</v>
      </c>
      <c r="X328" s="6">
        <v>5</v>
      </c>
      <c r="Y328" s="6">
        <v>3187.05</v>
      </c>
      <c r="Z328" s="6">
        <v>0.05</v>
      </c>
      <c r="AA328" s="6">
        <f t="shared" si="87"/>
        <v>0.05</v>
      </c>
      <c r="AB328" s="6" t="str">
        <f t="shared" si="88"/>
        <v>Valid</v>
      </c>
      <c r="AC328" s="6">
        <v>15138.49</v>
      </c>
      <c r="AD328" s="6" t="str">
        <f>IF(OR(AO328="Cancelled",AM328="Failed"),"Exclude from Completed Sales","Include in Completed Sales")</f>
        <v>Include in Completed Sales</v>
      </c>
      <c r="AE328" s="6">
        <f t="shared" si="89"/>
        <v>15138.487499999999</v>
      </c>
      <c r="AF328" s="6" t="str">
        <f t="shared" si="90"/>
        <v/>
      </c>
      <c r="AG328" s="6">
        <v>11235.72</v>
      </c>
      <c r="AH328" s="6">
        <v>3902.77</v>
      </c>
      <c r="AI328" s="6">
        <f t="shared" si="91"/>
        <v>3902.7674999999999</v>
      </c>
      <c r="AJ328" s="11">
        <f t="shared" si="92"/>
        <v>0.25780432160082045</v>
      </c>
      <c r="AK328" s="11" t="str">
        <f t="shared" si="93"/>
        <v>July</v>
      </c>
      <c r="AL328" s="12">
        <f t="shared" si="94"/>
        <v>2025</v>
      </c>
      <c r="AM328" s="6" t="s">
        <v>54</v>
      </c>
      <c r="AN328" s="6" t="s">
        <v>55</v>
      </c>
      <c r="AO328" s="6" t="str">
        <f t="shared" si="86"/>
        <v>Completed</v>
      </c>
    </row>
    <row r="329" spans="1:41">
      <c r="A329" s="6" t="s">
        <v>1681</v>
      </c>
      <c r="B329" s="7" t="s">
        <v>1682</v>
      </c>
      <c r="C329" s="8">
        <v>45497</v>
      </c>
      <c r="D329" s="7" t="s">
        <v>284</v>
      </c>
      <c r="E329" s="9">
        <v>45500</v>
      </c>
      <c r="F329" s="9" t="str">
        <f t="shared" si="79"/>
        <v>Valid</v>
      </c>
      <c r="G329" s="10">
        <f t="shared" si="80"/>
        <v>3</v>
      </c>
      <c r="H329" s="10" t="str">
        <f t="shared" si="81"/>
        <v>Valid</v>
      </c>
      <c r="I329" s="6" t="s">
        <v>1683</v>
      </c>
      <c r="J329" s="6" t="s">
        <v>73</v>
      </c>
      <c r="K329" s="6" t="s">
        <v>73</v>
      </c>
      <c r="L329" s="6" t="s">
        <v>46</v>
      </c>
      <c r="M329" s="7" t="str">
        <f t="shared" si="82"/>
        <v>Consumer</v>
      </c>
      <c r="N329" s="6" t="s">
        <v>93</v>
      </c>
      <c r="O329" s="7" t="str">
        <f t="shared" si="83"/>
        <v>West</v>
      </c>
      <c r="P329" s="6" t="s">
        <v>48</v>
      </c>
      <c r="Q329" s="6" t="s">
        <v>155</v>
      </c>
      <c r="R329" s="6" t="s">
        <v>106</v>
      </c>
      <c r="S329" s="7" t="str">
        <f t="shared" si="84"/>
        <v>Technology</v>
      </c>
      <c r="T329" s="6" t="s">
        <v>107</v>
      </c>
      <c r="U329" s="6" t="s">
        <v>1684</v>
      </c>
      <c r="V329" s="6" t="s">
        <v>53</v>
      </c>
      <c r="W329" s="7" t="str">
        <f t="shared" si="85"/>
        <v>Second Class</v>
      </c>
      <c r="X329" s="6">
        <v>3</v>
      </c>
      <c r="Y329" s="6">
        <v>1834.55</v>
      </c>
      <c r="Z329" s="6">
        <v>0.2</v>
      </c>
      <c r="AA329" s="6">
        <f t="shared" si="87"/>
        <v>0.2</v>
      </c>
      <c r="AB329" s="6" t="str">
        <f t="shared" si="88"/>
        <v>Valid</v>
      </c>
      <c r="AC329" s="6">
        <v>4402.92</v>
      </c>
      <c r="AD329" s="6" t="str">
        <f>IF(OR(AO329="Cancelled",AM329="Failed"),"Exclude from Completed Sales","Include in Completed Sales")</f>
        <v>Exclude from Completed Sales</v>
      </c>
      <c r="AE329" s="6">
        <f t="shared" si="89"/>
        <v>4402.92</v>
      </c>
      <c r="AF329" s="6" t="str">
        <f t="shared" si="90"/>
        <v/>
      </c>
      <c r="AG329" s="6">
        <v>2993.94</v>
      </c>
      <c r="AH329" s="6">
        <v>1408.98</v>
      </c>
      <c r="AI329" s="6">
        <f t="shared" si="91"/>
        <v>1408.98</v>
      </c>
      <c r="AJ329" s="11">
        <f t="shared" si="92"/>
        <v>0.32001035676323897</v>
      </c>
      <c r="AK329" s="11" t="str">
        <f t="shared" si="93"/>
        <v>July</v>
      </c>
      <c r="AL329" s="12">
        <f t="shared" si="94"/>
        <v>2024</v>
      </c>
      <c r="AM329" s="6" t="s">
        <v>157</v>
      </c>
      <c r="AN329" s="6" t="s">
        <v>98</v>
      </c>
      <c r="AO329" s="6" t="str">
        <f t="shared" si="86"/>
        <v>Cancelled</v>
      </c>
    </row>
    <row r="330" spans="1:41">
      <c r="A330" s="6" t="s">
        <v>1685</v>
      </c>
      <c r="B330" s="7" t="s">
        <v>1686</v>
      </c>
      <c r="C330" s="8">
        <v>45806</v>
      </c>
      <c r="D330" s="7" t="s">
        <v>1452</v>
      </c>
      <c r="E330" s="9">
        <v>45812</v>
      </c>
      <c r="F330" s="9" t="str">
        <f t="shared" si="79"/>
        <v>Valid</v>
      </c>
      <c r="G330" s="10">
        <f t="shared" si="80"/>
        <v>6</v>
      </c>
      <c r="H330" s="10" t="str">
        <f t="shared" si="81"/>
        <v>Valid</v>
      </c>
      <c r="I330" s="6" t="s">
        <v>1687</v>
      </c>
      <c r="J330" s="6" t="s">
        <v>230</v>
      </c>
      <c r="K330" s="6" t="s">
        <v>230</v>
      </c>
      <c r="L330" s="6" t="s">
        <v>46</v>
      </c>
      <c r="M330" s="7" t="str">
        <f t="shared" si="82"/>
        <v>Consumer</v>
      </c>
      <c r="N330" s="6" t="s">
        <v>93</v>
      </c>
      <c r="O330" s="7" t="str">
        <f t="shared" si="83"/>
        <v>West</v>
      </c>
      <c r="P330" s="6" t="s">
        <v>94</v>
      </c>
      <c r="Q330" s="6" t="s">
        <v>95</v>
      </c>
      <c r="R330" s="6" t="s">
        <v>50</v>
      </c>
      <c r="S330" s="7" t="str">
        <f t="shared" si="84"/>
        <v>Office Supplies</v>
      </c>
      <c r="T330" s="6" t="s">
        <v>176</v>
      </c>
      <c r="U330" s="6" t="s">
        <v>1688</v>
      </c>
      <c r="V330" s="6" t="s">
        <v>76</v>
      </c>
      <c r="W330" s="7" t="str">
        <f t="shared" si="85"/>
        <v>First Class</v>
      </c>
      <c r="X330" s="6">
        <v>6</v>
      </c>
      <c r="Y330" s="6">
        <v>3100.68</v>
      </c>
      <c r="Z330" s="6">
        <v>0</v>
      </c>
      <c r="AA330" s="6">
        <f t="shared" si="87"/>
        <v>0</v>
      </c>
      <c r="AB330" s="6" t="str">
        <f t="shared" si="88"/>
        <v>Valid</v>
      </c>
      <c r="AC330" s="6">
        <v>18604.080000000002</v>
      </c>
      <c r="AD330" s="6" t="str">
        <f>IF(OR(AO330="Cancelled",AM330="Failed"),"Exclude from Completed Sales","Include in Completed Sales")</f>
        <v>Include in Completed Sales</v>
      </c>
      <c r="AE330" s="6">
        <f t="shared" si="89"/>
        <v>18604.079999999998</v>
      </c>
      <c r="AF330" s="6" t="str">
        <f t="shared" si="90"/>
        <v/>
      </c>
      <c r="AG330" s="6">
        <v>15834.3</v>
      </c>
      <c r="AH330" s="6">
        <v>2769.78</v>
      </c>
      <c r="AI330" s="6">
        <f t="shared" si="91"/>
        <v>2769.7799999999988</v>
      </c>
      <c r="AJ330" s="11">
        <f t="shared" si="92"/>
        <v>0.1488802456235406</v>
      </c>
      <c r="AK330" s="11" t="str">
        <f t="shared" si="93"/>
        <v>May</v>
      </c>
      <c r="AL330" s="12">
        <f t="shared" si="94"/>
        <v>2025</v>
      </c>
      <c r="AM330" s="6" t="s">
        <v>54</v>
      </c>
      <c r="AN330" s="6" t="s">
        <v>55</v>
      </c>
      <c r="AO330" s="6" t="str">
        <f t="shared" si="86"/>
        <v>Completed</v>
      </c>
    </row>
    <row r="331" spans="1:41">
      <c r="A331" s="6" t="s">
        <v>1689</v>
      </c>
      <c r="B331" s="7" t="s">
        <v>1690</v>
      </c>
      <c r="C331" s="8">
        <v>45789</v>
      </c>
      <c r="D331" s="7" t="s">
        <v>1691</v>
      </c>
      <c r="E331" s="9">
        <v>45795</v>
      </c>
      <c r="F331" s="9" t="str">
        <f t="shared" si="79"/>
        <v>Valid</v>
      </c>
      <c r="G331" s="10">
        <f t="shared" si="80"/>
        <v>6</v>
      </c>
      <c r="H331" s="10" t="str">
        <f t="shared" si="81"/>
        <v>Valid</v>
      </c>
      <c r="I331" s="6" t="s">
        <v>1692</v>
      </c>
      <c r="J331" s="6" t="s">
        <v>113</v>
      </c>
      <c r="K331" s="6" t="s">
        <v>113</v>
      </c>
      <c r="L331" s="6" t="s">
        <v>61</v>
      </c>
      <c r="M331" s="7" t="str">
        <f t="shared" si="82"/>
        <v>Small Business</v>
      </c>
      <c r="N331" s="6" t="s">
        <v>93</v>
      </c>
      <c r="O331" s="7" t="str">
        <f t="shared" si="83"/>
        <v>West</v>
      </c>
      <c r="P331" s="6" t="s">
        <v>94</v>
      </c>
      <c r="Q331" s="6" t="s">
        <v>95</v>
      </c>
      <c r="R331" s="6" t="s">
        <v>50</v>
      </c>
      <c r="S331" s="7" t="str">
        <f t="shared" si="84"/>
        <v>Office Supplies</v>
      </c>
      <c r="T331" s="6" t="s">
        <v>176</v>
      </c>
      <c r="U331" s="6" t="s">
        <v>1693</v>
      </c>
      <c r="V331" s="6" t="s">
        <v>87</v>
      </c>
      <c r="W331" s="7" t="str">
        <f t="shared" si="85"/>
        <v>Standard Class</v>
      </c>
      <c r="X331" s="6">
        <v>4</v>
      </c>
      <c r="Y331" s="6">
        <v>4053.03</v>
      </c>
      <c r="Z331" s="6">
        <v>0.05</v>
      </c>
      <c r="AA331" s="6">
        <f t="shared" si="87"/>
        <v>0.05</v>
      </c>
      <c r="AB331" s="6" t="str">
        <f t="shared" si="88"/>
        <v>Valid</v>
      </c>
      <c r="AC331" s="6">
        <v>15401.51</v>
      </c>
      <c r="AD331" s="6" t="str">
        <f>IF(OR(AO331="Cancelled",AM331="Failed"),"Exclude from Completed Sales","Include in Completed Sales")</f>
        <v>Include in Completed Sales</v>
      </c>
      <c r="AE331" s="6">
        <f t="shared" si="89"/>
        <v>15401.513999999999</v>
      </c>
      <c r="AF331" s="6" t="str">
        <f t="shared" si="90"/>
        <v/>
      </c>
      <c r="AG331" s="6">
        <v>8650.42</v>
      </c>
      <c r="AH331" s="6">
        <v>6751.09</v>
      </c>
      <c r="AI331" s="6">
        <f t="shared" si="91"/>
        <v>6751.0939999999991</v>
      </c>
      <c r="AJ331" s="11">
        <f t="shared" si="92"/>
        <v>0.43833963336331738</v>
      </c>
      <c r="AK331" s="11" t="str">
        <f t="shared" si="93"/>
        <v>May</v>
      </c>
      <c r="AL331" s="12">
        <f t="shared" si="94"/>
        <v>2025</v>
      </c>
      <c r="AM331" s="6" t="s">
        <v>54</v>
      </c>
      <c r="AN331" s="6" t="s">
        <v>55</v>
      </c>
      <c r="AO331" s="6" t="str">
        <f t="shared" si="86"/>
        <v>Completed</v>
      </c>
    </row>
    <row r="332" spans="1:41">
      <c r="A332" s="6" t="s">
        <v>1694</v>
      </c>
      <c r="B332" s="7" t="s">
        <v>1148</v>
      </c>
      <c r="C332" s="8">
        <v>45428</v>
      </c>
      <c r="D332" s="7" t="s">
        <v>729</v>
      </c>
      <c r="E332" s="9">
        <v>45436</v>
      </c>
      <c r="F332" s="9" t="str">
        <f t="shared" si="79"/>
        <v>Valid</v>
      </c>
      <c r="G332" s="10">
        <f t="shared" si="80"/>
        <v>8</v>
      </c>
      <c r="H332" s="10" t="str">
        <f t="shared" si="81"/>
        <v>Valid</v>
      </c>
      <c r="I332" s="6" t="s">
        <v>1695</v>
      </c>
      <c r="J332" s="6" t="s">
        <v>81</v>
      </c>
      <c r="K332" s="6" t="s">
        <v>81</v>
      </c>
      <c r="L332" s="6" t="s">
        <v>135</v>
      </c>
      <c r="M332" s="7" t="str">
        <f t="shared" si="82"/>
        <v>Home Office</v>
      </c>
      <c r="N332" s="6" t="s">
        <v>47</v>
      </c>
      <c r="O332" s="7" t="str">
        <f t="shared" si="83"/>
        <v>North</v>
      </c>
      <c r="P332" s="6" t="s">
        <v>174</v>
      </c>
      <c r="Q332" s="6" t="s">
        <v>175</v>
      </c>
      <c r="R332" s="6" t="s">
        <v>106</v>
      </c>
      <c r="S332" s="7" t="str">
        <f t="shared" si="84"/>
        <v>Technology</v>
      </c>
      <c r="T332" s="6" t="s">
        <v>107</v>
      </c>
      <c r="U332" s="6" t="s">
        <v>1696</v>
      </c>
      <c r="V332" s="6" t="s">
        <v>68</v>
      </c>
      <c r="W332" s="7" t="str">
        <f t="shared" si="85"/>
        <v>Same Day</v>
      </c>
      <c r="X332" s="6">
        <v>1</v>
      </c>
      <c r="Y332" s="6">
        <v>783.09</v>
      </c>
      <c r="Z332" s="6">
        <v>0</v>
      </c>
      <c r="AA332" s="6">
        <f t="shared" si="87"/>
        <v>0</v>
      </c>
      <c r="AB332" s="6" t="str">
        <f t="shared" si="88"/>
        <v>Valid</v>
      </c>
      <c r="AC332" s="6">
        <v>783.09</v>
      </c>
      <c r="AD332" s="6" t="str">
        <f>IF(OR(AO332="Cancelled",AM332="Failed"),"Exclude from Completed Sales","Include in Completed Sales")</f>
        <v>Exclude from Completed Sales</v>
      </c>
      <c r="AE332" s="6">
        <f t="shared" si="89"/>
        <v>783.09</v>
      </c>
      <c r="AF332" s="6" t="str">
        <f t="shared" si="90"/>
        <v/>
      </c>
      <c r="AG332" s="6">
        <v>503.89</v>
      </c>
      <c r="AH332" s="6">
        <v>279.2</v>
      </c>
      <c r="AI332" s="6">
        <f t="shared" si="91"/>
        <v>279.20000000000005</v>
      </c>
      <c r="AJ332" s="11">
        <f t="shared" si="92"/>
        <v>0.3565362857398256</v>
      </c>
      <c r="AK332" s="11" t="str">
        <f t="shared" si="93"/>
        <v>May</v>
      </c>
      <c r="AL332" s="12">
        <f t="shared" si="94"/>
        <v>2024</v>
      </c>
      <c r="AM332" s="6" t="s">
        <v>220</v>
      </c>
      <c r="AN332" s="6" t="s">
        <v>98</v>
      </c>
      <c r="AO332" s="6" t="str">
        <f t="shared" si="86"/>
        <v>Cancelled</v>
      </c>
    </row>
    <row r="333" spans="1:41">
      <c r="A333" s="6" t="s">
        <v>1697</v>
      </c>
      <c r="B333" s="7" t="s">
        <v>725</v>
      </c>
      <c r="C333" s="8">
        <v>45630</v>
      </c>
      <c r="D333" s="7" t="s">
        <v>1698</v>
      </c>
      <c r="E333" s="9">
        <v>45632</v>
      </c>
      <c r="F333" s="9" t="str">
        <f t="shared" si="79"/>
        <v>Valid</v>
      </c>
      <c r="G333" s="10">
        <f t="shared" si="80"/>
        <v>2</v>
      </c>
      <c r="H333" s="10" t="str">
        <f t="shared" si="81"/>
        <v>Valid</v>
      </c>
      <c r="I333" s="6" t="s">
        <v>1699</v>
      </c>
      <c r="J333" s="6" t="s">
        <v>188</v>
      </c>
      <c r="K333" s="6" t="s">
        <v>188</v>
      </c>
      <c r="L333" s="6" t="s">
        <v>135</v>
      </c>
      <c r="M333" s="7" t="str">
        <f t="shared" si="82"/>
        <v>Home Office</v>
      </c>
      <c r="N333" s="6" t="s">
        <v>62</v>
      </c>
      <c r="O333" s="7" t="str">
        <f t="shared" si="83"/>
        <v>East</v>
      </c>
      <c r="P333" s="6" t="s">
        <v>63</v>
      </c>
      <c r="Q333" s="6" t="s">
        <v>64</v>
      </c>
      <c r="R333" s="6" t="s">
        <v>50</v>
      </c>
      <c r="S333" s="7" t="str">
        <f t="shared" si="84"/>
        <v>Office Supplies</v>
      </c>
      <c r="T333" s="6" t="s">
        <v>218</v>
      </c>
      <c r="U333" s="6" t="s">
        <v>1700</v>
      </c>
      <c r="V333" s="6" t="s">
        <v>53</v>
      </c>
      <c r="W333" s="7" t="str">
        <f t="shared" si="85"/>
        <v>Second Class</v>
      </c>
      <c r="X333" s="6">
        <v>4</v>
      </c>
      <c r="Y333" s="6">
        <v>2685.66</v>
      </c>
      <c r="Z333" s="6">
        <v>0</v>
      </c>
      <c r="AA333" s="6">
        <f t="shared" si="87"/>
        <v>0</v>
      </c>
      <c r="AB333" s="6" t="str">
        <f t="shared" si="88"/>
        <v>Valid</v>
      </c>
      <c r="AC333" s="6">
        <v>10742.64</v>
      </c>
      <c r="AD333" s="6" t="str">
        <f>IF(OR(AO333="Cancelled",AM333="Failed"),"Exclude from Completed Sales","Include in Completed Sales")</f>
        <v>Include in Completed Sales</v>
      </c>
      <c r="AE333" s="6">
        <f t="shared" si="89"/>
        <v>10742.64</v>
      </c>
      <c r="AF333" s="6" t="str">
        <f t="shared" si="90"/>
        <v/>
      </c>
      <c r="AG333" s="6">
        <v>6477.37</v>
      </c>
      <c r="AH333" s="6">
        <v>4265.2700000000004</v>
      </c>
      <c r="AI333" s="6">
        <f t="shared" si="91"/>
        <v>4265.2699999999995</v>
      </c>
      <c r="AJ333" s="11">
        <f t="shared" si="92"/>
        <v>0.39704113700170535</v>
      </c>
      <c r="AK333" s="11" t="str">
        <f t="shared" si="93"/>
        <v>December</v>
      </c>
      <c r="AL333" s="12">
        <f t="shared" si="94"/>
        <v>2024</v>
      </c>
      <c r="AM333" s="6" t="s">
        <v>54</v>
      </c>
      <c r="AN333" s="6" t="s">
        <v>145</v>
      </c>
      <c r="AO333" s="6" t="str">
        <f t="shared" si="86"/>
        <v>Returned</v>
      </c>
    </row>
    <row r="334" spans="1:41">
      <c r="A334" s="6" t="s">
        <v>1701</v>
      </c>
      <c r="B334" s="7" t="s">
        <v>1702</v>
      </c>
      <c r="C334" s="8">
        <v>45804</v>
      </c>
      <c r="D334" s="7" t="s">
        <v>1703</v>
      </c>
      <c r="E334" s="9">
        <v>45805</v>
      </c>
      <c r="F334" s="9" t="str">
        <f t="shared" si="79"/>
        <v>Valid</v>
      </c>
      <c r="G334" s="10">
        <f t="shared" si="80"/>
        <v>1</v>
      </c>
      <c r="H334" s="10" t="str">
        <f t="shared" si="81"/>
        <v>Valid</v>
      </c>
      <c r="I334" s="6" t="s">
        <v>1704</v>
      </c>
      <c r="J334" s="6" t="s">
        <v>182</v>
      </c>
      <c r="K334" s="6" t="s">
        <v>182</v>
      </c>
      <c r="L334" s="6" t="s">
        <v>46</v>
      </c>
      <c r="M334" s="7" t="str">
        <f t="shared" si="82"/>
        <v>Consumer</v>
      </c>
      <c r="N334" s="6" t="s">
        <v>82</v>
      </c>
      <c r="O334" s="7" t="str">
        <f t="shared" si="83"/>
        <v>South</v>
      </c>
      <c r="P334" s="6" t="s">
        <v>120</v>
      </c>
      <c r="Q334" s="6" t="s">
        <v>121</v>
      </c>
      <c r="R334" s="6" t="s">
        <v>106</v>
      </c>
      <c r="S334" s="7" t="str">
        <f t="shared" si="84"/>
        <v>Technology</v>
      </c>
      <c r="T334" s="6" t="s">
        <v>1705</v>
      </c>
      <c r="U334" s="6" t="s">
        <v>1706</v>
      </c>
      <c r="V334" s="6" t="s">
        <v>53</v>
      </c>
      <c r="W334" s="7" t="str">
        <f t="shared" si="85"/>
        <v>Second Class</v>
      </c>
      <c r="X334" s="6">
        <v>2</v>
      </c>
      <c r="Y334" s="6">
        <v>3911.96</v>
      </c>
      <c r="Z334" s="6">
        <v>0</v>
      </c>
      <c r="AA334" s="6">
        <f t="shared" si="87"/>
        <v>0</v>
      </c>
      <c r="AB334" s="6" t="str">
        <f t="shared" si="88"/>
        <v>Valid</v>
      </c>
      <c r="AC334" s="6">
        <v>7823.92</v>
      </c>
      <c r="AD334" s="6" t="str">
        <f>IF(OR(AO334="Cancelled",AM334="Failed"),"Exclude from Completed Sales","Include in Completed Sales")</f>
        <v>Include in Completed Sales</v>
      </c>
      <c r="AE334" s="6">
        <f t="shared" si="89"/>
        <v>7823.92</v>
      </c>
      <c r="AF334" s="6" t="str">
        <f t="shared" si="90"/>
        <v/>
      </c>
      <c r="AG334" s="6">
        <v>6034.63</v>
      </c>
      <c r="AH334" s="6">
        <v>1789.29</v>
      </c>
      <c r="AI334" s="6">
        <f t="shared" si="91"/>
        <v>1789.29</v>
      </c>
      <c r="AJ334" s="11">
        <f t="shared" si="92"/>
        <v>0.22869482305545047</v>
      </c>
      <c r="AK334" s="11" t="str">
        <f t="shared" si="93"/>
        <v>May</v>
      </c>
      <c r="AL334" s="12">
        <f t="shared" si="94"/>
        <v>2025</v>
      </c>
      <c r="AM334" s="6" t="s">
        <v>54</v>
      </c>
      <c r="AN334" s="6" t="s">
        <v>55</v>
      </c>
      <c r="AO334" s="6" t="str">
        <f t="shared" si="86"/>
        <v>Completed</v>
      </c>
    </row>
    <row r="335" spans="1:41">
      <c r="A335" s="6" t="s">
        <v>1707</v>
      </c>
      <c r="B335" s="7" t="s">
        <v>1708</v>
      </c>
      <c r="C335" s="8">
        <v>45830</v>
      </c>
      <c r="D335" s="7" t="s">
        <v>1709</v>
      </c>
      <c r="E335" s="9">
        <v>45835</v>
      </c>
      <c r="F335" s="9" t="str">
        <f t="shared" si="79"/>
        <v>Valid</v>
      </c>
      <c r="G335" s="10">
        <f t="shared" si="80"/>
        <v>5</v>
      </c>
      <c r="H335" s="10" t="str">
        <f t="shared" si="81"/>
        <v>Valid</v>
      </c>
      <c r="I335" s="6" t="s">
        <v>1710</v>
      </c>
      <c r="J335" s="6" t="s">
        <v>200</v>
      </c>
      <c r="K335" s="6" t="s">
        <v>200</v>
      </c>
      <c r="L335" s="6" t="s">
        <v>135</v>
      </c>
      <c r="M335" s="7" t="str">
        <f t="shared" si="82"/>
        <v>Home Office</v>
      </c>
      <c r="N335" s="6"/>
      <c r="O335" s="7" t="str">
        <f t="shared" si="83"/>
        <v>Unknown</v>
      </c>
      <c r="P335" s="6" t="s">
        <v>526</v>
      </c>
      <c r="Q335" s="6" t="s">
        <v>527</v>
      </c>
      <c r="R335" s="6" t="s">
        <v>106</v>
      </c>
      <c r="S335" s="7" t="str">
        <f t="shared" si="84"/>
        <v>Technology</v>
      </c>
      <c r="T335" s="6" t="s">
        <v>243</v>
      </c>
      <c r="U335" s="6" t="s">
        <v>1711</v>
      </c>
      <c r="V335" s="6" t="s">
        <v>76</v>
      </c>
      <c r="W335" s="7" t="str">
        <f t="shared" si="85"/>
        <v>First Class</v>
      </c>
      <c r="X335" s="6">
        <v>2</v>
      </c>
      <c r="Y335" s="6">
        <v>1468.05</v>
      </c>
      <c r="Z335" s="6">
        <v>0</v>
      </c>
      <c r="AA335" s="6">
        <f t="shared" si="87"/>
        <v>0</v>
      </c>
      <c r="AB335" s="6" t="str">
        <f t="shared" si="88"/>
        <v>Valid</v>
      </c>
      <c r="AC335" s="6">
        <v>2936.1</v>
      </c>
      <c r="AD335" s="6" t="str">
        <f>IF(OR(AO335="Cancelled",AM335="Failed"),"Exclude from Completed Sales","Include in Completed Sales")</f>
        <v>Include in Completed Sales</v>
      </c>
      <c r="AE335" s="6">
        <f t="shared" si="89"/>
        <v>2936.1</v>
      </c>
      <c r="AF335" s="6" t="str">
        <f t="shared" si="90"/>
        <v/>
      </c>
      <c r="AG335" s="6">
        <v>1923.1</v>
      </c>
      <c r="AH335" s="6">
        <v>1013</v>
      </c>
      <c r="AI335" s="6">
        <f t="shared" si="91"/>
        <v>1013</v>
      </c>
      <c r="AJ335" s="11">
        <f t="shared" si="92"/>
        <v>0.34501549674738602</v>
      </c>
      <c r="AK335" s="11" t="str">
        <f t="shared" si="93"/>
        <v>June</v>
      </c>
      <c r="AL335" s="12">
        <f t="shared" si="94"/>
        <v>2025</v>
      </c>
      <c r="AM335" s="6" t="s">
        <v>54</v>
      </c>
      <c r="AN335" s="6" t="s">
        <v>55</v>
      </c>
      <c r="AO335" s="6" t="str">
        <f t="shared" si="86"/>
        <v>Completed</v>
      </c>
    </row>
    <row r="336" spans="1:41">
      <c r="A336" s="6" t="s">
        <v>1712</v>
      </c>
      <c r="B336" s="7" t="s">
        <v>1713</v>
      </c>
      <c r="C336" s="8">
        <v>45547</v>
      </c>
      <c r="D336" s="7" t="s">
        <v>1714</v>
      </c>
      <c r="E336" s="9">
        <v>45552</v>
      </c>
      <c r="F336" s="9" t="str">
        <f t="shared" si="79"/>
        <v>Valid</v>
      </c>
      <c r="G336" s="10">
        <f t="shared" si="80"/>
        <v>5</v>
      </c>
      <c r="H336" s="10" t="str">
        <f t="shared" si="81"/>
        <v>Valid</v>
      </c>
      <c r="I336" s="6" t="s">
        <v>1715</v>
      </c>
      <c r="J336" s="6" t="s">
        <v>92</v>
      </c>
      <c r="K336" s="6" t="s">
        <v>92</v>
      </c>
      <c r="L336" s="6" t="s">
        <v>46</v>
      </c>
      <c r="M336" s="7" t="str">
        <f t="shared" si="82"/>
        <v>Consumer</v>
      </c>
      <c r="N336" s="6" t="s">
        <v>62</v>
      </c>
      <c r="O336" s="7" t="str">
        <f t="shared" si="83"/>
        <v>East</v>
      </c>
      <c r="P336" s="6" t="s">
        <v>331</v>
      </c>
      <c r="Q336" s="6" t="s">
        <v>332</v>
      </c>
      <c r="R336" s="6" t="s">
        <v>50</v>
      </c>
      <c r="S336" s="7" t="str">
        <f t="shared" si="84"/>
        <v>Office Supplies</v>
      </c>
      <c r="T336" s="6" t="s">
        <v>176</v>
      </c>
      <c r="U336" s="6" t="s">
        <v>1716</v>
      </c>
      <c r="V336" s="6" t="s">
        <v>76</v>
      </c>
      <c r="W336" s="7" t="str">
        <f t="shared" si="85"/>
        <v>First Class</v>
      </c>
      <c r="X336" s="6">
        <v>9</v>
      </c>
      <c r="Y336" s="6">
        <v>1921.47</v>
      </c>
      <c r="Z336" s="6">
        <v>0.25</v>
      </c>
      <c r="AA336" s="6">
        <f t="shared" si="87"/>
        <v>0.25</v>
      </c>
      <c r="AB336" s="6" t="str">
        <f t="shared" si="88"/>
        <v>Valid</v>
      </c>
      <c r="AC336" s="6">
        <v>12969.92</v>
      </c>
      <c r="AD336" s="6" t="str">
        <f>IF(OR(AO336="Cancelled",AM336="Failed"),"Exclude from Completed Sales","Include in Completed Sales")</f>
        <v>Include in Completed Sales</v>
      </c>
      <c r="AE336" s="6">
        <f t="shared" si="89"/>
        <v>12969.922500000001</v>
      </c>
      <c r="AF336" s="6" t="str">
        <f t="shared" si="90"/>
        <v/>
      </c>
      <c r="AG336" s="6">
        <v>9398.4599999999991</v>
      </c>
      <c r="AH336" s="6">
        <v>3571.46</v>
      </c>
      <c r="AI336" s="6">
        <f t="shared" si="91"/>
        <v>3571.4625000000015</v>
      </c>
      <c r="AJ336" s="11">
        <f t="shared" si="92"/>
        <v>0.27536498386941027</v>
      </c>
      <c r="AK336" s="11" t="str">
        <f t="shared" si="93"/>
        <v>September</v>
      </c>
      <c r="AL336" s="12">
        <f t="shared" si="94"/>
        <v>2024</v>
      </c>
      <c r="AM336" s="6" t="s">
        <v>54</v>
      </c>
      <c r="AN336" s="6" t="s">
        <v>55</v>
      </c>
      <c r="AO336" s="6" t="str">
        <f t="shared" si="86"/>
        <v>Completed</v>
      </c>
    </row>
    <row r="337" spans="1:41">
      <c r="A337" s="6" t="s">
        <v>1717</v>
      </c>
      <c r="B337" s="7" t="s">
        <v>1718</v>
      </c>
      <c r="C337" s="8">
        <v>45824</v>
      </c>
      <c r="D337" s="7" t="s">
        <v>1719</v>
      </c>
      <c r="E337" s="9">
        <v>45826</v>
      </c>
      <c r="F337" s="9" t="str">
        <f t="shared" si="79"/>
        <v>Valid</v>
      </c>
      <c r="G337" s="10">
        <f t="shared" si="80"/>
        <v>2</v>
      </c>
      <c r="H337" s="10" t="str">
        <f t="shared" si="81"/>
        <v>Valid</v>
      </c>
      <c r="I337" s="6" t="s">
        <v>1720</v>
      </c>
      <c r="J337" s="6" t="s">
        <v>168</v>
      </c>
      <c r="K337" s="6" t="s">
        <v>168</v>
      </c>
      <c r="L337" s="6" t="s">
        <v>135</v>
      </c>
      <c r="M337" s="7" t="str">
        <f t="shared" si="82"/>
        <v>Home Office</v>
      </c>
      <c r="N337" s="6" t="s">
        <v>93</v>
      </c>
      <c r="O337" s="7" t="str">
        <f t="shared" si="83"/>
        <v>West</v>
      </c>
      <c r="P337" s="6" t="s">
        <v>104</v>
      </c>
      <c r="Q337" s="6" t="s">
        <v>105</v>
      </c>
      <c r="R337" s="6" t="s">
        <v>50</v>
      </c>
      <c r="S337" s="7" t="str">
        <f t="shared" si="84"/>
        <v>Office Supplies</v>
      </c>
      <c r="T337" s="6" t="s">
        <v>51</v>
      </c>
      <c r="U337" s="6" t="s">
        <v>1721</v>
      </c>
      <c r="V337" s="6" t="s">
        <v>76</v>
      </c>
      <c r="W337" s="7" t="str">
        <f t="shared" si="85"/>
        <v>First Class</v>
      </c>
      <c r="X337" s="6">
        <v>3</v>
      </c>
      <c r="Y337" s="6">
        <v>4289.37</v>
      </c>
      <c r="Z337" s="6">
        <v>0.1</v>
      </c>
      <c r="AA337" s="6">
        <f t="shared" si="87"/>
        <v>0.1</v>
      </c>
      <c r="AB337" s="6" t="str">
        <f t="shared" si="88"/>
        <v>Valid</v>
      </c>
      <c r="AC337" s="6">
        <v>11581.3</v>
      </c>
      <c r="AD337" s="6" t="str">
        <f>IF(OR(AO337="Cancelled",AM337="Failed"),"Exclude from Completed Sales","Include in Completed Sales")</f>
        <v>Include in Completed Sales</v>
      </c>
      <c r="AE337" s="6">
        <f t="shared" si="89"/>
        <v>11581.299000000001</v>
      </c>
      <c r="AF337" s="6" t="str">
        <f t="shared" si="90"/>
        <v/>
      </c>
      <c r="AG337" s="6">
        <v>6829.43</v>
      </c>
      <c r="AH337" s="6">
        <v>4751.87</v>
      </c>
      <c r="AI337" s="6">
        <f t="shared" si="91"/>
        <v>4751.8690000000006</v>
      </c>
      <c r="AJ337" s="11">
        <f t="shared" si="92"/>
        <v>0.41030535521101735</v>
      </c>
      <c r="AK337" s="11" t="str">
        <f t="shared" si="93"/>
        <v>June</v>
      </c>
      <c r="AL337" s="12">
        <f t="shared" si="94"/>
        <v>2025</v>
      </c>
      <c r="AM337" s="6" t="s">
        <v>54</v>
      </c>
      <c r="AN337" s="6" t="s">
        <v>55</v>
      </c>
      <c r="AO337" s="6" t="str">
        <f t="shared" si="86"/>
        <v>Completed</v>
      </c>
    </row>
    <row r="338" spans="1:41">
      <c r="A338" s="6" t="s">
        <v>1722</v>
      </c>
      <c r="B338" s="7" t="s">
        <v>324</v>
      </c>
      <c r="C338" s="8">
        <v>45368</v>
      </c>
      <c r="D338" s="7" t="s">
        <v>1723</v>
      </c>
      <c r="E338" s="9">
        <v>45372</v>
      </c>
      <c r="F338" s="9" t="str">
        <f t="shared" si="79"/>
        <v>Valid</v>
      </c>
      <c r="G338" s="10">
        <f t="shared" si="80"/>
        <v>4</v>
      </c>
      <c r="H338" s="10" t="str">
        <f t="shared" si="81"/>
        <v>Valid</v>
      </c>
      <c r="I338" s="6" t="s">
        <v>1341</v>
      </c>
      <c r="J338" s="6" t="s">
        <v>182</v>
      </c>
      <c r="K338" s="6" t="s">
        <v>182</v>
      </c>
      <c r="L338" s="6" t="s">
        <v>46</v>
      </c>
      <c r="M338" s="7" t="str">
        <f t="shared" si="82"/>
        <v>Consumer</v>
      </c>
      <c r="N338" s="6" t="s">
        <v>47</v>
      </c>
      <c r="O338" s="7" t="str">
        <f t="shared" si="83"/>
        <v>North</v>
      </c>
      <c r="P338" s="6" t="s">
        <v>48</v>
      </c>
      <c r="Q338" s="6" t="s">
        <v>49</v>
      </c>
      <c r="R338" s="6" t="s">
        <v>106</v>
      </c>
      <c r="S338" s="7" t="str">
        <f t="shared" si="84"/>
        <v>Technology</v>
      </c>
      <c r="T338" s="6" t="s">
        <v>114</v>
      </c>
      <c r="U338" s="6" t="s">
        <v>1724</v>
      </c>
      <c r="V338" s="6" t="s">
        <v>76</v>
      </c>
      <c r="W338" s="7" t="str">
        <f t="shared" si="85"/>
        <v>First Class</v>
      </c>
      <c r="X338" s="6">
        <v>8</v>
      </c>
      <c r="Y338" s="6">
        <v>1992.57</v>
      </c>
      <c r="Z338" s="6">
        <v>0</v>
      </c>
      <c r="AA338" s="6">
        <f t="shared" si="87"/>
        <v>0</v>
      </c>
      <c r="AB338" s="6" t="str">
        <f t="shared" si="88"/>
        <v>Valid</v>
      </c>
      <c r="AC338" s="6">
        <v>15940.56</v>
      </c>
      <c r="AD338" s="6" t="str">
        <f>IF(OR(AO338="Cancelled",AM338="Failed"),"Exclude from Completed Sales","Include in Completed Sales")</f>
        <v>Include in Completed Sales</v>
      </c>
      <c r="AE338" s="6">
        <f t="shared" si="89"/>
        <v>15940.56</v>
      </c>
      <c r="AF338" s="6" t="str">
        <f t="shared" si="90"/>
        <v/>
      </c>
      <c r="AG338" s="6">
        <v>12347.15</v>
      </c>
      <c r="AH338" s="6">
        <v>3593.41</v>
      </c>
      <c r="AI338" s="6">
        <f t="shared" si="91"/>
        <v>3593.41</v>
      </c>
      <c r="AJ338" s="11">
        <f t="shared" si="92"/>
        <v>0.2254255810335396</v>
      </c>
      <c r="AK338" s="11" t="str">
        <f t="shared" si="93"/>
        <v>March</v>
      </c>
      <c r="AL338" s="12">
        <f t="shared" si="94"/>
        <v>2024</v>
      </c>
      <c r="AM338" s="6" t="s">
        <v>54</v>
      </c>
      <c r="AN338" s="6" t="s">
        <v>55</v>
      </c>
      <c r="AO338" s="6" t="str">
        <f t="shared" si="86"/>
        <v>Completed</v>
      </c>
    </row>
    <row r="339" spans="1:41">
      <c r="A339" s="6" t="s">
        <v>1725</v>
      </c>
      <c r="B339" s="7" t="s">
        <v>1726</v>
      </c>
      <c r="C339" s="8">
        <v>45516</v>
      </c>
      <c r="D339" s="7" t="s">
        <v>1727</v>
      </c>
      <c r="E339" s="9">
        <v>45522</v>
      </c>
      <c r="F339" s="9" t="str">
        <f t="shared" si="79"/>
        <v>Valid</v>
      </c>
      <c r="G339" s="10">
        <f t="shared" si="80"/>
        <v>6</v>
      </c>
      <c r="H339" s="10" t="str">
        <f t="shared" si="81"/>
        <v>Valid</v>
      </c>
      <c r="I339" s="6" t="s">
        <v>1728</v>
      </c>
      <c r="J339" s="6" t="s">
        <v>92</v>
      </c>
      <c r="K339" s="6" t="s">
        <v>92</v>
      </c>
      <c r="L339" s="6" t="s">
        <v>46</v>
      </c>
      <c r="M339" s="7" t="str">
        <f t="shared" si="82"/>
        <v>Consumer</v>
      </c>
      <c r="N339" s="6" t="s">
        <v>62</v>
      </c>
      <c r="O339" s="7" t="str">
        <f t="shared" si="83"/>
        <v>East</v>
      </c>
      <c r="P339" s="6" t="s">
        <v>236</v>
      </c>
      <c r="Q339" s="6" t="s">
        <v>237</v>
      </c>
      <c r="R339" s="6" t="s">
        <v>50</v>
      </c>
      <c r="S339" s="7" t="str">
        <f t="shared" si="84"/>
        <v>Office Supplies</v>
      </c>
      <c r="T339" s="6" t="s">
        <v>129</v>
      </c>
      <c r="U339" s="6" t="s">
        <v>1729</v>
      </c>
      <c r="V339" s="6" t="s">
        <v>68</v>
      </c>
      <c r="W339" s="7" t="str">
        <f t="shared" si="85"/>
        <v>Same Day</v>
      </c>
      <c r="X339" s="6">
        <v>6</v>
      </c>
      <c r="Y339" s="6">
        <v>1181.74</v>
      </c>
      <c r="Z339" s="6">
        <v>0</v>
      </c>
      <c r="AA339" s="6">
        <f t="shared" si="87"/>
        <v>0</v>
      </c>
      <c r="AB339" s="6" t="str">
        <f t="shared" si="88"/>
        <v>Valid</v>
      </c>
      <c r="AC339" s="6">
        <v>7090.44</v>
      </c>
      <c r="AD339" s="6" t="str">
        <f>IF(OR(AO339="Cancelled",AM339="Failed"),"Exclude from Completed Sales","Include in Completed Sales")</f>
        <v>Include in Completed Sales</v>
      </c>
      <c r="AE339" s="6">
        <f t="shared" si="89"/>
        <v>7090.4400000000005</v>
      </c>
      <c r="AF339" s="6" t="str">
        <f t="shared" si="90"/>
        <v/>
      </c>
      <c r="AG339" s="6">
        <v>5672.27</v>
      </c>
      <c r="AH339" s="6">
        <v>1262.8699999999999</v>
      </c>
      <c r="AI339" s="6">
        <f t="shared" si="91"/>
        <v>1418.17</v>
      </c>
      <c r="AJ339" s="11">
        <f t="shared" si="92"/>
        <v>0.20001156486762456</v>
      </c>
      <c r="AK339" s="11" t="str">
        <f t="shared" si="93"/>
        <v>August</v>
      </c>
      <c r="AL339" s="12">
        <f t="shared" si="94"/>
        <v>2024</v>
      </c>
      <c r="AM339" s="6" t="s">
        <v>54</v>
      </c>
      <c r="AN339" s="6" t="s">
        <v>55</v>
      </c>
      <c r="AO339" s="6" t="str">
        <f t="shared" si="86"/>
        <v>Completed</v>
      </c>
    </row>
    <row r="340" spans="1:41">
      <c r="A340" s="6" t="s">
        <v>1730</v>
      </c>
      <c r="B340" s="7" t="s">
        <v>1731</v>
      </c>
      <c r="C340" s="8">
        <v>45634</v>
      </c>
      <c r="D340" s="7" t="s">
        <v>1484</v>
      </c>
      <c r="E340" s="9">
        <v>45634</v>
      </c>
      <c r="F340" s="9" t="str">
        <f t="shared" si="79"/>
        <v>Valid</v>
      </c>
      <c r="G340" s="10">
        <f t="shared" si="80"/>
        <v>0</v>
      </c>
      <c r="H340" s="10" t="str">
        <f t="shared" si="81"/>
        <v>Valid</v>
      </c>
      <c r="I340" s="6" t="s">
        <v>1732</v>
      </c>
      <c r="J340" s="6" t="s">
        <v>81</v>
      </c>
      <c r="K340" s="6" t="s">
        <v>81</v>
      </c>
      <c r="L340" s="6" t="s">
        <v>61</v>
      </c>
      <c r="M340" s="7" t="str">
        <f t="shared" si="82"/>
        <v>Small Business</v>
      </c>
      <c r="N340" s="6" t="s">
        <v>82</v>
      </c>
      <c r="O340" s="7" t="str">
        <f t="shared" si="83"/>
        <v>South</v>
      </c>
      <c r="P340" s="6" t="s">
        <v>120</v>
      </c>
      <c r="Q340" s="6" t="s">
        <v>121</v>
      </c>
      <c r="R340" s="6" t="s">
        <v>106</v>
      </c>
      <c r="S340" s="7" t="str">
        <f t="shared" si="84"/>
        <v>Technology</v>
      </c>
      <c r="T340" s="6" t="s">
        <v>107</v>
      </c>
      <c r="U340" s="6" t="s">
        <v>1733</v>
      </c>
      <c r="V340" s="6" t="s">
        <v>76</v>
      </c>
      <c r="W340" s="7" t="str">
        <f t="shared" si="85"/>
        <v>First Class</v>
      </c>
      <c r="X340" s="6">
        <v>8</v>
      </c>
      <c r="Y340" s="6">
        <v>4402.3599999999997</v>
      </c>
      <c r="Z340" s="6">
        <v>0.25</v>
      </c>
      <c r="AA340" s="6">
        <f t="shared" si="87"/>
        <v>0.25</v>
      </c>
      <c r="AB340" s="6" t="str">
        <f t="shared" si="88"/>
        <v>Valid</v>
      </c>
      <c r="AC340" s="6">
        <v>26414.16</v>
      </c>
      <c r="AD340" s="6" t="str">
        <f>IF(OR(AO340="Cancelled",AM340="Failed"),"Exclude from Completed Sales","Include in Completed Sales")</f>
        <v>Include in Completed Sales</v>
      </c>
      <c r="AE340" s="6">
        <f t="shared" si="89"/>
        <v>26414.159999999996</v>
      </c>
      <c r="AF340" s="6" t="str">
        <f t="shared" si="90"/>
        <v/>
      </c>
      <c r="AG340" s="6">
        <v>21822.53</v>
      </c>
      <c r="AH340" s="6">
        <v>4591.63</v>
      </c>
      <c r="AI340" s="6">
        <f t="shared" si="91"/>
        <v>4591.6299999999974</v>
      </c>
      <c r="AJ340" s="11">
        <f t="shared" si="92"/>
        <v>0.17383214154832097</v>
      </c>
      <c r="AK340" s="11" t="str">
        <f t="shared" si="93"/>
        <v>December</v>
      </c>
      <c r="AL340" s="12">
        <f t="shared" si="94"/>
        <v>2024</v>
      </c>
      <c r="AM340" s="6" t="s">
        <v>54</v>
      </c>
      <c r="AN340" s="6" t="s">
        <v>55</v>
      </c>
      <c r="AO340" s="6" t="str">
        <f t="shared" si="86"/>
        <v>Completed</v>
      </c>
    </row>
    <row r="341" spans="1:41">
      <c r="A341" s="6" t="s">
        <v>1734</v>
      </c>
      <c r="B341" s="7" t="s">
        <v>936</v>
      </c>
      <c r="C341" s="8">
        <v>45708</v>
      </c>
      <c r="D341" s="7" t="s">
        <v>1735</v>
      </c>
      <c r="E341" s="9">
        <v>45710</v>
      </c>
      <c r="F341" s="9" t="str">
        <f t="shared" si="79"/>
        <v>Valid</v>
      </c>
      <c r="G341" s="10">
        <f t="shared" si="80"/>
        <v>2</v>
      </c>
      <c r="H341" s="10" t="str">
        <f t="shared" si="81"/>
        <v>Valid</v>
      </c>
      <c r="I341" s="6" t="s">
        <v>1736</v>
      </c>
      <c r="J341" s="6" t="s">
        <v>113</v>
      </c>
      <c r="K341" s="6" t="s">
        <v>113</v>
      </c>
      <c r="L341" s="6" t="s">
        <v>128</v>
      </c>
      <c r="M341" s="7" t="str">
        <f t="shared" si="82"/>
        <v>Corporate</v>
      </c>
      <c r="N341" s="6" t="s">
        <v>62</v>
      </c>
      <c r="O341" s="7" t="str">
        <f t="shared" si="83"/>
        <v>East</v>
      </c>
      <c r="P341" s="6" t="s">
        <v>331</v>
      </c>
      <c r="Q341" s="6" t="s">
        <v>332</v>
      </c>
      <c r="R341" s="6" t="s">
        <v>65</v>
      </c>
      <c r="S341" s="7" t="str">
        <f t="shared" si="84"/>
        <v>Furniture</v>
      </c>
      <c r="T341" s="6" t="s">
        <v>224</v>
      </c>
      <c r="U341" s="6" t="s">
        <v>1737</v>
      </c>
      <c r="V341" s="6" t="s">
        <v>87</v>
      </c>
      <c r="W341" s="7" t="str">
        <f t="shared" si="85"/>
        <v>Standard Class</v>
      </c>
      <c r="X341" s="6">
        <v>8</v>
      </c>
      <c r="Y341" s="6">
        <v>3265.76</v>
      </c>
      <c r="Z341" s="6">
        <v>0.2</v>
      </c>
      <c r="AA341" s="6">
        <f t="shared" si="87"/>
        <v>0.2</v>
      </c>
      <c r="AB341" s="6" t="str">
        <f t="shared" si="88"/>
        <v>Valid</v>
      </c>
      <c r="AC341" s="6">
        <v>20900.86</v>
      </c>
      <c r="AD341" s="6" t="str">
        <f>IF(OR(AO341="Cancelled",AM341="Failed"),"Exclude from Completed Sales","Include in Completed Sales")</f>
        <v>Include in Completed Sales</v>
      </c>
      <c r="AE341" s="6">
        <f t="shared" si="89"/>
        <v>20900.864000000001</v>
      </c>
      <c r="AF341" s="6" t="str">
        <f t="shared" si="90"/>
        <v/>
      </c>
      <c r="AG341" s="6">
        <v>12513.14</v>
      </c>
      <c r="AH341" s="6">
        <v>8387.7199999999993</v>
      </c>
      <c r="AI341" s="6">
        <f t="shared" si="91"/>
        <v>8387.724000000002</v>
      </c>
      <c r="AJ341" s="11">
        <f t="shared" si="92"/>
        <v>0.40130991714026759</v>
      </c>
      <c r="AK341" s="11" t="str">
        <f t="shared" si="93"/>
        <v>February</v>
      </c>
      <c r="AL341" s="12">
        <f t="shared" si="94"/>
        <v>2025</v>
      </c>
      <c r="AM341" s="6" t="s">
        <v>54</v>
      </c>
      <c r="AN341" s="6" t="s">
        <v>55</v>
      </c>
      <c r="AO341" s="6" t="str">
        <f t="shared" si="86"/>
        <v>Completed</v>
      </c>
    </row>
    <row r="342" spans="1:41">
      <c r="A342" s="6" t="s">
        <v>1738</v>
      </c>
      <c r="B342" s="7" t="s">
        <v>1739</v>
      </c>
      <c r="C342" s="8">
        <v>45312</v>
      </c>
      <c r="D342" s="7" t="s">
        <v>1740</v>
      </c>
      <c r="E342" s="9">
        <v>45320</v>
      </c>
      <c r="F342" s="9" t="str">
        <f t="shared" si="79"/>
        <v>Valid</v>
      </c>
      <c r="G342" s="10">
        <f t="shared" si="80"/>
        <v>8</v>
      </c>
      <c r="H342" s="10" t="str">
        <f t="shared" si="81"/>
        <v>Valid</v>
      </c>
      <c r="I342" s="6" t="s">
        <v>1741</v>
      </c>
      <c r="J342" s="6" t="s">
        <v>113</v>
      </c>
      <c r="K342" s="6" t="s">
        <v>113</v>
      </c>
      <c r="L342" s="6" t="s">
        <v>46</v>
      </c>
      <c r="M342" s="7" t="str">
        <f t="shared" si="82"/>
        <v>Consumer</v>
      </c>
      <c r="N342" s="6" t="s">
        <v>82</v>
      </c>
      <c r="O342" s="7" t="str">
        <f t="shared" si="83"/>
        <v>South</v>
      </c>
      <c r="P342" s="6" t="s">
        <v>249</v>
      </c>
      <c r="Q342" s="6" t="s">
        <v>250</v>
      </c>
      <c r="R342" s="6" t="s">
        <v>50</v>
      </c>
      <c r="S342" s="7" t="str">
        <f t="shared" si="84"/>
        <v>Office Supplies</v>
      </c>
      <c r="T342" s="6" t="s">
        <v>218</v>
      </c>
      <c r="U342" s="6" t="s">
        <v>1742</v>
      </c>
      <c r="V342" s="6" t="s">
        <v>87</v>
      </c>
      <c r="W342" s="7" t="str">
        <f t="shared" si="85"/>
        <v>Standard Class</v>
      </c>
      <c r="X342" s="6">
        <v>5</v>
      </c>
      <c r="Y342" s="6">
        <v>4058.08</v>
      </c>
      <c r="Z342" s="6">
        <v>0.1</v>
      </c>
      <c r="AA342" s="6">
        <f t="shared" si="87"/>
        <v>0.1</v>
      </c>
      <c r="AB342" s="6" t="str">
        <f t="shared" si="88"/>
        <v>Valid</v>
      </c>
      <c r="AC342" s="6">
        <v>18261.36</v>
      </c>
      <c r="AD342" s="6" t="str">
        <f>IF(OR(AO342="Cancelled",AM342="Failed"),"Exclude from Completed Sales","Include in Completed Sales")</f>
        <v>Include in Completed Sales</v>
      </c>
      <c r="AE342" s="6">
        <f t="shared" si="89"/>
        <v>18261.36</v>
      </c>
      <c r="AF342" s="6" t="str">
        <f t="shared" si="90"/>
        <v/>
      </c>
      <c r="AG342" s="6">
        <v>11399.94</v>
      </c>
      <c r="AH342" s="6">
        <v>6861.42</v>
      </c>
      <c r="AI342" s="6">
        <f t="shared" si="91"/>
        <v>6861.42</v>
      </c>
      <c r="AJ342" s="11">
        <f t="shared" si="92"/>
        <v>0.3757343374206521</v>
      </c>
      <c r="AK342" s="11" t="str">
        <f t="shared" si="93"/>
        <v>January</v>
      </c>
      <c r="AL342" s="12">
        <f t="shared" si="94"/>
        <v>2024</v>
      </c>
      <c r="AM342" s="6" t="s">
        <v>54</v>
      </c>
      <c r="AN342" s="6" t="s">
        <v>55</v>
      </c>
      <c r="AO342" s="6" t="str">
        <f t="shared" si="86"/>
        <v>Completed</v>
      </c>
    </row>
    <row r="343" spans="1:41">
      <c r="A343" s="6" t="s">
        <v>1743</v>
      </c>
      <c r="B343" s="7" t="s">
        <v>1744</v>
      </c>
      <c r="C343" s="8">
        <v>45908</v>
      </c>
      <c r="D343" s="7" t="s">
        <v>1745</v>
      </c>
      <c r="E343" s="9">
        <v>45909</v>
      </c>
      <c r="F343" s="9" t="str">
        <f t="shared" si="79"/>
        <v>Valid</v>
      </c>
      <c r="G343" s="10">
        <f t="shared" si="80"/>
        <v>1</v>
      </c>
      <c r="H343" s="10" t="str">
        <f t="shared" si="81"/>
        <v>Valid</v>
      </c>
      <c r="I343" s="6" t="s">
        <v>1746</v>
      </c>
      <c r="J343" s="6" t="s">
        <v>200</v>
      </c>
      <c r="K343" s="6" t="s">
        <v>200</v>
      </c>
      <c r="L343" s="6" t="s">
        <v>135</v>
      </c>
      <c r="M343" s="7" t="str">
        <f t="shared" si="82"/>
        <v>Home Office</v>
      </c>
      <c r="N343" s="6" t="s">
        <v>93</v>
      </c>
      <c r="O343" s="7" t="str">
        <f t="shared" si="83"/>
        <v>West</v>
      </c>
      <c r="P343" s="6" t="s">
        <v>255</v>
      </c>
      <c r="Q343" s="6" t="s">
        <v>256</v>
      </c>
      <c r="R343" s="6" t="s">
        <v>65</v>
      </c>
      <c r="S343" s="7" t="str">
        <f t="shared" si="84"/>
        <v>Furniture</v>
      </c>
      <c r="T343" s="6" t="s">
        <v>96</v>
      </c>
      <c r="U343" s="6" t="s">
        <v>1747</v>
      </c>
      <c r="V343" s="6" t="s">
        <v>53</v>
      </c>
      <c r="W343" s="7" t="str">
        <f t="shared" si="85"/>
        <v>Second Class</v>
      </c>
      <c r="X343" s="6">
        <v>2</v>
      </c>
      <c r="Y343" s="6">
        <v>3960.33</v>
      </c>
      <c r="Z343" s="6">
        <v>0.05</v>
      </c>
      <c r="AA343" s="6">
        <f t="shared" si="87"/>
        <v>0.05</v>
      </c>
      <c r="AB343" s="6" t="str">
        <f t="shared" si="88"/>
        <v>Valid</v>
      </c>
      <c r="AC343" s="6">
        <v>7524.63</v>
      </c>
      <c r="AD343" s="6" t="str">
        <f>IF(OR(AO343="Cancelled",AM343="Failed"),"Exclude from Completed Sales","Include in Completed Sales")</f>
        <v>Include in Completed Sales</v>
      </c>
      <c r="AE343" s="6">
        <f t="shared" si="89"/>
        <v>7524.6269999999995</v>
      </c>
      <c r="AF343" s="6" t="str">
        <f t="shared" si="90"/>
        <v/>
      </c>
      <c r="AG343" s="6">
        <v>6229.6</v>
      </c>
      <c r="AH343" s="6">
        <v>1295.03</v>
      </c>
      <c r="AI343" s="6">
        <f t="shared" si="91"/>
        <v>1295.0269999999991</v>
      </c>
      <c r="AJ343" s="11">
        <f t="shared" si="92"/>
        <v>0.17210514222166751</v>
      </c>
      <c r="AK343" s="11" t="str">
        <f t="shared" si="93"/>
        <v>September</v>
      </c>
      <c r="AL343" s="12">
        <f t="shared" si="94"/>
        <v>2025</v>
      </c>
      <c r="AM343" s="6" t="s">
        <v>54</v>
      </c>
      <c r="AN343" s="6" t="s">
        <v>55</v>
      </c>
      <c r="AO343" s="6" t="str">
        <f t="shared" si="86"/>
        <v>Completed</v>
      </c>
    </row>
    <row r="344" spans="1:41">
      <c r="A344" s="6" t="s">
        <v>1748</v>
      </c>
      <c r="B344" s="7" t="s">
        <v>1749</v>
      </c>
      <c r="C344" s="8">
        <v>45862</v>
      </c>
      <c r="D344" s="7" t="s">
        <v>1750</v>
      </c>
      <c r="E344" s="9">
        <v>45870</v>
      </c>
      <c r="F344" s="9" t="str">
        <f t="shared" si="79"/>
        <v>Valid</v>
      </c>
      <c r="G344" s="10">
        <f t="shared" si="80"/>
        <v>8</v>
      </c>
      <c r="H344" s="10" t="str">
        <f t="shared" si="81"/>
        <v>Valid</v>
      </c>
      <c r="I344" s="6" t="s">
        <v>1751</v>
      </c>
      <c r="J344" s="6" t="s">
        <v>386</v>
      </c>
      <c r="K344" s="6" t="s">
        <v>386</v>
      </c>
      <c r="L344" s="6" t="s">
        <v>61</v>
      </c>
      <c r="M344" s="7" t="str">
        <f t="shared" si="82"/>
        <v>Small Business</v>
      </c>
      <c r="N344" s="6" t="s">
        <v>62</v>
      </c>
      <c r="O344" s="7" t="str">
        <f t="shared" si="83"/>
        <v>East</v>
      </c>
      <c r="P344" s="6" t="s">
        <v>331</v>
      </c>
      <c r="Q344" s="6" t="s">
        <v>332</v>
      </c>
      <c r="R344" s="6" t="s">
        <v>50</v>
      </c>
      <c r="S344" s="7" t="str">
        <f t="shared" si="84"/>
        <v>Office Supplies</v>
      </c>
      <c r="T344" s="6" t="s">
        <v>218</v>
      </c>
      <c r="U344" s="6" t="s">
        <v>1752</v>
      </c>
      <c r="V344" s="6" t="s">
        <v>76</v>
      </c>
      <c r="W344" s="7" t="str">
        <f t="shared" si="85"/>
        <v>First Class</v>
      </c>
      <c r="X344" s="6">
        <v>8</v>
      </c>
      <c r="Y344" s="6">
        <v>1528.92</v>
      </c>
      <c r="Z344" s="6">
        <v>0</v>
      </c>
      <c r="AA344" s="6">
        <f t="shared" si="87"/>
        <v>0</v>
      </c>
      <c r="AB344" s="6" t="str">
        <f t="shared" si="88"/>
        <v>Valid</v>
      </c>
      <c r="AC344" s="6">
        <v>12231.36</v>
      </c>
      <c r="AD344" s="6" t="str">
        <f>IF(OR(AO344="Cancelled",AM344="Failed"),"Exclude from Completed Sales","Include in Completed Sales")</f>
        <v>Include in Completed Sales</v>
      </c>
      <c r="AE344" s="6">
        <f t="shared" si="89"/>
        <v>12231.36</v>
      </c>
      <c r="AF344" s="6" t="str">
        <f t="shared" si="90"/>
        <v/>
      </c>
      <c r="AG344" s="6">
        <v>8766.9</v>
      </c>
      <c r="AH344" s="6">
        <v>3464.46</v>
      </c>
      <c r="AI344" s="6">
        <f t="shared" si="91"/>
        <v>3464.4600000000009</v>
      </c>
      <c r="AJ344" s="11">
        <f t="shared" si="92"/>
        <v>0.28324405462679547</v>
      </c>
      <c r="AK344" s="11" t="str">
        <f t="shared" si="93"/>
        <v>July</v>
      </c>
      <c r="AL344" s="12">
        <f t="shared" si="94"/>
        <v>2025</v>
      </c>
      <c r="AM344" s="6" t="s">
        <v>54</v>
      </c>
      <c r="AN344" s="6" t="s">
        <v>55</v>
      </c>
      <c r="AO344" s="6" t="str">
        <f t="shared" si="86"/>
        <v>Completed</v>
      </c>
    </row>
    <row r="345" spans="1:41">
      <c r="A345" s="6" t="s">
        <v>1753</v>
      </c>
      <c r="B345" s="7" t="s">
        <v>1754</v>
      </c>
      <c r="C345" s="8">
        <v>45933</v>
      </c>
      <c r="D345" s="7" t="s">
        <v>1211</v>
      </c>
      <c r="E345" s="9">
        <v>45938</v>
      </c>
      <c r="F345" s="9" t="str">
        <f t="shared" si="79"/>
        <v>Valid</v>
      </c>
      <c r="G345" s="10">
        <f t="shared" si="80"/>
        <v>5</v>
      </c>
      <c r="H345" s="10" t="str">
        <f t="shared" si="81"/>
        <v>Valid</v>
      </c>
      <c r="I345" s="6" t="s">
        <v>1755</v>
      </c>
      <c r="J345" s="6" t="s">
        <v>182</v>
      </c>
      <c r="K345" s="6" t="s">
        <v>182</v>
      </c>
      <c r="L345" s="6" t="s">
        <v>128</v>
      </c>
      <c r="M345" s="7" t="str">
        <f t="shared" si="82"/>
        <v>Corporate</v>
      </c>
      <c r="N345" s="6" t="s">
        <v>93</v>
      </c>
      <c r="O345" s="7" t="str">
        <f t="shared" si="83"/>
        <v>West</v>
      </c>
      <c r="P345" s="6" t="s">
        <v>104</v>
      </c>
      <c r="Q345" s="6" t="s">
        <v>105</v>
      </c>
      <c r="R345" s="6" t="s">
        <v>106</v>
      </c>
      <c r="S345" s="7" t="str">
        <f t="shared" si="84"/>
        <v>Technology</v>
      </c>
      <c r="T345" s="6" t="s">
        <v>402</v>
      </c>
      <c r="U345" s="6" t="s">
        <v>1756</v>
      </c>
      <c r="V345" s="6" t="s">
        <v>68</v>
      </c>
      <c r="W345" s="7" t="str">
        <f t="shared" si="85"/>
        <v>Same Day</v>
      </c>
      <c r="X345" s="6">
        <v>9</v>
      </c>
      <c r="Y345" s="6">
        <v>3837</v>
      </c>
      <c r="Z345" s="6">
        <v>0.1</v>
      </c>
      <c r="AA345" s="6">
        <f t="shared" si="87"/>
        <v>0.1</v>
      </c>
      <c r="AB345" s="6" t="str">
        <f t="shared" si="88"/>
        <v>Valid</v>
      </c>
      <c r="AC345" s="6">
        <v>31079.7</v>
      </c>
      <c r="AD345" s="6" t="str">
        <f>IF(OR(AO345="Cancelled",AM345="Failed"),"Exclude from Completed Sales","Include in Completed Sales")</f>
        <v>Include in Completed Sales</v>
      </c>
      <c r="AE345" s="6">
        <f t="shared" si="89"/>
        <v>31079.7</v>
      </c>
      <c r="AF345" s="6" t="str">
        <f t="shared" si="90"/>
        <v/>
      </c>
      <c r="AG345" s="6">
        <v>17758.25</v>
      </c>
      <c r="AH345" s="6">
        <v>13321.45</v>
      </c>
      <c r="AI345" s="6">
        <f t="shared" si="91"/>
        <v>13321.45</v>
      </c>
      <c r="AJ345" s="11">
        <f t="shared" si="92"/>
        <v>0.4286222196481948</v>
      </c>
      <c r="AK345" s="11" t="str">
        <f t="shared" si="93"/>
        <v>October</v>
      </c>
      <c r="AL345" s="12">
        <f t="shared" si="94"/>
        <v>2025</v>
      </c>
      <c r="AM345" s="6" t="s">
        <v>54</v>
      </c>
      <c r="AN345" s="6" t="s">
        <v>55</v>
      </c>
      <c r="AO345" s="6" t="str">
        <f t="shared" si="86"/>
        <v>Completed</v>
      </c>
    </row>
    <row r="346" spans="1:41">
      <c r="A346" s="6" t="s">
        <v>1757</v>
      </c>
      <c r="B346" s="7" t="s">
        <v>1527</v>
      </c>
      <c r="C346" s="8">
        <v>45362</v>
      </c>
      <c r="D346" s="7" t="s">
        <v>1527</v>
      </c>
      <c r="E346" s="9">
        <v>45362</v>
      </c>
      <c r="F346" s="9" t="str">
        <f t="shared" si="79"/>
        <v>Valid</v>
      </c>
      <c r="G346" s="10">
        <f t="shared" si="80"/>
        <v>0</v>
      </c>
      <c r="H346" s="10" t="str">
        <f t="shared" si="81"/>
        <v>Valid</v>
      </c>
      <c r="I346" s="6" t="s">
        <v>1758</v>
      </c>
      <c r="J346" s="6" t="s">
        <v>162</v>
      </c>
      <c r="K346" s="6" t="s">
        <v>162</v>
      </c>
      <c r="L346" s="6" t="s">
        <v>46</v>
      </c>
      <c r="M346" s="7" t="str">
        <f t="shared" si="82"/>
        <v>Consumer</v>
      </c>
      <c r="N346" s="6" t="s">
        <v>47</v>
      </c>
      <c r="O346" s="7" t="str">
        <f t="shared" si="83"/>
        <v>North</v>
      </c>
      <c r="P346" s="6" t="s">
        <v>174</v>
      </c>
      <c r="Q346" s="6" t="s">
        <v>175</v>
      </c>
      <c r="R346" s="6" t="s">
        <v>65</v>
      </c>
      <c r="S346" s="7" t="str">
        <f t="shared" si="84"/>
        <v>Furniture</v>
      </c>
      <c r="T346" s="6" t="s">
        <v>224</v>
      </c>
      <c r="U346" s="6" t="s">
        <v>1759</v>
      </c>
      <c r="V346" s="6" t="s">
        <v>68</v>
      </c>
      <c r="W346" s="7" t="str">
        <f t="shared" si="85"/>
        <v>Same Day</v>
      </c>
      <c r="X346" s="6">
        <v>9</v>
      </c>
      <c r="Y346" s="6">
        <v>3456.38</v>
      </c>
      <c r="Z346" s="6">
        <v>0</v>
      </c>
      <c r="AA346" s="6">
        <f t="shared" si="87"/>
        <v>0</v>
      </c>
      <c r="AB346" s="6" t="str">
        <f t="shared" si="88"/>
        <v>Valid</v>
      </c>
      <c r="AC346" s="6">
        <v>31107.42</v>
      </c>
      <c r="AD346" s="6" t="str">
        <f>IF(OR(AO346="Cancelled",AM346="Failed"),"Exclude from Completed Sales","Include in Completed Sales")</f>
        <v>Include in Completed Sales</v>
      </c>
      <c r="AE346" s="6">
        <f t="shared" si="89"/>
        <v>31107.420000000002</v>
      </c>
      <c r="AF346" s="6" t="str">
        <f t="shared" si="90"/>
        <v/>
      </c>
      <c r="AG346" s="6">
        <v>20146.66</v>
      </c>
      <c r="AH346" s="6">
        <v>10960.76</v>
      </c>
      <c r="AI346" s="6">
        <f t="shared" si="91"/>
        <v>10960.760000000002</v>
      </c>
      <c r="AJ346" s="11">
        <f t="shared" si="92"/>
        <v>0.3523519468988428</v>
      </c>
      <c r="AK346" s="11" t="str">
        <f t="shared" si="93"/>
        <v>March</v>
      </c>
      <c r="AL346" s="12">
        <f t="shared" si="94"/>
        <v>2024</v>
      </c>
      <c r="AM346" s="6" t="s">
        <v>157</v>
      </c>
      <c r="AN346" s="6" t="s">
        <v>145</v>
      </c>
      <c r="AO346" s="6" t="str">
        <f t="shared" si="86"/>
        <v>Returned</v>
      </c>
    </row>
    <row r="347" spans="1:41">
      <c r="A347" s="6" t="s">
        <v>1760</v>
      </c>
      <c r="B347" s="7" t="s">
        <v>1761</v>
      </c>
      <c r="C347" s="8">
        <v>45549</v>
      </c>
      <c r="D347" s="7" t="s">
        <v>1762</v>
      </c>
      <c r="E347" s="9">
        <v>45557</v>
      </c>
      <c r="F347" s="9" t="str">
        <f t="shared" si="79"/>
        <v>Valid</v>
      </c>
      <c r="G347" s="10">
        <f t="shared" si="80"/>
        <v>8</v>
      </c>
      <c r="H347" s="10" t="str">
        <f t="shared" si="81"/>
        <v>Valid</v>
      </c>
      <c r="I347" s="6" t="s">
        <v>1763</v>
      </c>
      <c r="J347" s="6" t="s">
        <v>45</v>
      </c>
      <c r="K347" s="6" t="s">
        <v>45</v>
      </c>
      <c r="L347" s="6" t="s">
        <v>46</v>
      </c>
      <c r="M347" s="7" t="str">
        <f t="shared" si="82"/>
        <v>Consumer</v>
      </c>
      <c r="N347" s="6" t="s">
        <v>93</v>
      </c>
      <c r="O347" s="7" t="str">
        <f t="shared" si="83"/>
        <v>West</v>
      </c>
      <c r="P347" s="6" t="s">
        <v>104</v>
      </c>
      <c r="Q347" s="6" t="s">
        <v>105</v>
      </c>
      <c r="R347" s="6" t="s">
        <v>65</v>
      </c>
      <c r="S347" s="7" t="str">
        <f t="shared" si="84"/>
        <v>Furniture</v>
      </c>
      <c r="T347" s="6" t="s">
        <v>85</v>
      </c>
      <c r="U347" s="6" t="s">
        <v>1764</v>
      </c>
      <c r="V347" s="6" t="s">
        <v>53</v>
      </c>
      <c r="W347" s="7" t="str">
        <f t="shared" si="85"/>
        <v>Second Class</v>
      </c>
      <c r="X347" s="6">
        <v>2</v>
      </c>
      <c r="Y347" s="6">
        <v>2765.3</v>
      </c>
      <c r="Z347" s="6">
        <v>0</v>
      </c>
      <c r="AA347" s="6">
        <f t="shared" si="87"/>
        <v>0</v>
      </c>
      <c r="AB347" s="6" t="str">
        <f t="shared" si="88"/>
        <v>Valid</v>
      </c>
      <c r="AC347" s="6">
        <v>5530.6</v>
      </c>
      <c r="AD347" s="6" t="str">
        <f>IF(OR(AO347="Cancelled",AM347="Failed"),"Exclude from Completed Sales","Include in Completed Sales")</f>
        <v>Include in Completed Sales</v>
      </c>
      <c r="AE347" s="6">
        <f t="shared" si="89"/>
        <v>5530.6</v>
      </c>
      <c r="AF347" s="6" t="str">
        <f t="shared" si="90"/>
        <v/>
      </c>
      <c r="AG347" s="6">
        <v>4453.1099999999997</v>
      </c>
      <c r="AH347" s="6">
        <v>1077.49</v>
      </c>
      <c r="AI347" s="6">
        <f t="shared" si="91"/>
        <v>1077.4900000000007</v>
      </c>
      <c r="AJ347" s="11">
        <f t="shared" si="92"/>
        <v>0.19482334647235391</v>
      </c>
      <c r="AK347" s="11" t="str">
        <f t="shared" si="93"/>
        <v>September</v>
      </c>
      <c r="AL347" s="12">
        <f t="shared" si="94"/>
        <v>2024</v>
      </c>
      <c r="AM347" s="6" t="s">
        <v>54</v>
      </c>
      <c r="AN347" s="6" t="s">
        <v>55</v>
      </c>
      <c r="AO347" s="6" t="str">
        <f t="shared" si="86"/>
        <v>Completed</v>
      </c>
    </row>
    <row r="348" spans="1:41">
      <c r="A348" s="6" t="s">
        <v>1765</v>
      </c>
      <c r="B348" s="7" t="s">
        <v>1678</v>
      </c>
      <c r="C348" s="8">
        <v>45860</v>
      </c>
      <c r="D348" s="7" t="s">
        <v>1766</v>
      </c>
      <c r="E348" s="9">
        <v>45866</v>
      </c>
      <c r="F348" s="9" t="str">
        <f t="shared" si="79"/>
        <v>Valid</v>
      </c>
      <c r="G348" s="10">
        <f t="shared" si="80"/>
        <v>6</v>
      </c>
      <c r="H348" s="10" t="str">
        <f t="shared" si="81"/>
        <v>Valid</v>
      </c>
      <c r="I348" s="6" t="s">
        <v>1767</v>
      </c>
      <c r="J348" s="6" t="s">
        <v>168</v>
      </c>
      <c r="K348" s="6" t="s">
        <v>168</v>
      </c>
      <c r="L348" s="6" t="s">
        <v>128</v>
      </c>
      <c r="M348" s="7" t="str">
        <f t="shared" si="82"/>
        <v>Corporate</v>
      </c>
      <c r="N348" s="6" t="s">
        <v>82</v>
      </c>
      <c r="O348" s="7" t="str">
        <f t="shared" si="83"/>
        <v>South</v>
      </c>
      <c r="P348" s="6" t="s">
        <v>262</v>
      </c>
      <c r="Q348" s="6" t="s">
        <v>263</v>
      </c>
      <c r="R348" s="6" t="s">
        <v>65</v>
      </c>
      <c r="S348" s="7" t="str">
        <f t="shared" si="84"/>
        <v>Furniture</v>
      </c>
      <c r="T348" s="6" t="s">
        <v>96</v>
      </c>
      <c r="U348" s="6" t="s">
        <v>1768</v>
      </c>
      <c r="V348" s="6" t="s">
        <v>53</v>
      </c>
      <c r="W348" s="7" t="str">
        <f t="shared" si="85"/>
        <v>Second Class</v>
      </c>
      <c r="X348" s="6">
        <v>6</v>
      </c>
      <c r="Y348" s="6">
        <v>1607.46</v>
      </c>
      <c r="Z348" s="6">
        <v>0.2</v>
      </c>
      <c r="AA348" s="6">
        <f t="shared" si="87"/>
        <v>0.2</v>
      </c>
      <c r="AB348" s="6" t="str">
        <f t="shared" si="88"/>
        <v>Valid</v>
      </c>
      <c r="AC348" s="6">
        <v>7715.81</v>
      </c>
      <c r="AD348" s="6" t="str">
        <f>IF(OR(AO348="Cancelled",AM348="Failed"),"Exclude from Completed Sales","Include in Completed Sales")</f>
        <v>Include in Completed Sales</v>
      </c>
      <c r="AE348" s="6">
        <f t="shared" si="89"/>
        <v>7715.8080000000009</v>
      </c>
      <c r="AF348" s="6" t="str">
        <f t="shared" si="90"/>
        <v/>
      </c>
      <c r="AG348" s="6">
        <v>4258.42</v>
      </c>
      <c r="AH348" s="6">
        <v>3457.39</v>
      </c>
      <c r="AI348" s="6">
        <f t="shared" si="91"/>
        <v>3457.3880000000008</v>
      </c>
      <c r="AJ348" s="11">
        <f t="shared" si="92"/>
        <v>0.4480915025360922</v>
      </c>
      <c r="AK348" s="11" t="str">
        <f t="shared" si="93"/>
        <v>July</v>
      </c>
      <c r="AL348" s="12">
        <f t="shared" si="94"/>
        <v>2025</v>
      </c>
      <c r="AM348" s="6" t="s">
        <v>54</v>
      </c>
      <c r="AN348" s="6" t="s">
        <v>55</v>
      </c>
      <c r="AO348" s="6" t="str">
        <f t="shared" si="86"/>
        <v>Completed</v>
      </c>
    </row>
    <row r="349" spans="1:41">
      <c r="A349" s="6" t="s">
        <v>1769</v>
      </c>
      <c r="B349" s="7" t="s">
        <v>1770</v>
      </c>
      <c r="C349" s="8">
        <v>45627</v>
      </c>
      <c r="D349" s="7" t="s">
        <v>1484</v>
      </c>
      <c r="E349" s="9">
        <v>45634</v>
      </c>
      <c r="F349" s="9" t="str">
        <f t="shared" si="79"/>
        <v>Valid</v>
      </c>
      <c r="G349" s="10">
        <f t="shared" si="80"/>
        <v>7</v>
      </c>
      <c r="H349" s="10" t="str">
        <f t="shared" si="81"/>
        <v>Valid</v>
      </c>
      <c r="I349" s="6" t="s">
        <v>1771</v>
      </c>
      <c r="J349" s="6" t="s">
        <v>182</v>
      </c>
      <c r="K349" s="6" t="s">
        <v>182</v>
      </c>
      <c r="L349" s="6" t="s">
        <v>61</v>
      </c>
      <c r="M349" s="7" t="str">
        <f t="shared" si="82"/>
        <v>Small Business</v>
      </c>
      <c r="N349" s="6" t="s">
        <v>93</v>
      </c>
      <c r="O349" s="7" t="str">
        <f t="shared" si="83"/>
        <v>West</v>
      </c>
      <c r="P349" s="6" t="s">
        <v>269</v>
      </c>
      <c r="Q349" s="6" t="s">
        <v>270</v>
      </c>
      <c r="R349" s="6" t="s">
        <v>65</v>
      </c>
      <c r="S349" s="7" t="str">
        <f t="shared" si="84"/>
        <v>Furniture</v>
      </c>
      <c r="T349" s="6" t="s">
        <v>96</v>
      </c>
      <c r="U349" s="6" t="s">
        <v>1772</v>
      </c>
      <c r="V349" s="6" t="s">
        <v>53</v>
      </c>
      <c r="W349" s="7" t="str">
        <f t="shared" si="85"/>
        <v>Second Class</v>
      </c>
      <c r="X349" s="6">
        <v>5</v>
      </c>
      <c r="Y349" s="6">
        <v>2981.49</v>
      </c>
      <c r="Z349" s="6">
        <v>0.2</v>
      </c>
      <c r="AA349" s="6">
        <f t="shared" si="87"/>
        <v>0.2</v>
      </c>
      <c r="AB349" s="6" t="str">
        <f t="shared" si="88"/>
        <v>Valid</v>
      </c>
      <c r="AC349" s="6">
        <v>11925.96</v>
      </c>
      <c r="AD349" s="6" t="str">
        <f>IF(OR(AO349="Cancelled",AM349="Failed"),"Exclude from Completed Sales","Include in Completed Sales")</f>
        <v>Include in Completed Sales</v>
      </c>
      <c r="AE349" s="6">
        <f t="shared" si="89"/>
        <v>11925.96</v>
      </c>
      <c r="AF349" s="6" t="str">
        <f t="shared" si="90"/>
        <v>Refunded</v>
      </c>
      <c r="AG349" s="6">
        <v>10103.51</v>
      </c>
      <c r="AH349" s="6">
        <v>1822.45</v>
      </c>
      <c r="AI349" s="6">
        <f t="shared" si="91"/>
        <v>1822.4499999999989</v>
      </c>
      <c r="AJ349" s="11">
        <f t="shared" si="92"/>
        <v>0.15281369382422874</v>
      </c>
      <c r="AK349" s="11" t="str">
        <f t="shared" si="93"/>
        <v>December</v>
      </c>
      <c r="AL349" s="12">
        <f t="shared" si="94"/>
        <v>2024</v>
      </c>
      <c r="AM349" s="6" t="s">
        <v>144</v>
      </c>
      <c r="AN349" s="6" t="s">
        <v>145</v>
      </c>
      <c r="AO349" s="6" t="str">
        <f t="shared" si="86"/>
        <v>Returned</v>
      </c>
    </row>
    <row r="350" spans="1:41">
      <c r="A350" s="6" t="s">
        <v>1773</v>
      </c>
      <c r="B350" s="7" t="s">
        <v>1323</v>
      </c>
      <c r="C350" s="8">
        <v>45445</v>
      </c>
      <c r="D350" s="7" t="s">
        <v>1774</v>
      </c>
      <c r="E350" s="9">
        <v>45450</v>
      </c>
      <c r="F350" s="9" t="str">
        <f t="shared" si="79"/>
        <v>Valid</v>
      </c>
      <c r="G350" s="10">
        <f t="shared" si="80"/>
        <v>5</v>
      </c>
      <c r="H350" s="10" t="str">
        <f t="shared" si="81"/>
        <v>Valid</v>
      </c>
      <c r="I350" s="6" t="s">
        <v>1775</v>
      </c>
      <c r="J350" s="6" t="s">
        <v>182</v>
      </c>
      <c r="K350" s="6" t="s">
        <v>182</v>
      </c>
      <c r="L350" s="6" t="s">
        <v>128</v>
      </c>
      <c r="M350" s="7" t="str">
        <f t="shared" si="82"/>
        <v>Corporate</v>
      </c>
      <c r="N350" s="6" t="s">
        <v>82</v>
      </c>
      <c r="O350" s="7" t="str">
        <f t="shared" si="83"/>
        <v>South</v>
      </c>
      <c r="P350" s="6" t="s">
        <v>249</v>
      </c>
      <c r="Q350" s="6" t="s">
        <v>250</v>
      </c>
      <c r="R350" s="6" t="s">
        <v>106</v>
      </c>
      <c r="S350" s="7" t="str">
        <f t="shared" si="84"/>
        <v>Technology</v>
      </c>
      <c r="T350" s="6" t="s">
        <v>243</v>
      </c>
      <c r="U350" s="6" t="s">
        <v>1776</v>
      </c>
      <c r="V350" s="6" t="s">
        <v>68</v>
      </c>
      <c r="W350" s="7" t="str">
        <f t="shared" si="85"/>
        <v>Same Day</v>
      </c>
      <c r="X350" s="6">
        <v>9</v>
      </c>
      <c r="Y350" s="6">
        <v>2860.26</v>
      </c>
      <c r="Z350" s="6">
        <v>0.25</v>
      </c>
      <c r="AA350" s="6">
        <f t="shared" si="87"/>
        <v>0.25</v>
      </c>
      <c r="AB350" s="6" t="str">
        <f t="shared" si="88"/>
        <v>Valid</v>
      </c>
      <c r="AC350" s="6">
        <v>19306.759999999998</v>
      </c>
      <c r="AD350" s="6" t="str">
        <f>IF(OR(AO350="Cancelled",AM350="Failed"),"Exclude from Completed Sales","Include in Completed Sales")</f>
        <v>Include in Completed Sales</v>
      </c>
      <c r="AE350" s="6">
        <f t="shared" si="89"/>
        <v>19306.755000000005</v>
      </c>
      <c r="AF350" s="6" t="str">
        <f t="shared" si="90"/>
        <v/>
      </c>
      <c r="AG350" s="6">
        <v>14442.38</v>
      </c>
      <c r="AH350" s="6">
        <v>4864.38</v>
      </c>
      <c r="AI350" s="6">
        <f t="shared" si="91"/>
        <v>4864.3750000000055</v>
      </c>
      <c r="AJ350" s="11">
        <f t="shared" si="92"/>
        <v>0.25195197225012717</v>
      </c>
      <c r="AK350" s="11" t="str">
        <f t="shared" si="93"/>
        <v>June</v>
      </c>
      <c r="AL350" s="12">
        <f t="shared" si="94"/>
        <v>2024</v>
      </c>
      <c r="AM350" s="6" t="s">
        <v>54</v>
      </c>
      <c r="AN350" s="6" t="s">
        <v>55</v>
      </c>
      <c r="AO350" s="6" t="str">
        <f t="shared" si="86"/>
        <v>Completed</v>
      </c>
    </row>
    <row r="351" spans="1:41">
      <c r="A351" s="6" t="s">
        <v>1777</v>
      </c>
      <c r="B351" s="7" t="s">
        <v>1778</v>
      </c>
      <c r="C351" s="8">
        <v>45927</v>
      </c>
      <c r="D351" s="7" t="s">
        <v>767</v>
      </c>
      <c r="E351" s="9">
        <v>45929</v>
      </c>
      <c r="F351" s="9" t="str">
        <f t="shared" si="79"/>
        <v>Valid</v>
      </c>
      <c r="G351" s="10">
        <f t="shared" si="80"/>
        <v>2</v>
      </c>
      <c r="H351" s="10" t="str">
        <f t="shared" si="81"/>
        <v>Valid</v>
      </c>
      <c r="I351" s="6" t="s">
        <v>1779</v>
      </c>
      <c r="J351" s="6" t="s">
        <v>386</v>
      </c>
      <c r="K351" s="6" t="s">
        <v>386</v>
      </c>
      <c r="L351" s="6" t="s">
        <v>135</v>
      </c>
      <c r="M351" s="7" t="str">
        <f t="shared" si="82"/>
        <v>Home Office</v>
      </c>
      <c r="N351" s="6" t="s">
        <v>62</v>
      </c>
      <c r="O351" s="7" t="str">
        <f t="shared" si="83"/>
        <v>East</v>
      </c>
      <c r="P351" s="6" t="s">
        <v>331</v>
      </c>
      <c r="Q351" s="6" t="s">
        <v>332</v>
      </c>
      <c r="R351" s="6" t="s">
        <v>65</v>
      </c>
      <c r="S351" s="7" t="str">
        <f t="shared" si="84"/>
        <v>Furniture</v>
      </c>
      <c r="T351" s="6" t="s">
        <v>85</v>
      </c>
      <c r="U351" s="6" t="s">
        <v>1780</v>
      </c>
      <c r="V351" s="6" t="s">
        <v>53</v>
      </c>
      <c r="W351" s="7" t="str">
        <f t="shared" si="85"/>
        <v>Second Class</v>
      </c>
      <c r="X351" s="6">
        <v>9</v>
      </c>
      <c r="Y351" s="6">
        <v>2867.55</v>
      </c>
      <c r="Z351" s="6">
        <v>0.25</v>
      </c>
      <c r="AA351" s="6">
        <f t="shared" si="87"/>
        <v>0.25</v>
      </c>
      <c r="AB351" s="6" t="str">
        <f t="shared" si="88"/>
        <v>Valid</v>
      </c>
      <c r="AC351" s="6">
        <v>19355.96</v>
      </c>
      <c r="AD351" s="6" t="str">
        <f>IF(OR(AO351="Cancelled",AM351="Failed"),"Exclude from Completed Sales","Include in Completed Sales")</f>
        <v>Include in Completed Sales</v>
      </c>
      <c r="AE351" s="6">
        <f t="shared" si="89"/>
        <v>19355.962500000001</v>
      </c>
      <c r="AF351" s="6" t="str">
        <f t="shared" si="90"/>
        <v/>
      </c>
      <c r="AG351" s="6">
        <v>15012.45</v>
      </c>
      <c r="AH351" s="6">
        <v>4017.4</v>
      </c>
      <c r="AI351" s="6">
        <f t="shared" si="91"/>
        <v>4343.5125000000007</v>
      </c>
      <c r="AJ351" s="11">
        <f t="shared" si="92"/>
        <v>0.22440178317146461</v>
      </c>
      <c r="AK351" s="11" t="str">
        <f t="shared" si="93"/>
        <v>September</v>
      </c>
      <c r="AL351" s="12">
        <f t="shared" si="94"/>
        <v>2025</v>
      </c>
      <c r="AM351" s="6" t="s">
        <v>54</v>
      </c>
      <c r="AN351" s="6" t="s">
        <v>55</v>
      </c>
      <c r="AO351" s="6" t="str">
        <f t="shared" si="86"/>
        <v>Completed</v>
      </c>
    </row>
    <row r="352" spans="1:41">
      <c r="A352" s="6" t="s">
        <v>1781</v>
      </c>
      <c r="B352" s="7" t="s">
        <v>1782</v>
      </c>
      <c r="C352" s="8">
        <v>45298</v>
      </c>
      <c r="D352" s="7" t="s">
        <v>1783</v>
      </c>
      <c r="E352" s="9">
        <v>45305</v>
      </c>
      <c r="F352" s="9" t="str">
        <f t="shared" si="79"/>
        <v>Valid</v>
      </c>
      <c r="G352" s="10">
        <f t="shared" si="80"/>
        <v>7</v>
      </c>
      <c r="H352" s="10" t="str">
        <f t="shared" si="81"/>
        <v>Valid</v>
      </c>
      <c r="I352" s="6" t="s">
        <v>1784</v>
      </c>
      <c r="J352" s="6" t="s">
        <v>188</v>
      </c>
      <c r="K352" s="6" t="s">
        <v>188</v>
      </c>
      <c r="L352" s="6" t="s">
        <v>61</v>
      </c>
      <c r="M352" s="7" t="str">
        <f t="shared" si="82"/>
        <v>Small Business</v>
      </c>
      <c r="N352" s="6" t="s">
        <v>62</v>
      </c>
      <c r="O352" s="7" t="str">
        <f t="shared" si="83"/>
        <v>East</v>
      </c>
      <c r="P352" s="6" t="s">
        <v>331</v>
      </c>
      <c r="Q352" s="6" t="s">
        <v>332</v>
      </c>
      <c r="R352" s="6" t="s">
        <v>65</v>
      </c>
      <c r="S352" s="7" t="str">
        <f t="shared" si="84"/>
        <v>Furniture</v>
      </c>
      <c r="T352" s="6" t="s">
        <v>85</v>
      </c>
      <c r="U352" s="6" t="s">
        <v>1785</v>
      </c>
      <c r="V352" s="6" t="s">
        <v>53</v>
      </c>
      <c r="W352" s="7" t="str">
        <f t="shared" si="85"/>
        <v>Second Class</v>
      </c>
      <c r="X352" s="6">
        <v>4</v>
      </c>
      <c r="Y352" s="6">
        <v>3309.54</v>
      </c>
      <c r="Z352" s="6">
        <v>0.1</v>
      </c>
      <c r="AA352" s="6">
        <f t="shared" si="87"/>
        <v>0.1</v>
      </c>
      <c r="AB352" s="6" t="str">
        <f t="shared" si="88"/>
        <v>Valid</v>
      </c>
      <c r="AC352" s="6">
        <v>11914.34</v>
      </c>
      <c r="AD352" s="6" t="str">
        <f>IF(OR(AO352="Cancelled",AM352="Failed"),"Exclude from Completed Sales","Include in Completed Sales")</f>
        <v>Include in Completed Sales</v>
      </c>
      <c r="AE352" s="6">
        <f t="shared" si="89"/>
        <v>11914.344000000001</v>
      </c>
      <c r="AF352" s="6" t="str">
        <f t="shared" si="90"/>
        <v>Refunded</v>
      </c>
      <c r="AG352" s="6">
        <v>9771.24</v>
      </c>
      <c r="AH352" s="6">
        <v>2143.1</v>
      </c>
      <c r="AI352" s="6">
        <f t="shared" si="91"/>
        <v>2143.1040000000012</v>
      </c>
      <c r="AJ352" s="11">
        <f t="shared" si="92"/>
        <v>0.17987595456367561</v>
      </c>
      <c r="AK352" s="11" t="str">
        <f t="shared" si="93"/>
        <v>January</v>
      </c>
      <c r="AL352" s="12">
        <f t="shared" si="94"/>
        <v>2024</v>
      </c>
      <c r="AM352" s="6" t="s">
        <v>144</v>
      </c>
      <c r="AN352" s="6" t="s">
        <v>145</v>
      </c>
      <c r="AO352" s="6" t="str">
        <f t="shared" si="86"/>
        <v>Returned</v>
      </c>
    </row>
    <row r="353" spans="1:41">
      <c r="A353" s="6" t="s">
        <v>1786</v>
      </c>
      <c r="B353" s="7" t="s">
        <v>1787</v>
      </c>
      <c r="C353" s="8">
        <v>45800</v>
      </c>
      <c r="D353" s="7" t="s">
        <v>1702</v>
      </c>
      <c r="E353" s="9">
        <v>45804</v>
      </c>
      <c r="F353" s="9" t="str">
        <f t="shared" si="79"/>
        <v>Valid</v>
      </c>
      <c r="G353" s="10">
        <f t="shared" si="80"/>
        <v>4</v>
      </c>
      <c r="H353" s="10" t="str">
        <f t="shared" si="81"/>
        <v>Valid</v>
      </c>
      <c r="I353" s="6" t="s">
        <v>1788</v>
      </c>
      <c r="J353" s="6" t="s">
        <v>103</v>
      </c>
      <c r="K353" s="6" t="s">
        <v>103</v>
      </c>
      <c r="L353" s="6" t="s">
        <v>61</v>
      </c>
      <c r="M353" s="7" t="str">
        <f t="shared" si="82"/>
        <v>Small Business</v>
      </c>
      <c r="N353" s="6" t="s">
        <v>82</v>
      </c>
      <c r="O353" s="7" t="str">
        <f t="shared" si="83"/>
        <v>South</v>
      </c>
      <c r="P353" s="6" t="s">
        <v>83</v>
      </c>
      <c r="Q353" s="6" t="s">
        <v>84</v>
      </c>
      <c r="R353" s="6" t="s">
        <v>50</v>
      </c>
      <c r="S353" s="7" t="str">
        <f t="shared" si="84"/>
        <v>Office Supplies</v>
      </c>
      <c r="T353" s="6" t="s">
        <v>176</v>
      </c>
      <c r="U353" s="6" t="s">
        <v>1789</v>
      </c>
      <c r="V353" s="6" t="s">
        <v>76</v>
      </c>
      <c r="W353" s="7" t="str">
        <f t="shared" si="85"/>
        <v>First Class</v>
      </c>
      <c r="X353" s="6">
        <v>6</v>
      </c>
      <c r="Y353" s="6">
        <v>719.44</v>
      </c>
      <c r="Z353" s="6">
        <v>0.25</v>
      </c>
      <c r="AA353" s="6">
        <f t="shared" si="87"/>
        <v>0.25</v>
      </c>
      <c r="AB353" s="6" t="str">
        <f t="shared" si="88"/>
        <v>Valid</v>
      </c>
      <c r="AC353" s="6">
        <v>3237.48</v>
      </c>
      <c r="AD353" s="6" t="str">
        <f>IF(OR(AO353="Cancelled",AM353="Failed"),"Exclude from Completed Sales","Include in Completed Sales")</f>
        <v>Exclude from Completed Sales</v>
      </c>
      <c r="AE353" s="6">
        <f t="shared" si="89"/>
        <v>3237.4800000000005</v>
      </c>
      <c r="AF353" s="6" t="str">
        <f t="shared" si="90"/>
        <v/>
      </c>
      <c r="AG353" s="6">
        <v>2118.34</v>
      </c>
      <c r="AH353" s="6">
        <v>1119.1400000000001</v>
      </c>
      <c r="AI353" s="6">
        <f t="shared" si="91"/>
        <v>1119.1400000000003</v>
      </c>
      <c r="AJ353" s="11">
        <f t="shared" si="92"/>
        <v>0.34568244437031276</v>
      </c>
      <c r="AK353" s="11" t="str">
        <f t="shared" si="93"/>
        <v>May</v>
      </c>
      <c r="AL353" s="12">
        <f t="shared" si="94"/>
        <v>2025</v>
      </c>
      <c r="AM353" s="6" t="s">
        <v>157</v>
      </c>
      <c r="AN353" s="6" t="s">
        <v>98</v>
      </c>
      <c r="AO353" s="6" t="str">
        <f t="shared" si="86"/>
        <v>Cancelled</v>
      </c>
    </row>
    <row r="354" spans="1:41">
      <c r="A354" s="6" t="s">
        <v>1790</v>
      </c>
      <c r="B354" s="7" t="s">
        <v>1791</v>
      </c>
      <c r="C354" s="8">
        <v>45884</v>
      </c>
      <c r="D354" s="7" t="s">
        <v>1413</v>
      </c>
      <c r="E354" s="9">
        <v>45886</v>
      </c>
      <c r="F354" s="9" t="str">
        <f t="shared" si="79"/>
        <v>Valid</v>
      </c>
      <c r="G354" s="10">
        <f t="shared" si="80"/>
        <v>2</v>
      </c>
      <c r="H354" s="10" t="str">
        <f t="shared" si="81"/>
        <v>Valid</v>
      </c>
      <c r="I354" s="6" t="s">
        <v>1792</v>
      </c>
      <c r="J354" s="6" t="s">
        <v>230</v>
      </c>
      <c r="K354" s="6" t="s">
        <v>230</v>
      </c>
      <c r="L354" s="6" t="s">
        <v>61</v>
      </c>
      <c r="M354" s="7" t="str">
        <f t="shared" si="82"/>
        <v>Small Business</v>
      </c>
      <c r="N354" s="6" t="s">
        <v>62</v>
      </c>
      <c r="O354" s="7" t="str">
        <f t="shared" si="83"/>
        <v>East</v>
      </c>
      <c r="P354" s="6" t="s">
        <v>236</v>
      </c>
      <c r="Q354" s="6" t="s">
        <v>237</v>
      </c>
      <c r="R354" s="6" t="s">
        <v>106</v>
      </c>
      <c r="S354" s="7" t="str">
        <f t="shared" si="84"/>
        <v>Technology</v>
      </c>
      <c r="T354" s="6" t="s">
        <v>114</v>
      </c>
      <c r="U354" s="6" t="s">
        <v>1793</v>
      </c>
      <c r="V354" s="6" t="s">
        <v>76</v>
      </c>
      <c r="W354" s="7" t="str">
        <f t="shared" si="85"/>
        <v>First Class</v>
      </c>
      <c r="X354" s="6">
        <v>5</v>
      </c>
      <c r="Y354" s="6">
        <v>2862.6</v>
      </c>
      <c r="Z354" s="6">
        <v>0.25</v>
      </c>
      <c r="AA354" s="6">
        <f t="shared" si="87"/>
        <v>0.25</v>
      </c>
      <c r="AB354" s="6" t="str">
        <f t="shared" si="88"/>
        <v>Valid</v>
      </c>
      <c r="AC354" s="6">
        <v>10734.75</v>
      </c>
      <c r="AD354" s="6" t="str">
        <f>IF(OR(AO354="Cancelled",AM354="Failed"),"Exclude from Completed Sales","Include in Completed Sales")</f>
        <v>Include in Completed Sales</v>
      </c>
      <c r="AE354" s="6">
        <f t="shared" si="89"/>
        <v>10734.75</v>
      </c>
      <c r="AF354" s="6" t="str">
        <f t="shared" si="90"/>
        <v/>
      </c>
      <c r="AG354" s="6">
        <v>6475.73</v>
      </c>
      <c r="AH354" s="6">
        <v>4259.0200000000004</v>
      </c>
      <c r="AI354" s="6">
        <f t="shared" si="91"/>
        <v>4259.0200000000004</v>
      </c>
      <c r="AJ354" s="11">
        <f t="shared" si="92"/>
        <v>0.39675073942103917</v>
      </c>
      <c r="AK354" s="11" t="str">
        <f t="shared" si="93"/>
        <v>August</v>
      </c>
      <c r="AL354" s="12">
        <f t="shared" si="94"/>
        <v>2025</v>
      </c>
      <c r="AM354" s="6" t="s">
        <v>54</v>
      </c>
      <c r="AN354" s="6" t="s">
        <v>55</v>
      </c>
      <c r="AO354" s="6" t="str">
        <f t="shared" si="86"/>
        <v>Completed</v>
      </c>
    </row>
    <row r="355" spans="1:41">
      <c r="A355" s="6" t="s">
        <v>1794</v>
      </c>
      <c r="B355" s="7" t="s">
        <v>1795</v>
      </c>
      <c r="C355" s="8">
        <v>45709</v>
      </c>
      <c r="D355" s="7" t="s">
        <v>1183</v>
      </c>
      <c r="E355" s="9">
        <v>45715</v>
      </c>
      <c r="F355" s="9" t="str">
        <f t="shared" si="79"/>
        <v>Valid</v>
      </c>
      <c r="G355" s="10">
        <f t="shared" si="80"/>
        <v>6</v>
      </c>
      <c r="H355" s="10" t="str">
        <f t="shared" si="81"/>
        <v>Valid</v>
      </c>
      <c r="I355" s="6" t="s">
        <v>1796</v>
      </c>
      <c r="J355" s="6" t="s">
        <v>92</v>
      </c>
      <c r="K355" s="6" t="s">
        <v>92</v>
      </c>
      <c r="L355" s="6" t="s">
        <v>46</v>
      </c>
      <c r="M355" s="7" t="str">
        <f t="shared" si="82"/>
        <v>Consumer</v>
      </c>
      <c r="N355" s="6" t="s">
        <v>47</v>
      </c>
      <c r="O355" s="7" t="str">
        <f t="shared" si="83"/>
        <v>North</v>
      </c>
      <c r="P355" s="6" t="s">
        <v>48</v>
      </c>
      <c r="Q355" s="6" t="s">
        <v>49</v>
      </c>
      <c r="R355" s="6" t="s">
        <v>50</v>
      </c>
      <c r="S355" s="7" t="str">
        <f t="shared" si="84"/>
        <v>Office Supplies</v>
      </c>
      <c r="T355" s="6" t="s">
        <v>74</v>
      </c>
      <c r="U355" s="6" t="s">
        <v>1797</v>
      </c>
      <c r="V355" s="6" t="s">
        <v>68</v>
      </c>
      <c r="W355" s="7" t="str">
        <f t="shared" si="85"/>
        <v>Same Day</v>
      </c>
      <c r="X355" s="6">
        <v>9</v>
      </c>
      <c r="Y355" s="6">
        <v>1431.67</v>
      </c>
      <c r="Z355" s="6">
        <v>0.2</v>
      </c>
      <c r="AA355" s="6">
        <f t="shared" si="87"/>
        <v>0.2</v>
      </c>
      <c r="AB355" s="6" t="str">
        <f t="shared" si="88"/>
        <v>Valid</v>
      </c>
      <c r="AC355" s="6">
        <v>10308.02</v>
      </c>
      <c r="AD355" s="6" t="str">
        <f>IF(OR(AO355="Cancelled",AM355="Failed"),"Exclude from Completed Sales","Include in Completed Sales")</f>
        <v>Include in Completed Sales</v>
      </c>
      <c r="AE355" s="6">
        <f t="shared" si="89"/>
        <v>10308.024000000001</v>
      </c>
      <c r="AF355" s="6" t="str">
        <f t="shared" si="90"/>
        <v/>
      </c>
      <c r="AG355" s="6">
        <v>5822.31</v>
      </c>
      <c r="AH355" s="6">
        <v>4485.71</v>
      </c>
      <c r="AI355" s="6">
        <f t="shared" si="91"/>
        <v>4485.7140000000009</v>
      </c>
      <c r="AJ355" s="11">
        <f t="shared" si="92"/>
        <v>0.4351672056642476</v>
      </c>
      <c r="AK355" s="11" t="str">
        <f t="shared" si="93"/>
        <v>February</v>
      </c>
      <c r="AL355" s="12">
        <f t="shared" si="94"/>
        <v>2025</v>
      </c>
      <c r="AM355" s="6" t="s">
        <v>54</v>
      </c>
      <c r="AN355" s="6" t="s">
        <v>55</v>
      </c>
      <c r="AO355" s="6" t="str">
        <f t="shared" si="86"/>
        <v>Completed</v>
      </c>
    </row>
    <row r="356" spans="1:41">
      <c r="A356" s="6" t="s">
        <v>1798</v>
      </c>
      <c r="B356" s="7" t="s">
        <v>165</v>
      </c>
      <c r="C356" s="8">
        <v>45653</v>
      </c>
      <c r="D356" s="7" t="s">
        <v>1799</v>
      </c>
      <c r="E356" s="9">
        <v>45657</v>
      </c>
      <c r="F356" s="9" t="str">
        <f t="shared" si="79"/>
        <v>Valid</v>
      </c>
      <c r="G356" s="10">
        <f t="shared" si="80"/>
        <v>4</v>
      </c>
      <c r="H356" s="10" t="str">
        <f t="shared" si="81"/>
        <v>Valid</v>
      </c>
      <c r="I356" s="6" t="s">
        <v>1800</v>
      </c>
      <c r="J356" s="6" t="s">
        <v>386</v>
      </c>
      <c r="K356" s="6" t="s">
        <v>386</v>
      </c>
      <c r="L356" s="6" t="s">
        <v>1801</v>
      </c>
      <c r="M356" s="7" t="str">
        <f t="shared" si="82"/>
        <v>Corporate</v>
      </c>
      <c r="N356" s="6" t="s">
        <v>47</v>
      </c>
      <c r="O356" s="7" t="str">
        <f t="shared" si="83"/>
        <v>North</v>
      </c>
      <c r="P356" s="6" t="s">
        <v>174</v>
      </c>
      <c r="Q356" s="6" t="s">
        <v>175</v>
      </c>
      <c r="R356" s="6" t="s">
        <v>65</v>
      </c>
      <c r="S356" s="7" t="str">
        <f t="shared" si="84"/>
        <v>Furniture</v>
      </c>
      <c r="T356" s="6" t="s">
        <v>85</v>
      </c>
      <c r="U356" s="6" t="s">
        <v>1802</v>
      </c>
      <c r="V356" s="6" t="s">
        <v>87</v>
      </c>
      <c r="W356" s="7" t="str">
        <f t="shared" si="85"/>
        <v>Standard Class</v>
      </c>
      <c r="X356" s="6">
        <v>6</v>
      </c>
      <c r="Y356" s="6">
        <v>3346.78</v>
      </c>
      <c r="Z356" s="6">
        <v>-0.06</v>
      </c>
      <c r="AA356" s="6">
        <f t="shared" si="87"/>
        <v>-0.06</v>
      </c>
      <c r="AB356" s="6" t="str">
        <f t="shared" si="88"/>
        <v>Invalid - Negative Discount</v>
      </c>
      <c r="AC356" s="6">
        <v>20080.68</v>
      </c>
      <c r="AD356" s="6" t="str">
        <f>IF(OR(AO356="Cancelled",AM356="Failed"),"Exclude from Completed Sales","Include in Completed Sales")</f>
        <v>Exclude from Completed Sales</v>
      </c>
      <c r="AE356" s="6">
        <f t="shared" si="89"/>
        <v>21285.520800000002</v>
      </c>
      <c r="AF356" s="6" t="str">
        <f t="shared" si="90"/>
        <v/>
      </c>
      <c r="AG356" s="6">
        <v>12908.84</v>
      </c>
      <c r="AH356" s="6">
        <v>7171.84</v>
      </c>
      <c r="AI356" s="6">
        <f t="shared" si="91"/>
        <v>8376.6808000000019</v>
      </c>
      <c r="AJ356" s="11">
        <f t="shared" si="92"/>
        <v>0.39353891683965753</v>
      </c>
      <c r="AK356" s="11" t="str">
        <f t="shared" si="93"/>
        <v>December</v>
      </c>
      <c r="AL356" s="12">
        <f t="shared" si="94"/>
        <v>2024</v>
      </c>
      <c r="AM356" s="6" t="s">
        <v>157</v>
      </c>
      <c r="AN356" s="6" t="s">
        <v>98</v>
      </c>
      <c r="AO356" s="6" t="str">
        <f t="shared" si="86"/>
        <v>Cancelled</v>
      </c>
    </row>
    <row r="357" spans="1:41">
      <c r="A357" s="6" t="s">
        <v>1803</v>
      </c>
      <c r="B357" s="7" t="s">
        <v>1804</v>
      </c>
      <c r="C357" s="8">
        <v>45424</v>
      </c>
      <c r="D357" s="7" t="s">
        <v>1805</v>
      </c>
      <c r="E357" s="9">
        <v>45421</v>
      </c>
      <c r="F357" s="9" t="str">
        <f t="shared" si="79"/>
        <v>Invalid Shipping Record</v>
      </c>
      <c r="G357" s="10">
        <f t="shared" si="80"/>
        <v>-3</v>
      </c>
      <c r="H357" s="10" t="str">
        <f t="shared" si="81"/>
        <v>Invalid Shipping Record</v>
      </c>
      <c r="I357" s="6" t="s">
        <v>1806</v>
      </c>
      <c r="J357" s="6" t="s">
        <v>162</v>
      </c>
      <c r="K357" s="6" t="s">
        <v>162</v>
      </c>
      <c r="L357" s="6" t="s">
        <v>128</v>
      </c>
      <c r="M357" s="7" t="str">
        <f t="shared" si="82"/>
        <v>Corporate</v>
      </c>
      <c r="N357" s="6" t="s">
        <v>93</v>
      </c>
      <c r="O357" s="7" t="str">
        <f t="shared" si="83"/>
        <v>West</v>
      </c>
      <c r="P357" s="6" t="s">
        <v>48</v>
      </c>
      <c r="Q357" s="6" t="s">
        <v>155</v>
      </c>
      <c r="R357" s="6" t="s">
        <v>65</v>
      </c>
      <c r="S357" s="7" t="str">
        <f t="shared" si="84"/>
        <v>Furniture</v>
      </c>
      <c r="T357" s="6" t="s">
        <v>66</v>
      </c>
      <c r="U357" s="6" t="s">
        <v>1807</v>
      </c>
      <c r="V357" s="6" t="s">
        <v>87</v>
      </c>
      <c r="W357" s="7" t="str">
        <f t="shared" si="85"/>
        <v>Standard Class</v>
      </c>
      <c r="X357" s="6">
        <v>5</v>
      </c>
      <c r="Y357" s="6">
        <v>3203.48</v>
      </c>
      <c r="Z357" s="6">
        <v>0</v>
      </c>
      <c r="AA357" s="6">
        <f t="shared" si="87"/>
        <v>0</v>
      </c>
      <c r="AB357" s="6" t="str">
        <f t="shared" si="88"/>
        <v>Valid</v>
      </c>
      <c r="AC357" s="6">
        <v>16017.4</v>
      </c>
      <c r="AD357" s="6" t="str">
        <f>IF(OR(AO357="Cancelled",AM357="Failed"),"Exclude from Completed Sales","Include in Completed Sales")</f>
        <v>Exclude from Completed Sales</v>
      </c>
      <c r="AE357" s="6">
        <f t="shared" si="89"/>
        <v>16017.4</v>
      </c>
      <c r="AF357" s="6" t="str">
        <f t="shared" si="90"/>
        <v/>
      </c>
      <c r="AG357" s="6">
        <v>9557.7999999999993</v>
      </c>
      <c r="AH357" s="6">
        <v>6459.6</v>
      </c>
      <c r="AI357" s="6">
        <f t="shared" si="91"/>
        <v>6459.6</v>
      </c>
      <c r="AJ357" s="11">
        <f t="shared" si="92"/>
        <v>0.40328642601171227</v>
      </c>
      <c r="AK357" s="11" t="str">
        <f t="shared" si="93"/>
        <v>May</v>
      </c>
      <c r="AL357" s="12">
        <f t="shared" si="94"/>
        <v>2024</v>
      </c>
      <c r="AM357" s="6" t="s">
        <v>157</v>
      </c>
      <c r="AN357" s="6" t="s">
        <v>98</v>
      </c>
      <c r="AO357" s="6" t="str">
        <f t="shared" si="86"/>
        <v>Cancelled</v>
      </c>
    </row>
    <row r="358" spans="1:41">
      <c r="A358" s="6" t="s">
        <v>1808</v>
      </c>
      <c r="B358" s="7" t="s">
        <v>1809</v>
      </c>
      <c r="C358" s="8">
        <v>45835</v>
      </c>
      <c r="D358" s="7" t="s">
        <v>1810</v>
      </c>
      <c r="E358" s="9">
        <v>45837</v>
      </c>
      <c r="F358" s="9" t="str">
        <f t="shared" si="79"/>
        <v>Valid</v>
      </c>
      <c r="G358" s="10">
        <f t="shared" si="80"/>
        <v>2</v>
      </c>
      <c r="H358" s="10" t="str">
        <f t="shared" si="81"/>
        <v>Valid</v>
      </c>
      <c r="I358" s="6" t="s">
        <v>1811</v>
      </c>
      <c r="J358" s="6" t="s">
        <v>200</v>
      </c>
      <c r="K358" s="6" t="s">
        <v>200</v>
      </c>
      <c r="L358" s="6" t="s">
        <v>135</v>
      </c>
      <c r="M358" s="7" t="str">
        <f t="shared" si="82"/>
        <v>Home Office</v>
      </c>
      <c r="N358" s="6" t="s">
        <v>82</v>
      </c>
      <c r="O358" s="7" t="str">
        <f t="shared" si="83"/>
        <v>South</v>
      </c>
      <c r="P358" s="6" t="s">
        <v>83</v>
      </c>
      <c r="Q358" s="6" t="s">
        <v>84</v>
      </c>
      <c r="R358" s="6" t="s">
        <v>65</v>
      </c>
      <c r="S358" s="7" t="str">
        <f t="shared" si="84"/>
        <v>Furniture</v>
      </c>
      <c r="T358" s="6" t="s">
        <v>96</v>
      </c>
      <c r="U358" s="6" t="s">
        <v>1812</v>
      </c>
      <c r="V358" s="6" t="s">
        <v>76</v>
      </c>
      <c r="W358" s="7" t="str">
        <f t="shared" si="85"/>
        <v>First Class</v>
      </c>
      <c r="X358" s="6">
        <v>5</v>
      </c>
      <c r="Y358" s="6">
        <v>621.70000000000005</v>
      </c>
      <c r="Z358" s="6">
        <v>0.2</v>
      </c>
      <c r="AA358" s="6">
        <f t="shared" si="87"/>
        <v>0.2</v>
      </c>
      <c r="AB358" s="6" t="str">
        <f t="shared" si="88"/>
        <v>Valid</v>
      </c>
      <c r="AC358" s="6">
        <v>2486.8000000000002</v>
      </c>
      <c r="AD358" s="6" t="str">
        <f>IF(OR(AO358="Cancelled",AM358="Failed"),"Exclude from Completed Sales","Include in Completed Sales")</f>
        <v>Include in Completed Sales</v>
      </c>
      <c r="AE358" s="6">
        <f t="shared" si="89"/>
        <v>2486.8000000000002</v>
      </c>
      <c r="AF358" s="6" t="str">
        <f t="shared" si="90"/>
        <v/>
      </c>
      <c r="AG358" s="6">
        <v>2131.73</v>
      </c>
      <c r="AH358" s="6">
        <v>355.07</v>
      </c>
      <c r="AI358" s="6">
        <f t="shared" si="91"/>
        <v>355.07000000000016</v>
      </c>
      <c r="AJ358" s="11">
        <f t="shared" si="92"/>
        <v>0.1427818883705968</v>
      </c>
      <c r="AK358" s="11" t="str">
        <f t="shared" si="93"/>
        <v>June</v>
      </c>
      <c r="AL358" s="12">
        <f t="shared" si="94"/>
        <v>2025</v>
      </c>
      <c r="AM358" s="6" t="s">
        <v>157</v>
      </c>
      <c r="AN358" s="6" t="s">
        <v>145</v>
      </c>
      <c r="AO358" s="6" t="str">
        <f t="shared" si="86"/>
        <v>Returned</v>
      </c>
    </row>
    <row r="359" spans="1:41">
      <c r="A359" s="6" t="s">
        <v>1813</v>
      </c>
      <c r="B359" s="7" t="s">
        <v>216</v>
      </c>
      <c r="C359" s="8">
        <v>45678</v>
      </c>
      <c r="D359" s="7" t="s">
        <v>1814</v>
      </c>
      <c r="E359" s="9">
        <v>45686</v>
      </c>
      <c r="F359" s="9" t="str">
        <f t="shared" si="79"/>
        <v>Valid</v>
      </c>
      <c r="G359" s="10">
        <f t="shared" si="80"/>
        <v>8</v>
      </c>
      <c r="H359" s="10" t="str">
        <f t="shared" si="81"/>
        <v>Valid</v>
      </c>
      <c r="I359" s="6" t="s">
        <v>1815</v>
      </c>
      <c r="J359" s="6" t="s">
        <v>60</v>
      </c>
      <c r="K359" s="6" t="s">
        <v>60</v>
      </c>
      <c r="L359" s="6" t="s">
        <v>135</v>
      </c>
      <c r="M359" s="7" t="str">
        <f t="shared" si="82"/>
        <v>Home Office</v>
      </c>
      <c r="N359" s="6" t="s">
        <v>82</v>
      </c>
      <c r="O359" s="7" t="str">
        <f t="shared" si="83"/>
        <v>South</v>
      </c>
      <c r="P359" s="6" t="s">
        <v>120</v>
      </c>
      <c r="Q359" s="6" t="s">
        <v>121</v>
      </c>
      <c r="R359" s="6" t="s">
        <v>106</v>
      </c>
      <c r="S359" s="7" t="str">
        <f t="shared" si="84"/>
        <v>Technology</v>
      </c>
      <c r="T359" s="6" t="s">
        <v>402</v>
      </c>
      <c r="U359" s="6" t="s">
        <v>1816</v>
      </c>
      <c r="V359" s="6" t="s">
        <v>53</v>
      </c>
      <c r="W359" s="7" t="str">
        <f t="shared" si="85"/>
        <v>Second Class</v>
      </c>
      <c r="X359" s="6">
        <v>8</v>
      </c>
      <c r="Y359" s="6">
        <v>546.13</v>
      </c>
      <c r="Z359" s="6">
        <v>0</v>
      </c>
      <c r="AA359" s="6">
        <f t="shared" si="87"/>
        <v>0</v>
      </c>
      <c r="AB359" s="6" t="str">
        <f t="shared" si="88"/>
        <v>Valid</v>
      </c>
      <c r="AC359" s="6">
        <v>4369.04</v>
      </c>
      <c r="AD359" s="6" t="str">
        <f>IF(OR(AO359="Cancelled",AM359="Failed"),"Exclude from Completed Sales","Include in Completed Sales")</f>
        <v>Exclude from Completed Sales</v>
      </c>
      <c r="AE359" s="6">
        <f t="shared" si="89"/>
        <v>4369.04</v>
      </c>
      <c r="AF359" s="6" t="str">
        <f t="shared" si="90"/>
        <v/>
      </c>
      <c r="AG359" s="6">
        <v>3716.88</v>
      </c>
      <c r="AH359" s="6">
        <v>652.16</v>
      </c>
      <c r="AI359" s="6">
        <f t="shared" si="91"/>
        <v>652.15999999999985</v>
      </c>
      <c r="AJ359" s="11">
        <f t="shared" si="92"/>
        <v>0.14926848918755603</v>
      </c>
      <c r="AK359" s="11" t="str">
        <f t="shared" si="93"/>
        <v>January</v>
      </c>
      <c r="AL359" s="12">
        <f t="shared" si="94"/>
        <v>2025</v>
      </c>
      <c r="AM359" s="6" t="s">
        <v>54</v>
      </c>
      <c r="AN359" s="6" t="s">
        <v>98</v>
      </c>
      <c r="AO359" s="6" t="str">
        <f t="shared" si="86"/>
        <v>Cancelled</v>
      </c>
    </row>
    <row r="360" spans="1:41">
      <c r="A360" s="6" t="s">
        <v>1817</v>
      </c>
      <c r="B360" s="7" t="s">
        <v>1818</v>
      </c>
      <c r="C360" s="8">
        <v>45878</v>
      </c>
      <c r="D360" s="7" t="s">
        <v>1819</v>
      </c>
      <c r="E360" s="9">
        <v>45876</v>
      </c>
      <c r="F360" s="9" t="str">
        <f t="shared" si="79"/>
        <v>Invalid Shipping Record</v>
      </c>
      <c r="G360" s="10">
        <f t="shared" si="80"/>
        <v>-2</v>
      </c>
      <c r="H360" s="10" t="str">
        <f t="shared" si="81"/>
        <v>Invalid Shipping Record</v>
      </c>
      <c r="I360" s="6" t="s">
        <v>1820</v>
      </c>
      <c r="J360" s="6" t="s">
        <v>103</v>
      </c>
      <c r="K360" s="6" t="s">
        <v>103</v>
      </c>
      <c r="L360" s="6" t="s">
        <v>135</v>
      </c>
      <c r="M360" s="7" t="str">
        <f t="shared" si="82"/>
        <v>Home Office</v>
      </c>
      <c r="N360" s="6" t="s">
        <v>93</v>
      </c>
      <c r="O360" s="7" t="str">
        <f t="shared" si="83"/>
        <v>West</v>
      </c>
      <c r="P360" s="6" t="s">
        <v>255</v>
      </c>
      <c r="Q360" s="6" t="s">
        <v>256</v>
      </c>
      <c r="R360" s="6" t="s">
        <v>65</v>
      </c>
      <c r="S360" s="7" t="str">
        <f t="shared" si="84"/>
        <v>Furniture</v>
      </c>
      <c r="T360" s="6" t="s">
        <v>224</v>
      </c>
      <c r="U360" s="6" t="s">
        <v>1821</v>
      </c>
      <c r="V360" s="6" t="s">
        <v>53</v>
      </c>
      <c r="W360" s="7" t="str">
        <f t="shared" si="85"/>
        <v>Second Class</v>
      </c>
      <c r="X360" s="6">
        <v>5</v>
      </c>
      <c r="Y360" s="6">
        <v>1253.92</v>
      </c>
      <c r="Z360" s="6">
        <v>0.05</v>
      </c>
      <c r="AA360" s="6">
        <f t="shared" si="87"/>
        <v>0.05</v>
      </c>
      <c r="AB360" s="6" t="str">
        <f t="shared" si="88"/>
        <v>Valid</v>
      </c>
      <c r="AC360" s="6">
        <v>5956.12</v>
      </c>
      <c r="AD360" s="6" t="str">
        <f>IF(OR(AO360="Cancelled",AM360="Failed"),"Exclude from Completed Sales","Include in Completed Sales")</f>
        <v>Include in Completed Sales</v>
      </c>
      <c r="AE360" s="6">
        <f t="shared" si="89"/>
        <v>5956.12</v>
      </c>
      <c r="AF360" s="6" t="str">
        <f t="shared" si="90"/>
        <v/>
      </c>
      <c r="AG360" s="6">
        <v>4379.18</v>
      </c>
      <c r="AH360" s="6">
        <v>1576.94</v>
      </c>
      <c r="AI360" s="6">
        <f t="shared" si="91"/>
        <v>1576.9399999999996</v>
      </c>
      <c r="AJ360" s="11">
        <f t="shared" si="92"/>
        <v>0.26475960860425907</v>
      </c>
      <c r="AK360" s="11" t="str">
        <f t="shared" si="93"/>
        <v>August</v>
      </c>
      <c r="AL360" s="12">
        <f t="shared" si="94"/>
        <v>2025</v>
      </c>
      <c r="AM360" s="6" t="s">
        <v>157</v>
      </c>
      <c r="AN360" s="6" t="s">
        <v>145</v>
      </c>
      <c r="AO360" s="6" t="str">
        <f t="shared" si="86"/>
        <v>Returned</v>
      </c>
    </row>
    <row r="361" spans="1:41">
      <c r="A361" s="6" t="s">
        <v>1822</v>
      </c>
      <c r="B361" s="7" t="s">
        <v>1646</v>
      </c>
      <c r="C361" s="8">
        <v>45525</v>
      </c>
      <c r="D361" s="7" t="s">
        <v>1823</v>
      </c>
      <c r="E361" s="9">
        <v>45526</v>
      </c>
      <c r="F361" s="9" t="str">
        <f t="shared" si="79"/>
        <v>Valid</v>
      </c>
      <c r="G361" s="10">
        <f t="shared" si="80"/>
        <v>1</v>
      </c>
      <c r="H361" s="10" t="str">
        <f t="shared" si="81"/>
        <v>Valid</v>
      </c>
      <c r="I361" s="6" t="s">
        <v>1824</v>
      </c>
      <c r="J361" s="6" t="s">
        <v>73</v>
      </c>
      <c r="K361" s="6" t="s">
        <v>73</v>
      </c>
      <c r="L361" s="6" t="s">
        <v>46</v>
      </c>
      <c r="M361" s="7" t="str">
        <f t="shared" si="82"/>
        <v>Consumer</v>
      </c>
      <c r="N361" s="6" t="s">
        <v>82</v>
      </c>
      <c r="O361" s="7" t="str">
        <f t="shared" si="83"/>
        <v>South</v>
      </c>
      <c r="P361" s="6" t="s">
        <v>359</v>
      </c>
      <c r="Q361" s="6" t="s">
        <v>360</v>
      </c>
      <c r="R361" s="6" t="s">
        <v>106</v>
      </c>
      <c r="S361" s="7" t="str">
        <f t="shared" si="84"/>
        <v>Technology</v>
      </c>
      <c r="T361" s="6" t="s">
        <v>243</v>
      </c>
      <c r="U361" s="6" t="s">
        <v>1825</v>
      </c>
      <c r="V361" s="6" t="s">
        <v>68</v>
      </c>
      <c r="W361" s="7" t="str">
        <f t="shared" si="85"/>
        <v>Same Day</v>
      </c>
      <c r="X361" s="6">
        <v>9</v>
      </c>
      <c r="Y361" s="6">
        <v>616.96</v>
      </c>
      <c r="Z361" s="6">
        <v>0.1</v>
      </c>
      <c r="AA361" s="6">
        <f t="shared" si="87"/>
        <v>0.1</v>
      </c>
      <c r="AB361" s="6" t="str">
        <f t="shared" si="88"/>
        <v>Valid</v>
      </c>
      <c r="AC361" s="6">
        <v>4997.38</v>
      </c>
      <c r="AD361" s="6" t="str">
        <f>IF(OR(AO361="Cancelled",AM361="Failed"),"Exclude from Completed Sales","Include in Completed Sales")</f>
        <v>Include in Completed Sales</v>
      </c>
      <c r="AE361" s="6">
        <f t="shared" si="89"/>
        <v>4997.3760000000002</v>
      </c>
      <c r="AF361" s="6" t="str">
        <f t="shared" si="90"/>
        <v/>
      </c>
      <c r="AG361" s="6">
        <v>2971.39</v>
      </c>
      <c r="AH361" s="6">
        <v>2025.99</v>
      </c>
      <c r="AI361" s="6">
        <f t="shared" si="91"/>
        <v>2025.9860000000003</v>
      </c>
      <c r="AJ361" s="11">
        <f t="shared" si="92"/>
        <v>0.40540995914656014</v>
      </c>
      <c r="AK361" s="11" t="str">
        <f t="shared" si="93"/>
        <v>August</v>
      </c>
      <c r="AL361" s="12">
        <f t="shared" si="94"/>
        <v>2024</v>
      </c>
      <c r="AM361" s="6" t="s">
        <v>54</v>
      </c>
      <c r="AN361" s="6" t="s">
        <v>55</v>
      </c>
      <c r="AO361" s="6" t="str">
        <f t="shared" si="86"/>
        <v>Completed</v>
      </c>
    </row>
    <row r="362" spans="1:41">
      <c r="A362" s="6" t="s">
        <v>1826</v>
      </c>
      <c r="B362" s="7" t="s">
        <v>1827</v>
      </c>
      <c r="C362" s="8">
        <v>45460</v>
      </c>
      <c r="D362" s="7" t="s">
        <v>1828</v>
      </c>
      <c r="E362" s="9">
        <v>45463</v>
      </c>
      <c r="F362" s="9" t="str">
        <f t="shared" si="79"/>
        <v>Valid</v>
      </c>
      <c r="G362" s="10">
        <f t="shared" si="80"/>
        <v>3</v>
      </c>
      <c r="H362" s="10" t="str">
        <f t="shared" si="81"/>
        <v>Valid</v>
      </c>
      <c r="I362" s="6" t="s">
        <v>1829</v>
      </c>
      <c r="J362" s="6" t="s">
        <v>188</v>
      </c>
      <c r="K362" s="6" t="s">
        <v>188</v>
      </c>
      <c r="L362" s="6" t="s">
        <v>61</v>
      </c>
      <c r="M362" s="7" t="str">
        <f t="shared" si="82"/>
        <v>Small Business</v>
      </c>
      <c r="N362" s="6" t="s">
        <v>93</v>
      </c>
      <c r="O362" s="7" t="str">
        <f t="shared" si="83"/>
        <v>West</v>
      </c>
      <c r="P362" s="6" t="s">
        <v>255</v>
      </c>
      <c r="Q362" s="6" t="s">
        <v>256</v>
      </c>
      <c r="R362" s="6" t="s">
        <v>65</v>
      </c>
      <c r="S362" s="7" t="str">
        <f t="shared" si="84"/>
        <v>Furniture</v>
      </c>
      <c r="T362" s="6" t="s">
        <v>85</v>
      </c>
      <c r="U362" s="6" t="s">
        <v>1830</v>
      </c>
      <c r="V362" s="6" t="s">
        <v>87</v>
      </c>
      <c r="W362" s="7" t="str">
        <f t="shared" si="85"/>
        <v>Standard Class</v>
      </c>
      <c r="X362" s="6">
        <v>7</v>
      </c>
      <c r="Y362" s="6">
        <v>3155.25</v>
      </c>
      <c r="Z362" s="6">
        <v>0.2</v>
      </c>
      <c r="AA362" s="6">
        <f t="shared" si="87"/>
        <v>0.2</v>
      </c>
      <c r="AB362" s="6" t="str">
        <f t="shared" si="88"/>
        <v>Valid</v>
      </c>
      <c r="AC362" s="6">
        <v>17669.400000000001</v>
      </c>
      <c r="AD362" s="6" t="str">
        <f>IF(OR(AO362="Cancelled",AM362="Failed"),"Exclude from Completed Sales","Include in Completed Sales")</f>
        <v>Exclude from Completed Sales</v>
      </c>
      <c r="AE362" s="6">
        <f t="shared" si="89"/>
        <v>17669.400000000001</v>
      </c>
      <c r="AF362" s="6" t="str">
        <f t="shared" si="90"/>
        <v>Refunded</v>
      </c>
      <c r="AG362" s="6">
        <v>13718.77</v>
      </c>
      <c r="AH362" s="6">
        <v>3950.63</v>
      </c>
      <c r="AI362" s="6">
        <f t="shared" si="91"/>
        <v>3950.630000000001</v>
      </c>
      <c r="AJ362" s="11">
        <f t="shared" si="92"/>
        <v>0.2235859734908939</v>
      </c>
      <c r="AK362" s="11" t="str">
        <f t="shared" si="93"/>
        <v>June</v>
      </c>
      <c r="AL362" s="12">
        <f t="shared" si="94"/>
        <v>2024</v>
      </c>
      <c r="AM362" s="6" t="s">
        <v>144</v>
      </c>
      <c r="AN362" s="6" t="s">
        <v>98</v>
      </c>
      <c r="AO362" s="6" t="str">
        <f t="shared" si="86"/>
        <v>Cancelled</v>
      </c>
    </row>
    <row r="363" spans="1:41">
      <c r="A363" s="6" t="s">
        <v>1831</v>
      </c>
      <c r="B363" s="7" t="s">
        <v>1177</v>
      </c>
      <c r="C363" s="8">
        <v>45748</v>
      </c>
      <c r="D363" s="7" t="s">
        <v>1832</v>
      </c>
      <c r="E363" s="9">
        <v>45749</v>
      </c>
      <c r="F363" s="9" t="str">
        <f t="shared" si="79"/>
        <v>Valid</v>
      </c>
      <c r="G363" s="10">
        <f t="shared" si="80"/>
        <v>1</v>
      </c>
      <c r="H363" s="10" t="str">
        <f t="shared" si="81"/>
        <v>Valid</v>
      </c>
      <c r="I363" s="6" t="s">
        <v>1833</v>
      </c>
      <c r="J363" s="6" t="s">
        <v>200</v>
      </c>
      <c r="K363" s="6" t="s">
        <v>200</v>
      </c>
      <c r="L363" s="6" t="s">
        <v>128</v>
      </c>
      <c r="M363" s="7" t="str">
        <f t="shared" si="82"/>
        <v>Corporate</v>
      </c>
      <c r="N363" s="6" t="s">
        <v>62</v>
      </c>
      <c r="O363" s="7" t="str">
        <f t="shared" si="83"/>
        <v>East</v>
      </c>
      <c r="P363" s="6" t="s">
        <v>63</v>
      </c>
      <c r="Q363" s="6" t="s">
        <v>64</v>
      </c>
      <c r="R363" s="6" t="s">
        <v>65</v>
      </c>
      <c r="S363" s="7" t="str">
        <f t="shared" si="84"/>
        <v>Furniture</v>
      </c>
      <c r="T363" s="6" t="s">
        <v>96</v>
      </c>
      <c r="U363" s="6" t="s">
        <v>1834</v>
      </c>
      <c r="V363" s="6" t="s">
        <v>53</v>
      </c>
      <c r="W363" s="7" t="str">
        <f t="shared" si="85"/>
        <v>Second Class</v>
      </c>
      <c r="X363" s="6">
        <v>9</v>
      </c>
      <c r="Y363" s="6">
        <v>4165.58</v>
      </c>
      <c r="Z363" s="6">
        <v>0.05</v>
      </c>
      <c r="AA363" s="6">
        <f t="shared" si="87"/>
        <v>0.05</v>
      </c>
      <c r="AB363" s="6" t="str">
        <f t="shared" si="88"/>
        <v>Valid</v>
      </c>
      <c r="AC363" s="6">
        <v>35615.71</v>
      </c>
      <c r="AD363" s="6" t="str">
        <f>IF(OR(AO363="Cancelled",AM363="Failed"),"Exclude from Completed Sales","Include in Completed Sales")</f>
        <v>Include in Completed Sales</v>
      </c>
      <c r="AE363" s="6">
        <f t="shared" si="89"/>
        <v>35615.709000000003</v>
      </c>
      <c r="AF363" s="6" t="str">
        <f t="shared" si="90"/>
        <v/>
      </c>
      <c r="AG363" s="6">
        <v>20389.71</v>
      </c>
      <c r="AH363" s="6">
        <v>15226</v>
      </c>
      <c r="AI363" s="6">
        <f t="shared" si="91"/>
        <v>15225.999000000003</v>
      </c>
      <c r="AJ363" s="11">
        <f t="shared" si="92"/>
        <v>0.42750795723314122</v>
      </c>
      <c r="AK363" s="11" t="str">
        <f t="shared" si="93"/>
        <v>April</v>
      </c>
      <c r="AL363" s="12">
        <f t="shared" si="94"/>
        <v>2025</v>
      </c>
      <c r="AM363" s="6" t="s">
        <v>157</v>
      </c>
      <c r="AN363" s="6" t="s">
        <v>145</v>
      </c>
      <c r="AO363" s="6" t="str">
        <f t="shared" si="86"/>
        <v>Returned</v>
      </c>
    </row>
    <row r="364" spans="1:41">
      <c r="A364" s="6" t="s">
        <v>1835</v>
      </c>
      <c r="B364" s="7" t="s">
        <v>1836</v>
      </c>
      <c r="C364" s="8">
        <v>45527</v>
      </c>
      <c r="D364" s="7" t="s">
        <v>1837</v>
      </c>
      <c r="E364" s="9">
        <v>45529</v>
      </c>
      <c r="F364" s="9" t="str">
        <f t="shared" si="79"/>
        <v>Valid</v>
      </c>
      <c r="G364" s="10">
        <f t="shared" si="80"/>
        <v>2</v>
      </c>
      <c r="H364" s="10" t="str">
        <f t="shared" si="81"/>
        <v>Valid</v>
      </c>
      <c r="I364" s="6" t="s">
        <v>1838</v>
      </c>
      <c r="J364" s="6" t="s">
        <v>103</v>
      </c>
      <c r="K364" s="6" t="s">
        <v>103</v>
      </c>
      <c r="L364" s="6" t="s">
        <v>46</v>
      </c>
      <c r="M364" s="7" t="str">
        <f t="shared" si="82"/>
        <v>Consumer</v>
      </c>
      <c r="N364" s="6" t="s">
        <v>93</v>
      </c>
      <c r="O364" s="7" t="str">
        <f t="shared" si="83"/>
        <v>West</v>
      </c>
      <c r="P364" s="6" t="s">
        <v>269</v>
      </c>
      <c r="Q364" s="6" t="s">
        <v>270</v>
      </c>
      <c r="R364" s="6" t="s">
        <v>106</v>
      </c>
      <c r="S364" s="7" t="str">
        <f t="shared" si="84"/>
        <v>Technology</v>
      </c>
      <c r="T364" s="6" t="s">
        <v>402</v>
      </c>
      <c r="U364" s="6" t="s">
        <v>1839</v>
      </c>
      <c r="V364" s="6" t="s">
        <v>68</v>
      </c>
      <c r="W364" s="7" t="str">
        <f t="shared" si="85"/>
        <v>Same Day</v>
      </c>
      <c r="X364" s="6">
        <v>4</v>
      </c>
      <c r="Y364" s="6">
        <v>491.16</v>
      </c>
      <c r="Z364" s="6">
        <v>0.05</v>
      </c>
      <c r="AA364" s="6">
        <f t="shared" si="87"/>
        <v>0.05</v>
      </c>
      <c r="AB364" s="6" t="str">
        <f t="shared" si="88"/>
        <v>Valid</v>
      </c>
      <c r="AC364" s="6">
        <v>1866.41</v>
      </c>
      <c r="AD364" s="6" t="str">
        <f>IF(OR(AO364="Cancelled",AM364="Failed"),"Exclude from Completed Sales","Include in Completed Sales")</f>
        <v>Include in Completed Sales</v>
      </c>
      <c r="AE364" s="6">
        <f t="shared" si="89"/>
        <v>1866.4079999999999</v>
      </c>
      <c r="AF364" s="6" t="str">
        <f t="shared" si="90"/>
        <v/>
      </c>
      <c r="AG364" s="6">
        <v>1576.49</v>
      </c>
      <c r="AH364" s="6">
        <v>289.92</v>
      </c>
      <c r="AI364" s="6">
        <f t="shared" si="91"/>
        <v>289.91799999999989</v>
      </c>
      <c r="AJ364" s="11">
        <f t="shared" si="92"/>
        <v>0.15533473924243782</v>
      </c>
      <c r="AK364" s="11" t="str">
        <f t="shared" si="93"/>
        <v>August</v>
      </c>
      <c r="AL364" s="12">
        <f t="shared" si="94"/>
        <v>2024</v>
      </c>
      <c r="AM364" s="6" t="s">
        <v>54</v>
      </c>
      <c r="AN364" s="6" t="s">
        <v>55</v>
      </c>
      <c r="AO364" s="6" t="str">
        <f t="shared" si="86"/>
        <v>Completed</v>
      </c>
    </row>
    <row r="365" spans="1:41">
      <c r="A365" s="6" t="s">
        <v>1840</v>
      </c>
      <c r="B365" s="7" t="s">
        <v>1841</v>
      </c>
      <c r="C365" s="8">
        <v>45845</v>
      </c>
      <c r="D365" s="7" t="s">
        <v>1842</v>
      </c>
      <c r="E365" s="9">
        <v>45850</v>
      </c>
      <c r="F365" s="9" t="str">
        <f t="shared" si="79"/>
        <v>Valid</v>
      </c>
      <c r="G365" s="10">
        <f t="shared" si="80"/>
        <v>5</v>
      </c>
      <c r="H365" s="10" t="str">
        <f t="shared" si="81"/>
        <v>Valid</v>
      </c>
      <c r="I365" s="6" t="s">
        <v>1843</v>
      </c>
      <c r="J365" s="6" t="s">
        <v>230</v>
      </c>
      <c r="K365" s="6" t="s">
        <v>230</v>
      </c>
      <c r="L365" s="6" t="s">
        <v>128</v>
      </c>
      <c r="M365" s="7" t="str">
        <f t="shared" si="82"/>
        <v>Corporate</v>
      </c>
      <c r="N365" s="6" t="s">
        <v>62</v>
      </c>
      <c r="O365" s="7" t="str">
        <f t="shared" si="83"/>
        <v>East</v>
      </c>
      <c r="P365" s="6" t="s">
        <v>141</v>
      </c>
      <c r="Q365" s="6" t="s">
        <v>142</v>
      </c>
      <c r="R365" s="6" t="s">
        <v>65</v>
      </c>
      <c r="S365" s="7" t="str">
        <f t="shared" si="84"/>
        <v>Furniture</v>
      </c>
      <c r="T365" s="6" t="s">
        <v>66</v>
      </c>
      <c r="U365" s="6" t="s">
        <v>1844</v>
      </c>
      <c r="V365" s="6" t="s">
        <v>53</v>
      </c>
      <c r="W365" s="7" t="str">
        <f t="shared" si="85"/>
        <v>Second Class</v>
      </c>
      <c r="X365" s="6">
        <v>5</v>
      </c>
      <c r="Y365" s="6">
        <v>1831.37</v>
      </c>
      <c r="Z365" s="6">
        <v>0.25</v>
      </c>
      <c r="AA365" s="6">
        <f t="shared" si="87"/>
        <v>0.25</v>
      </c>
      <c r="AB365" s="6" t="str">
        <f t="shared" si="88"/>
        <v>Valid</v>
      </c>
      <c r="AC365" s="6">
        <v>6867.64</v>
      </c>
      <c r="AD365" s="6" t="str">
        <f>IF(OR(AO365="Cancelled",AM365="Failed"),"Exclude from Completed Sales","Include in Completed Sales")</f>
        <v>Include in Completed Sales</v>
      </c>
      <c r="AE365" s="6">
        <f t="shared" si="89"/>
        <v>6867.6374999999989</v>
      </c>
      <c r="AF365" s="6" t="str">
        <f t="shared" si="90"/>
        <v/>
      </c>
      <c r="AG365" s="6">
        <v>5205.3599999999997</v>
      </c>
      <c r="AH365" s="6">
        <v>1662.28</v>
      </c>
      <c r="AI365" s="6">
        <f t="shared" si="91"/>
        <v>1662.2774999999992</v>
      </c>
      <c r="AJ365" s="11">
        <f t="shared" si="92"/>
        <v>0.24204502640100028</v>
      </c>
      <c r="AK365" s="11" t="str">
        <f t="shared" si="93"/>
        <v>July</v>
      </c>
      <c r="AL365" s="12">
        <f t="shared" si="94"/>
        <v>2025</v>
      </c>
      <c r="AM365" s="6" t="s">
        <v>54</v>
      </c>
      <c r="AN365" s="6" t="s">
        <v>55</v>
      </c>
      <c r="AO365" s="6" t="str">
        <f t="shared" si="86"/>
        <v>Completed</v>
      </c>
    </row>
    <row r="366" spans="1:41">
      <c r="A366" s="6" t="s">
        <v>1845</v>
      </c>
      <c r="B366" s="7" t="s">
        <v>1846</v>
      </c>
      <c r="C366" s="8">
        <v>45737</v>
      </c>
      <c r="D366" s="7" t="s">
        <v>1847</v>
      </c>
      <c r="E366" s="9">
        <v>45740</v>
      </c>
      <c r="F366" s="9" t="str">
        <f t="shared" si="79"/>
        <v>Valid</v>
      </c>
      <c r="G366" s="10">
        <f t="shared" si="80"/>
        <v>3</v>
      </c>
      <c r="H366" s="10" t="str">
        <f t="shared" si="81"/>
        <v>Valid</v>
      </c>
      <c r="I366" s="6" t="s">
        <v>1848</v>
      </c>
      <c r="J366" s="6" t="s">
        <v>182</v>
      </c>
      <c r="K366" s="6" t="s">
        <v>182</v>
      </c>
      <c r="L366" s="6" t="s">
        <v>61</v>
      </c>
      <c r="M366" s="7" t="str">
        <f t="shared" si="82"/>
        <v>Small Business</v>
      </c>
      <c r="N366" s="6" t="s">
        <v>82</v>
      </c>
      <c r="O366" s="7" t="str">
        <f t="shared" si="83"/>
        <v>South</v>
      </c>
      <c r="P366" s="6" t="s">
        <v>120</v>
      </c>
      <c r="Q366" s="6" t="s">
        <v>121</v>
      </c>
      <c r="R366" s="6" t="s">
        <v>65</v>
      </c>
      <c r="S366" s="7" t="str">
        <f t="shared" si="84"/>
        <v>Furniture</v>
      </c>
      <c r="T366" s="6" t="s">
        <v>96</v>
      </c>
      <c r="U366" s="6" t="s">
        <v>1849</v>
      </c>
      <c r="V366" s="6" t="s">
        <v>53</v>
      </c>
      <c r="W366" s="7" t="str">
        <f t="shared" si="85"/>
        <v>Second Class</v>
      </c>
      <c r="X366" s="6">
        <v>5</v>
      </c>
      <c r="Y366" s="6">
        <v>1239.1500000000001</v>
      </c>
      <c r="Z366" s="6">
        <v>0</v>
      </c>
      <c r="AA366" s="6">
        <f t="shared" si="87"/>
        <v>0</v>
      </c>
      <c r="AB366" s="6" t="str">
        <f t="shared" si="88"/>
        <v>Valid</v>
      </c>
      <c r="AC366" s="6">
        <v>6195.75</v>
      </c>
      <c r="AD366" s="6" t="str">
        <f>IF(OR(AO366="Cancelled",AM366="Failed"),"Exclude from Completed Sales","Include in Completed Sales")</f>
        <v>Include in Completed Sales</v>
      </c>
      <c r="AE366" s="6">
        <f t="shared" si="89"/>
        <v>6195.75</v>
      </c>
      <c r="AF366" s="6" t="str">
        <f t="shared" si="90"/>
        <v/>
      </c>
      <c r="AG366" s="6">
        <v>3967.02</v>
      </c>
      <c r="AH366" s="6">
        <v>2228.73</v>
      </c>
      <c r="AI366" s="6">
        <f t="shared" si="91"/>
        <v>2228.73</v>
      </c>
      <c r="AJ366" s="11">
        <f t="shared" si="92"/>
        <v>0.35971916232901585</v>
      </c>
      <c r="AK366" s="11" t="str">
        <f t="shared" si="93"/>
        <v>March</v>
      </c>
      <c r="AL366" s="12">
        <f t="shared" si="94"/>
        <v>2025</v>
      </c>
      <c r="AM366" s="6" t="s">
        <v>54</v>
      </c>
      <c r="AN366" s="6" t="s">
        <v>55</v>
      </c>
      <c r="AO366" s="6" t="str">
        <f t="shared" si="86"/>
        <v>Completed</v>
      </c>
    </row>
    <row r="367" spans="1:41">
      <c r="A367" s="6" t="s">
        <v>1850</v>
      </c>
      <c r="B367" s="7" t="s">
        <v>1851</v>
      </c>
      <c r="C367" s="8">
        <v>45458</v>
      </c>
      <c r="D367" s="7" t="s">
        <v>1852</v>
      </c>
      <c r="E367" s="9">
        <v>45464</v>
      </c>
      <c r="F367" s="9" t="str">
        <f t="shared" si="79"/>
        <v>Valid</v>
      </c>
      <c r="G367" s="10">
        <f t="shared" si="80"/>
        <v>6</v>
      </c>
      <c r="H367" s="10" t="str">
        <f t="shared" si="81"/>
        <v>Valid</v>
      </c>
      <c r="I367" s="6" t="s">
        <v>1853</v>
      </c>
      <c r="J367" s="6" t="s">
        <v>127</v>
      </c>
      <c r="K367" s="6" t="s">
        <v>127</v>
      </c>
      <c r="L367" s="6" t="s">
        <v>128</v>
      </c>
      <c r="M367" s="7" t="str">
        <f t="shared" si="82"/>
        <v>Corporate</v>
      </c>
      <c r="N367" s="6" t="s">
        <v>93</v>
      </c>
      <c r="O367" s="7" t="str">
        <f t="shared" si="83"/>
        <v>West</v>
      </c>
      <c r="P367" s="6" t="s">
        <v>269</v>
      </c>
      <c r="Q367" s="6" t="s">
        <v>270</v>
      </c>
      <c r="R367" s="6" t="s">
        <v>106</v>
      </c>
      <c r="S367" s="7" t="str">
        <f t="shared" si="84"/>
        <v>Technology</v>
      </c>
      <c r="T367" s="6" t="s">
        <v>107</v>
      </c>
      <c r="U367" s="6" t="s">
        <v>1854</v>
      </c>
      <c r="V367" s="6" t="s">
        <v>76</v>
      </c>
      <c r="W367" s="7" t="str">
        <f t="shared" si="85"/>
        <v>First Class</v>
      </c>
      <c r="X367" s="6">
        <v>8</v>
      </c>
      <c r="Y367" s="6">
        <v>1706.4</v>
      </c>
      <c r="Z367" s="6"/>
      <c r="AA367" s="6">
        <f t="shared" si="87"/>
        <v>0</v>
      </c>
      <c r="AB367" s="6" t="str">
        <f t="shared" si="88"/>
        <v>Valid</v>
      </c>
      <c r="AC367" s="6">
        <v>12968.64</v>
      </c>
      <c r="AD367" s="6" t="str">
        <f>IF(OR(AO367="Cancelled",AM367="Failed"),"Exclude from Completed Sales","Include in Completed Sales")</f>
        <v>Include in Completed Sales</v>
      </c>
      <c r="AE367" s="6">
        <f t="shared" si="89"/>
        <v>13651.2</v>
      </c>
      <c r="AF367" s="6" t="str">
        <f t="shared" si="90"/>
        <v/>
      </c>
      <c r="AG367" s="6">
        <v>10119.61</v>
      </c>
      <c r="AH367" s="6">
        <v>2849.03</v>
      </c>
      <c r="AI367" s="6">
        <f t="shared" si="91"/>
        <v>3531.59</v>
      </c>
      <c r="AJ367" s="11">
        <f t="shared" si="92"/>
        <v>0.2587017991092358</v>
      </c>
      <c r="AK367" s="11" t="str">
        <f t="shared" si="93"/>
        <v>June</v>
      </c>
      <c r="AL367" s="12">
        <f t="shared" si="94"/>
        <v>2024</v>
      </c>
      <c r="AM367" s="6" t="s">
        <v>54</v>
      </c>
      <c r="AN367" s="6" t="s">
        <v>55</v>
      </c>
      <c r="AO367" s="6" t="str">
        <f t="shared" si="86"/>
        <v>Completed</v>
      </c>
    </row>
    <row r="368" spans="1:41">
      <c r="A368" s="6" t="s">
        <v>1855</v>
      </c>
      <c r="B368" s="7" t="s">
        <v>1856</v>
      </c>
      <c r="C368" s="8">
        <v>45673</v>
      </c>
      <c r="D368" s="7" t="s">
        <v>1857</v>
      </c>
      <c r="E368" s="9">
        <v>45679</v>
      </c>
      <c r="F368" s="9" t="str">
        <f t="shared" si="79"/>
        <v>Valid</v>
      </c>
      <c r="G368" s="10">
        <f t="shared" si="80"/>
        <v>6</v>
      </c>
      <c r="H368" s="10" t="str">
        <f t="shared" si="81"/>
        <v>Valid</v>
      </c>
      <c r="I368" s="6" t="s">
        <v>1858</v>
      </c>
      <c r="J368" s="6" t="s">
        <v>188</v>
      </c>
      <c r="K368" s="6" t="s">
        <v>188</v>
      </c>
      <c r="L368" s="6" t="s">
        <v>128</v>
      </c>
      <c r="M368" s="7" t="str">
        <f t="shared" si="82"/>
        <v>Corporate</v>
      </c>
      <c r="N368" s="6" t="s">
        <v>47</v>
      </c>
      <c r="O368" s="7" t="str">
        <f t="shared" si="83"/>
        <v>North</v>
      </c>
      <c r="P368" s="6" t="s">
        <v>48</v>
      </c>
      <c r="Q368" s="6" t="s">
        <v>49</v>
      </c>
      <c r="R368" s="6" t="s">
        <v>65</v>
      </c>
      <c r="S368" s="7" t="str">
        <f t="shared" si="84"/>
        <v>Furniture</v>
      </c>
      <c r="T368" s="6" t="s">
        <v>66</v>
      </c>
      <c r="U368" s="6" t="s">
        <v>1859</v>
      </c>
      <c r="V368" s="6" t="s">
        <v>68</v>
      </c>
      <c r="W368" s="7" t="str">
        <f t="shared" si="85"/>
        <v>Same Day</v>
      </c>
      <c r="X368" s="6">
        <v>2</v>
      </c>
      <c r="Y368" s="6">
        <v>4418.28</v>
      </c>
      <c r="Z368" s="6">
        <v>0</v>
      </c>
      <c r="AA368" s="6">
        <f t="shared" si="87"/>
        <v>0</v>
      </c>
      <c r="AB368" s="6" t="str">
        <f t="shared" si="88"/>
        <v>Valid</v>
      </c>
      <c r="AC368" s="6">
        <v>8836.56</v>
      </c>
      <c r="AD368" s="6" t="str">
        <f>IF(OR(AO368="Cancelled",AM368="Failed"),"Exclude from Completed Sales","Include in Completed Sales")</f>
        <v>Include in Completed Sales</v>
      </c>
      <c r="AE368" s="6">
        <f t="shared" si="89"/>
        <v>8836.56</v>
      </c>
      <c r="AF368" s="6" t="str">
        <f t="shared" si="90"/>
        <v/>
      </c>
      <c r="AG368" s="6">
        <v>5867.75</v>
      </c>
      <c r="AH368" s="6">
        <v>2968.81</v>
      </c>
      <c r="AI368" s="6">
        <f t="shared" si="91"/>
        <v>2968.8099999999995</v>
      </c>
      <c r="AJ368" s="11">
        <f t="shared" si="92"/>
        <v>0.33596897435201023</v>
      </c>
      <c r="AK368" s="11" t="str">
        <f t="shared" si="93"/>
        <v>January</v>
      </c>
      <c r="AL368" s="12">
        <f t="shared" si="94"/>
        <v>2025</v>
      </c>
      <c r="AM368" s="6" t="s">
        <v>54</v>
      </c>
      <c r="AN368" s="6" t="s">
        <v>55</v>
      </c>
      <c r="AO368" s="6" t="str">
        <f t="shared" si="86"/>
        <v>Completed</v>
      </c>
    </row>
    <row r="369" spans="1:41">
      <c r="A369" s="6" t="s">
        <v>1860</v>
      </c>
      <c r="B369" s="7" t="s">
        <v>998</v>
      </c>
      <c r="C369" s="8">
        <v>45366</v>
      </c>
      <c r="D369" s="7" t="s">
        <v>1861</v>
      </c>
      <c r="E369" s="9">
        <v>45367</v>
      </c>
      <c r="F369" s="9" t="str">
        <f t="shared" si="79"/>
        <v>Valid</v>
      </c>
      <c r="G369" s="10">
        <f t="shared" si="80"/>
        <v>1</v>
      </c>
      <c r="H369" s="10" t="str">
        <f t="shared" si="81"/>
        <v>Valid</v>
      </c>
      <c r="I369" s="6" t="s">
        <v>1862</v>
      </c>
      <c r="J369" s="6" t="s">
        <v>200</v>
      </c>
      <c r="K369" s="6" t="s">
        <v>200</v>
      </c>
      <c r="L369" s="6" t="s">
        <v>46</v>
      </c>
      <c r="M369" s="7" t="str">
        <f t="shared" si="82"/>
        <v>Consumer</v>
      </c>
      <c r="N369" s="6" t="s">
        <v>47</v>
      </c>
      <c r="O369" s="7" t="str">
        <f t="shared" si="83"/>
        <v>North</v>
      </c>
      <c r="P369" s="6" t="s">
        <v>526</v>
      </c>
      <c r="Q369" s="6" t="s">
        <v>527</v>
      </c>
      <c r="R369" s="6" t="s">
        <v>50</v>
      </c>
      <c r="S369" s="7" t="str">
        <f t="shared" si="84"/>
        <v>Office Supplies</v>
      </c>
      <c r="T369" s="6" t="s">
        <v>74</v>
      </c>
      <c r="U369" s="6" t="s">
        <v>1863</v>
      </c>
      <c r="V369" s="6" t="s">
        <v>87</v>
      </c>
      <c r="W369" s="7" t="str">
        <f t="shared" si="85"/>
        <v>Standard Class</v>
      </c>
      <c r="X369" s="6">
        <v>6</v>
      </c>
      <c r="Y369" s="6">
        <v>3815.09</v>
      </c>
      <c r="Z369" s="6">
        <v>0.15</v>
      </c>
      <c r="AA369" s="6">
        <f t="shared" si="87"/>
        <v>0.15</v>
      </c>
      <c r="AB369" s="6" t="str">
        <f t="shared" si="88"/>
        <v>Valid</v>
      </c>
      <c r="AC369" s="6">
        <v>19456.96</v>
      </c>
      <c r="AD369" s="6" t="str">
        <f>IF(OR(AO369="Cancelled",AM369="Failed"),"Exclude from Completed Sales","Include in Completed Sales")</f>
        <v>Exclude from Completed Sales</v>
      </c>
      <c r="AE369" s="6">
        <f t="shared" si="89"/>
        <v>19456.958999999999</v>
      </c>
      <c r="AF369" s="6" t="str">
        <f t="shared" si="90"/>
        <v/>
      </c>
      <c r="AG369" s="6">
        <v>14520.06</v>
      </c>
      <c r="AH369" s="6">
        <v>4936.8999999999996</v>
      </c>
      <c r="AI369" s="6">
        <f t="shared" si="91"/>
        <v>4936.8989999999994</v>
      </c>
      <c r="AJ369" s="11">
        <f t="shared" si="92"/>
        <v>0.25373435797443988</v>
      </c>
      <c r="AK369" s="11" t="str">
        <f t="shared" si="93"/>
        <v>March</v>
      </c>
      <c r="AL369" s="12">
        <f t="shared" si="94"/>
        <v>2024</v>
      </c>
      <c r="AM369" s="6" t="s">
        <v>220</v>
      </c>
      <c r="AN369" s="6" t="s">
        <v>98</v>
      </c>
      <c r="AO369" s="6" t="str">
        <f t="shared" si="86"/>
        <v>Cancelled</v>
      </c>
    </row>
    <row r="370" spans="1:41">
      <c r="A370" s="6" t="s">
        <v>1864</v>
      </c>
      <c r="B370" s="7" t="s">
        <v>1292</v>
      </c>
      <c r="C370" s="8">
        <v>45844</v>
      </c>
      <c r="D370" s="7" t="s">
        <v>1292</v>
      </c>
      <c r="E370" s="9">
        <v>45844</v>
      </c>
      <c r="F370" s="9" t="str">
        <f t="shared" si="79"/>
        <v>Valid</v>
      </c>
      <c r="G370" s="10">
        <f t="shared" si="80"/>
        <v>0</v>
      </c>
      <c r="H370" s="10" t="str">
        <f t="shared" si="81"/>
        <v>Valid</v>
      </c>
      <c r="I370" s="6" t="s">
        <v>1865</v>
      </c>
      <c r="J370" s="6" t="s">
        <v>182</v>
      </c>
      <c r="K370" s="6" t="s">
        <v>182</v>
      </c>
      <c r="L370" s="6" t="s">
        <v>135</v>
      </c>
      <c r="M370" s="7" t="str">
        <f t="shared" si="82"/>
        <v>Home Office</v>
      </c>
      <c r="N370" s="6" t="s">
        <v>47</v>
      </c>
      <c r="O370" s="7" t="str">
        <f t="shared" si="83"/>
        <v>North</v>
      </c>
      <c r="P370" s="6" t="s">
        <v>48</v>
      </c>
      <c r="Q370" s="6" t="s">
        <v>49</v>
      </c>
      <c r="R370" s="6" t="s">
        <v>106</v>
      </c>
      <c r="S370" s="7" t="str">
        <f t="shared" si="84"/>
        <v>Technology</v>
      </c>
      <c r="T370" s="6" t="s">
        <v>107</v>
      </c>
      <c r="U370" s="6" t="s">
        <v>1866</v>
      </c>
      <c r="V370" s="6" t="s">
        <v>68</v>
      </c>
      <c r="W370" s="7" t="str">
        <f t="shared" si="85"/>
        <v>Same Day</v>
      </c>
      <c r="X370" s="6">
        <v>9</v>
      </c>
      <c r="Y370" s="6">
        <v>243.19</v>
      </c>
      <c r="Z370" s="6">
        <v>0.05</v>
      </c>
      <c r="AA370" s="6">
        <f t="shared" si="87"/>
        <v>0.05</v>
      </c>
      <c r="AB370" s="6" t="str">
        <f t="shared" si="88"/>
        <v>Valid</v>
      </c>
      <c r="AC370" s="6">
        <v>2079.27</v>
      </c>
      <c r="AD370" s="6" t="str">
        <f>IF(OR(AO370="Cancelled",AM370="Failed"),"Exclude from Completed Sales","Include in Completed Sales")</f>
        <v>Include in Completed Sales</v>
      </c>
      <c r="AE370" s="6">
        <f t="shared" si="89"/>
        <v>2079.2745</v>
      </c>
      <c r="AF370" s="6" t="str">
        <f t="shared" si="90"/>
        <v>Refunded</v>
      </c>
      <c r="AG370" s="6">
        <v>1512.17</v>
      </c>
      <c r="AH370" s="6">
        <v>567.1</v>
      </c>
      <c r="AI370" s="6">
        <f t="shared" si="91"/>
        <v>567.10449999999992</v>
      </c>
      <c r="AJ370" s="11">
        <f t="shared" si="92"/>
        <v>0.27274152595051782</v>
      </c>
      <c r="AK370" s="11" t="str">
        <f t="shared" si="93"/>
        <v>July</v>
      </c>
      <c r="AL370" s="12">
        <f t="shared" si="94"/>
        <v>2025</v>
      </c>
      <c r="AM370" s="6" t="s">
        <v>144</v>
      </c>
      <c r="AN370" s="6" t="s">
        <v>145</v>
      </c>
      <c r="AO370" s="6" t="str">
        <f t="shared" si="86"/>
        <v>Returned</v>
      </c>
    </row>
    <row r="371" spans="1:41">
      <c r="A371" s="6" t="s">
        <v>1867</v>
      </c>
      <c r="B371" s="7" t="s">
        <v>1551</v>
      </c>
      <c r="C371" s="8">
        <v>45680</v>
      </c>
      <c r="D371" s="7" t="s">
        <v>211</v>
      </c>
      <c r="E371" s="9">
        <v>45687</v>
      </c>
      <c r="F371" s="9" t="str">
        <f t="shared" si="79"/>
        <v>Valid</v>
      </c>
      <c r="G371" s="10">
        <f t="shared" si="80"/>
        <v>7</v>
      </c>
      <c r="H371" s="10" t="str">
        <f t="shared" si="81"/>
        <v>Valid</v>
      </c>
      <c r="I371" s="6" t="s">
        <v>1868</v>
      </c>
      <c r="J371" s="6" t="s">
        <v>162</v>
      </c>
      <c r="K371" s="6" t="s">
        <v>162</v>
      </c>
      <c r="L371" s="6" t="s">
        <v>46</v>
      </c>
      <c r="M371" s="7" t="str">
        <f t="shared" si="82"/>
        <v>Consumer</v>
      </c>
      <c r="N371" s="6" t="s">
        <v>47</v>
      </c>
      <c r="O371" s="7" t="str">
        <f t="shared" si="83"/>
        <v>North</v>
      </c>
      <c r="P371" s="6" t="s">
        <v>526</v>
      </c>
      <c r="Q371" s="6" t="s">
        <v>527</v>
      </c>
      <c r="R371" s="6" t="s">
        <v>50</v>
      </c>
      <c r="S371" s="7" t="str">
        <f t="shared" si="84"/>
        <v>Office Supplies</v>
      </c>
      <c r="T371" s="6" t="s">
        <v>129</v>
      </c>
      <c r="U371" s="6" t="s">
        <v>1869</v>
      </c>
      <c r="V371" s="6" t="s">
        <v>87</v>
      </c>
      <c r="W371" s="7" t="str">
        <f t="shared" si="85"/>
        <v>Standard Class</v>
      </c>
      <c r="X371" s="6">
        <v>9</v>
      </c>
      <c r="Y371" s="6">
        <v>1169.3699999999999</v>
      </c>
      <c r="Z371" s="6">
        <v>0.15</v>
      </c>
      <c r="AA371" s="6">
        <f t="shared" si="87"/>
        <v>0.15</v>
      </c>
      <c r="AB371" s="6" t="str">
        <f t="shared" si="88"/>
        <v>Valid</v>
      </c>
      <c r="AC371" s="6">
        <v>8945.68</v>
      </c>
      <c r="AD371" s="6" t="str">
        <f>IF(OR(AO371="Cancelled",AM371="Failed"),"Exclude from Completed Sales","Include in Completed Sales")</f>
        <v>Include in Completed Sales</v>
      </c>
      <c r="AE371" s="6">
        <f t="shared" si="89"/>
        <v>8945.6804999999986</v>
      </c>
      <c r="AF371" s="6" t="str">
        <f t="shared" si="90"/>
        <v/>
      </c>
      <c r="AG371" s="6">
        <v>6740.35</v>
      </c>
      <c r="AH371" s="6">
        <v>2205.33</v>
      </c>
      <c r="AI371" s="6">
        <f t="shared" si="91"/>
        <v>2205.3304999999982</v>
      </c>
      <c r="AJ371" s="11">
        <f t="shared" si="92"/>
        <v>0.24652462157574245</v>
      </c>
      <c r="AK371" s="11" t="str">
        <f t="shared" si="93"/>
        <v>January</v>
      </c>
      <c r="AL371" s="12">
        <f t="shared" si="94"/>
        <v>2025</v>
      </c>
      <c r="AM371" s="6" t="s">
        <v>54</v>
      </c>
      <c r="AN371" s="6" t="s">
        <v>55</v>
      </c>
      <c r="AO371" s="6" t="str">
        <f t="shared" si="86"/>
        <v>Completed</v>
      </c>
    </row>
    <row r="372" spans="1:41">
      <c r="A372" s="6" t="s">
        <v>1870</v>
      </c>
      <c r="B372" s="7" t="s">
        <v>1871</v>
      </c>
      <c r="C372" s="8">
        <v>45519</v>
      </c>
      <c r="D372" s="7" t="s">
        <v>1646</v>
      </c>
      <c r="E372" s="9">
        <v>45525</v>
      </c>
      <c r="F372" s="9" t="str">
        <f t="shared" si="79"/>
        <v>Valid</v>
      </c>
      <c r="G372" s="10">
        <f t="shared" si="80"/>
        <v>6</v>
      </c>
      <c r="H372" s="10" t="str">
        <f t="shared" si="81"/>
        <v>Valid</v>
      </c>
      <c r="I372" s="6" t="s">
        <v>1872</v>
      </c>
      <c r="J372" s="6" t="s">
        <v>92</v>
      </c>
      <c r="K372" s="6" t="s">
        <v>92</v>
      </c>
      <c r="L372" s="6" t="s">
        <v>61</v>
      </c>
      <c r="M372" s="7" t="str">
        <f t="shared" si="82"/>
        <v>Small Business</v>
      </c>
      <c r="N372" s="6" t="s">
        <v>93</v>
      </c>
      <c r="O372" s="7" t="str">
        <f t="shared" si="83"/>
        <v>West</v>
      </c>
      <c r="P372" s="6" t="s">
        <v>48</v>
      </c>
      <c r="Q372" s="6" t="s">
        <v>155</v>
      </c>
      <c r="R372" s="6" t="s">
        <v>106</v>
      </c>
      <c r="S372" s="7" t="str">
        <f t="shared" si="84"/>
        <v>Technology</v>
      </c>
      <c r="T372" s="6" t="s">
        <v>114</v>
      </c>
      <c r="U372" s="6" t="s">
        <v>1873</v>
      </c>
      <c r="V372" s="6" t="s">
        <v>76</v>
      </c>
      <c r="W372" s="7" t="str">
        <f t="shared" si="85"/>
        <v>First Class</v>
      </c>
      <c r="X372" s="6">
        <v>7</v>
      </c>
      <c r="Y372" s="6">
        <v>2333.81</v>
      </c>
      <c r="Z372" s="6">
        <v>0.2</v>
      </c>
      <c r="AA372" s="6">
        <f t="shared" si="87"/>
        <v>0.2</v>
      </c>
      <c r="AB372" s="6" t="str">
        <f t="shared" si="88"/>
        <v>Valid</v>
      </c>
      <c r="AC372" s="6">
        <v>13069.34</v>
      </c>
      <c r="AD372" s="6" t="str">
        <f>IF(OR(AO372="Cancelled",AM372="Failed"),"Exclude from Completed Sales","Include in Completed Sales")</f>
        <v>Include in Completed Sales</v>
      </c>
      <c r="AE372" s="6">
        <f t="shared" si="89"/>
        <v>13069.336000000001</v>
      </c>
      <c r="AF372" s="6" t="str">
        <f t="shared" si="90"/>
        <v/>
      </c>
      <c r="AG372" s="6">
        <v>8768.59</v>
      </c>
      <c r="AH372" s="6">
        <v>4300.75</v>
      </c>
      <c r="AI372" s="6">
        <f t="shared" si="91"/>
        <v>4300.746000000001</v>
      </c>
      <c r="AJ372" s="11">
        <f t="shared" si="92"/>
        <v>0.32907149988339124</v>
      </c>
      <c r="AK372" s="11" t="str">
        <f t="shared" si="93"/>
        <v>August</v>
      </c>
      <c r="AL372" s="12">
        <f t="shared" si="94"/>
        <v>2024</v>
      </c>
      <c r="AM372" s="6" t="s">
        <v>54</v>
      </c>
      <c r="AN372" s="6" t="s">
        <v>55</v>
      </c>
      <c r="AO372" s="6" t="str">
        <f t="shared" si="86"/>
        <v>Completed</v>
      </c>
    </row>
    <row r="373" spans="1:41">
      <c r="A373" s="6" t="s">
        <v>1874</v>
      </c>
      <c r="B373" s="7" t="s">
        <v>1078</v>
      </c>
      <c r="C373" s="8">
        <v>45313</v>
      </c>
      <c r="D373" s="7" t="s">
        <v>1875</v>
      </c>
      <c r="E373" s="9">
        <v>45315</v>
      </c>
      <c r="F373" s="9" t="str">
        <f t="shared" si="79"/>
        <v>Valid</v>
      </c>
      <c r="G373" s="10">
        <f t="shared" si="80"/>
        <v>2</v>
      </c>
      <c r="H373" s="10" t="str">
        <f t="shared" si="81"/>
        <v>Valid</v>
      </c>
      <c r="I373" s="6" t="s">
        <v>1876</v>
      </c>
      <c r="J373" s="6" t="s">
        <v>230</v>
      </c>
      <c r="K373" s="6" t="s">
        <v>230</v>
      </c>
      <c r="L373" s="6" t="s">
        <v>135</v>
      </c>
      <c r="M373" s="7" t="str">
        <f t="shared" si="82"/>
        <v>Home Office</v>
      </c>
      <c r="N373" s="6" t="s">
        <v>93</v>
      </c>
      <c r="O373" s="7" t="str">
        <f t="shared" si="83"/>
        <v>West</v>
      </c>
      <c r="P373" s="6" t="s">
        <v>94</v>
      </c>
      <c r="Q373" s="6" t="s">
        <v>95</v>
      </c>
      <c r="R373" s="6" t="s">
        <v>50</v>
      </c>
      <c r="S373" s="7" t="str">
        <f t="shared" si="84"/>
        <v>Office Supplies</v>
      </c>
      <c r="T373" s="6" t="s">
        <v>74</v>
      </c>
      <c r="U373" s="6" t="s">
        <v>1877</v>
      </c>
      <c r="V373" s="6" t="s">
        <v>87</v>
      </c>
      <c r="W373" s="7" t="str">
        <f t="shared" si="85"/>
        <v>Standard Class</v>
      </c>
      <c r="X373" s="6">
        <v>6</v>
      </c>
      <c r="Y373" s="6">
        <v>1026.06</v>
      </c>
      <c r="Z373" s="6"/>
      <c r="AA373" s="6">
        <f t="shared" si="87"/>
        <v>0</v>
      </c>
      <c r="AB373" s="6" t="str">
        <f t="shared" si="88"/>
        <v>Valid</v>
      </c>
      <c r="AC373" s="6">
        <v>4617.2700000000004</v>
      </c>
      <c r="AD373" s="6" t="str">
        <f>IF(OR(AO373="Cancelled",AM373="Failed"),"Exclude from Completed Sales","Include in Completed Sales")</f>
        <v>Exclude from Completed Sales</v>
      </c>
      <c r="AE373" s="6">
        <f t="shared" si="89"/>
        <v>6156.36</v>
      </c>
      <c r="AF373" s="6" t="str">
        <f t="shared" si="90"/>
        <v>Refunded</v>
      </c>
      <c r="AG373" s="6">
        <v>2981.94</v>
      </c>
      <c r="AH373" s="6">
        <v>1635.33</v>
      </c>
      <c r="AI373" s="6">
        <f t="shared" si="91"/>
        <v>3174.4199999999996</v>
      </c>
      <c r="AJ373" s="11">
        <f t="shared" si="92"/>
        <v>0.51563261407714944</v>
      </c>
      <c r="AK373" s="11" t="str">
        <f t="shared" si="93"/>
        <v>January</v>
      </c>
      <c r="AL373" s="12">
        <f t="shared" si="94"/>
        <v>2024</v>
      </c>
      <c r="AM373" s="6" t="s">
        <v>144</v>
      </c>
      <c r="AN373" s="6" t="s">
        <v>98</v>
      </c>
      <c r="AO373" s="6" t="str">
        <f t="shared" si="86"/>
        <v>Cancelled</v>
      </c>
    </row>
    <row r="374" spans="1:41">
      <c r="A374" s="6" t="s">
        <v>1878</v>
      </c>
      <c r="B374" s="7" t="s">
        <v>1879</v>
      </c>
      <c r="C374" s="8">
        <v>45885</v>
      </c>
      <c r="D374" s="7" t="s">
        <v>941</v>
      </c>
      <c r="E374" s="9">
        <v>45887</v>
      </c>
      <c r="F374" s="9" t="str">
        <f t="shared" si="79"/>
        <v>Valid</v>
      </c>
      <c r="G374" s="10">
        <f t="shared" si="80"/>
        <v>2</v>
      </c>
      <c r="H374" s="10" t="str">
        <f t="shared" si="81"/>
        <v>Valid</v>
      </c>
      <c r="I374" s="6" t="s">
        <v>990</v>
      </c>
      <c r="J374" s="6" t="s">
        <v>386</v>
      </c>
      <c r="K374" s="6" t="s">
        <v>386</v>
      </c>
      <c r="L374" s="6" t="s">
        <v>46</v>
      </c>
      <c r="M374" s="7" t="str">
        <f t="shared" si="82"/>
        <v>Consumer</v>
      </c>
      <c r="N374" s="6" t="s">
        <v>62</v>
      </c>
      <c r="O374" s="7" t="str">
        <f t="shared" si="83"/>
        <v>East</v>
      </c>
      <c r="P374" s="6" t="s">
        <v>331</v>
      </c>
      <c r="Q374" s="6" t="s">
        <v>332</v>
      </c>
      <c r="R374" s="6" t="s">
        <v>65</v>
      </c>
      <c r="S374" s="7" t="str">
        <f t="shared" si="84"/>
        <v>Furniture</v>
      </c>
      <c r="T374" s="6" t="s">
        <v>96</v>
      </c>
      <c r="U374" s="6" t="s">
        <v>1880</v>
      </c>
      <c r="V374" s="6" t="s">
        <v>68</v>
      </c>
      <c r="W374" s="7" t="str">
        <f t="shared" si="85"/>
        <v>Same Day</v>
      </c>
      <c r="X374" s="6">
        <v>5</v>
      </c>
      <c r="Y374" s="6">
        <v>1530.36</v>
      </c>
      <c r="Z374" s="6">
        <v>0</v>
      </c>
      <c r="AA374" s="6">
        <f t="shared" si="87"/>
        <v>0</v>
      </c>
      <c r="AB374" s="6" t="str">
        <f t="shared" si="88"/>
        <v>Valid</v>
      </c>
      <c r="AC374" s="6">
        <v>7651.8</v>
      </c>
      <c r="AD374" s="6" t="str">
        <f>IF(OR(AO374="Cancelled",AM374="Failed"),"Exclude from Completed Sales","Include in Completed Sales")</f>
        <v>Include in Completed Sales</v>
      </c>
      <c r="AE374" s="6">
        <f t="shared" si="89"/>
        <v>7651.7999999999993</v>
      </c>
      <c r="AF374" s="6" t="str">
        <f t="shared" si="90"/>
        <v/>
      </c>
      <c r="AG374" s="6">
        <v>5171.78</v>
      </c>
      <c r="AH374" s="6">
        <v>2480.02</v>
      </c>
      <c r="AI374" s="6">
        <f t="shared" si="91"/>
        <v>2480.0199999999995</v>
      </c>
      <c r="AJ374" s="11">
        <f t="shared" si="92"/>
        <v>0.32410935988917638</v>
      </c>
      <c r="AK374" s="11" t="str">
        <f t="shared" si="93"/>
        <v>August</v>
      </c>
      <c r="AL374" s="12">
        <f t="shared" si="94"/>
        <v>2025</v>
      </c>
      <c r="AM374" s="6" t="s">
        <v>54</v>
      </c>
      <c r="AN374" s="6" t="s">
        <v>55</v>
      </c>
      <c r="AO374" s="6" t="str">
        <f t="shared" si="86"/>
        <v>Completed</v>
      </c>
    </row>
    <row r="375" spans="1:41">
      <c r="A375" s="6" t="s">
        <v>1881</v>
      </c>
      <c r="B375" s="7" t="s">
        <v>1882</v>
      </c>
      <c r="C375" s="8">
        <v>45760</v>
      </c>
      <c r="D375" s="7" t="s">
        <v>1882</v>
      </c>
      <c r="E375" s="9">
        <v>45760</v>
      </c>
      <c r="F375" s="9" t="str">
        <f t="shared" si="79"/>
        <v>Valid</v>
      </c>
      <c r="G375" s="10">
        <f t="shared" si="80"/>
        <v>0</v>
      </c>
      <c r="H375" s="10" t="str">
        <f t="shared" si="81"/>
        <v>Valid</v>
      </c>
      <c r="I375" s="6" t="s">
        <v>1883</v>
      </c>
      <c r="J375" s="6" t="s">
        <v>188</v>
      </c>
      <c r="K375" s="6" t="s">
        <v>188</v>
      </c>
      <c r="L375" s="6" t="s">
        <v>61</v>
      </c>
      <c r="M375" s="7" t="str">
        <f t="shared" si="82"/>
        <v>Small Business</v>
      </c>
      <c r="N375" s="6" t="s">
        <v>47</v>
      </c>
      <c r="O375" s="7" t="str">
        <f t="shared" si="83"/>
        <v>North</v>
      </c>
      <c r="P375" s="6" t="s">
        <v>194</v>
      </c>
      <c r="Q375" s="6" t="s">
        <v>195</v>
      </c>
      <c r="R375" s="6" t="s">
        <v>50</v>
      </c>
      <c r="S375" s="7" t="str">
        <f t="shared" si="84"/>
        <v>Office Supplies</v>
      </c>
      <c r="T375" s="6" t="s">
        <v>176</v>
      </c>
      <c r="U375" s="6" t="s">
        <v>1884</v>
      </c>
      <c r="V375" s="6" t="s">
        <v>53</v>
      </c>
      <c r="W375" s="7" t="str">
        <f t="shared" si="85"/>
        <v>Second Class</v>
      </c>
      <c r="X375" s="6">
        <v>9</v>
      </c>
      <c r="Y375" s="6">
        <v>1118.68</v>
      </c>
      <c r="Z375" s="6">
        <v>0</v>
      </c>
      <c r="AA375" s="6">
        <f t="shared" si="87"/>
        <v>0</v>
      </c>
      <c r="AB375" s="6" t="str">
        <f t="shared" si="88"/>
        <v>Valid</v>
      </c>
      <c r="AC375" s="6">
        <v>10068.120000000001</v>
      </c>
      <c r="AD375" s="6" t="str">
        <f>IF(OR(AO375="Cancelled",AM375="Failed"),"Exclude from Completed Sales","Include in Completed Sales")</f>
        <v>Include in Completed Sales</v>
      </c>
      <c r="AE375" s="6">
        <f t="shared" si="89"/>
        <v>10068.120000000001</v>
      </c>
      <c r="AF375" s="6" t="str">
        <f t="shared" si="90"/>
        <v/>
      </c>
      <c r="AG375" s="6">
        <v>8595.3700000000008</v>
      </c>
      <c r="AH375" s="6">
        <v>1472.75</v>
      </c>
      <c r="AI375" s="6">
        <f t="shared" si="91"/>
        <v>1472.75</v>
      </c>
      <c r="AJ375" s="11">
        <f t="shared" si="92"/>
        <v>0.14627855051389932</v>
      </c>
      <c r="AK375" s="11" t="str">
        <f t="shared" si="93"/>
        <v>April</v>
      </c>
      <c r="AL375" s="12">
        <f t="shared" si="94"/>
        <v>2025</v>
      </c>
      <c r="AM375" s="6" t="s">
        <v>54</v>
      </c>
      <c r="AN375" s="6" t="s">
        <v>55</v>
      </c>
      <c r="AO375" s="6" t="str">
        <f t="shared" si="86"/>
        <v>Completed</v>
      </c>
    </row>
    <row r="376" spans="1:41">
      <c r="A376" s="6" t="s">
        <v>1885</v>
      </c>
      <c r="B376" s="7" t="s">
        <v>1886</v>
      </c>
      <c r="C376" s="8">
        <v>45715</v>
      </c>
      <c r="D376" s="7" t="s">
        <v>1887</v>
      </c>
      <c r="E376" s="9">
        <v>45716</v>
      </c>
      <c r="F376" s="9" t="str">
        <f t="shared" si="79"/>
        <v>Valid</v>
      </c>
      <c r="G376" s="10">
        <f t="shared" si="80"/>
        <v>1</v>
      </c>
      <c r="H376" s="10" t="str">
        <f t="shared" si="81"/>
        <v>Valid</v>
      </c>
      <c r="I376" s="6" t="s">
        <v>1888</v>
      </c>
      <c r="J376" s="6" t="s">
        <v>127</v>
      </c>
      <c r="K376" s="6" t="s">
        <v>127</v>
      </c>
      <c r="L376" s="6" t="s">
        <v>61</v>
      </c>
      <c r="M376" s="7" t="str">
        <f t="shared" si="82"/>
        <v>Small Business</v>
      </c>
      <c r="N376" s="6" t="s">
        <v>47</v>
      </c>
      <c r="O376" s="7" t="str">
        <f t="shared" si="83"/>
        <v>North</v>
      </c>
      <c r="P376" s="6" t="s">
        <v>194</v>
      </c>
      <c r="Q376" s="6" t="s">
        <v>195</v>
      </c>
      <c r="R376" s="6" t="s">
        <v>50</v>
      </c>
      <c r="S376" s="7" t="str">
        <f t="shared" si="84"/>
        <v>Office Supplies</v>
      </c>
      <c r="T376" s="6" t="s">
        <v>129</v>
      </c>
      <c r="U376" s="6" t="s">
        <v>1889</v>
      </c>
      <c r="V376" s="6" t="s">
        <v>87</v>
      </c>
      <c r="W376" s="7" t="str">
        <f t="shared" si="85"/>
        <v>Standard Class</v>
      </c>
      <c r="X376" s="6">
        <v>6</v>
      </c>
      <c r="Y376" s="6">
        <v>2393.25</v>
      </c>
      <c r="Z376" s="6">
        <v>0</v>
      </c>
      <c r="AA376" s="6">
        <f t="shared" si="87"/>
        <v>0</v>
      </c>
      <c r="AB376" s="6" t="str">
        <f t="shared" si="88"/>
        <v>Valid</v>
      </c>
      <c r="AC376" s="6">
        <v>14359.5</v>
      </c>
      <c r="AD376" s="6" t="str">
        <f>IF(OR(AO376="Cancelled",AM376="Failed"),"Exclude from Completed Sales","Include in Completed Sales")</f>
        <v>Include in Completed Sales</v>
      </c>
      <c r="AE376" s="6">
        <f t="shared" si="89"/>
        <v>14359.5</v>
      </c>
      <c r="AF376" s="6" t="str">
        <f t="shared" si="90"/>
        <v/>
      </c>
      <c r="AG376" s="6">
        <v>8117.71</v>
      </c>
      <c r="AH376" s="6">
        <v>6241.79</v>
      </c>
      <c r="AI376" s="6">
        <f t="shared" si="91"/>
        <v>6241.79</v>
      </c>
      <c r="AJ376" s="11">
        <f t="shared" si="92"/>
        <v>0.43468017688638183</v>
      </c>
      <c r="AK376" s="11" t="str">
        <f t="shared" si="93"/>
        <v>February</v>
      </c>
      <c r="AL376" s="12">
        <f t="shared" si="94"/>
        <v>2025</v>
      </c>
      <c r="AM376" s="6" t="s">
        <v>54</v>
      </c>
      <c r="AN376" s="6" t="s">
        <v>55</v>
      </c>
      <c r="AO376" s="6" t="str">
        <f t="shared" si="86"/>
        <v>Completed</v>
      </c>
    </row>
    <row r="377" spans="1:41">
      <c r="A377" s="6" t="s">
        <v>1890</v>
      </c>
      <c r="B377" s="7" t="s">
        <v>1891</v>
      </c>
      <c r="C377" s="8">
        <v>45657</v>
      </c>
      <c r="D377" s="7" t="s">
        <v>1892</v>
      </c>
      <c r="E377" s="9">
        <v>45661</v>
      </c>
      <c r="F377" s="9" t="str">
        <f t="shared" si="79"/>
        <v>Valid</v>
      </c>
      <c r="G377" s="10">
        <f t="shared" si="80"/>
        <v>4</v>
      </c>
      <c r="H377" s="10" t="str">
        <f t="shared" si="81"/>
        <v>Valid</v>
      </c>
      <c r="I377" s="6" t="s">
        <v>1893</v>
      </c>
      <c r="J377" s="6" t="s">
        <v>103</v>
      </c>
      <c r="K377" s="6" t="s">
        <v>103</v>
      </c>
      <c r="L377" s="6" t="s">
        <v>46</v>
      </c>
      <c r="M377" s="7" t="str">
        <f t="shared" si="82"/>
        <v>Consumer</v>
      </c>
      <c r="N377" s="6" t="s">
        <v>47</v>
      </c>
      <c r="O377" s="7" t="str">
        <f t="shared" si="83"/>
        <v>North</v>
      </c>
      <c r="P377" s="6" t="s">
        <v>526</v>
      </c>
      <c r="Q377" s="6" t="s">
        <v>527</v>
      </c>
      <c r="R377" s="6" t="s">
        <v>65</v>
      </c>
      <c r="S377" s="7" t="str">
        <f t="shared" si="84"/>
        <v>Furniture</v>
      </c>
      <c r="T377" s="6" t="s">
        <v>96</v>
      </c>
      <c r="U377" s="6" t="s">
        <v>1894</v>
      </c>
      <c r="V377" s="6" t="s">
        <v>68</v>
      </c>
      <c r="W377" s="7" t="str">
        <f t="shared" si="85"/>
        <v>Same Day</v>
      </c>
      <c r="X377" s="6">
        <v>3</v>
      </c>
      <c r="Y377" s="6">
        <v>1166.6099999999999</v>
      </c>
      <c r="Z377" s="6">
        <v>0.25</v>
      </c>
      <c r="AA377" s="6">
        <f t="shared" si="87"/>
        <v>0.25</v>
      </c>
      <c r="AB377" s="6" t="str">
        <f t="shared" si="88"/>
        <v>Valid</v>
      </c>
      <c r="AC377" s="6">
        <v>2624.87</v>
      </c>
      <c r="AD377" s="6" t="str">
        <f>IF(OR(AO377="Cancelled",AM377="Failed"),"Exclude from Completed Sales","Include in Completed Sales")</f>
        <v>Include in Completed Sales</v>
      </c>
      <c r="AE377" s="6">
        <f t="shared" si="89"/>
        <v>2624.8724999999999</v>
      </c>
      <c r="AF377" s="6" t="str">
        <f t="shared" si="90"/>
        <v/>
      </c>
      <c r="AG377" s="6">
        <v>2253.88</v>
      </c>
      <c r="AH377" s="6">
        <v>370.99</v>
      </c>
      <c r="AI377" s="6">
        <f t="shared" si="91"/>
        <v>370.99249999999984</v>
      </c>
      <c r="AJ377" s="11">
        <f t="shared" si="92"/>
        <v>0.14133734114704613</v>
      </c>
      <c r="AK377" s="11" t="str">
        <f t="shared" si="93"/>
        <v>December</v>
      </c>
      <c r="AL377" s="12">
        <f t="shared" si="94"/>
        <v>2024</v>
      </c>
      <c r="AM377" s="6" t="s">
        <v>54</v>
      </c>
      <c r="AN377" s="6" t="s">
        <v>55</v>
      </c>
      <c r="AO377" s="6" t="str">
        <f t="shared" si="86"/>
        <v>Completed</v>
      </c>
    </row>
    <row r="378" spans="1:41">
      <c r="A378" s="6" t="s">
        <v>1895</v>
      </c>
      <c r="B378" s="7" t="s">
        <v>1896</v>
      </c>
      <c r="C378" s="8">
        <v>45655</v>
      </c>
      <c r="D378" s="7" t="s">
        <v>1799</v>
      </c>
      <c r="E378" s="9">
        <v>45657</v>
      </c>
      <c r="F378" s="9" t="str">
        <f t="shared" si="79"/>
        <v>Valid</v>
      </c>
      <c r="G378" s="10">
        <f t="shared" si="80"/>
        <v>2</v>
      </c>
      <c r="H378" s="10" t="str">
        <f t="shared" si="81"/>
        <v>Valid</v>
      </c>
      <c r="I378" s="6" t="s">
        <v>1897</v>
      </c>
      <c r="J378" s="6" t="s">
        <v>73</v>
      </c>
      <c r="K378" s="6" t="s">
        <v>73</v>
      </c>
      <c r="L378" s="6" t="s">
        <v>61</v>
      </c>
      <c r="M378" s="7" t="str">
        <f t="shared" si="82"/>
        <v>Small Business</v>
      </c>
      <c r="N378" s="6" t="s">
        <v>62</v>
      </c>
      <c r="O378" s="7" t="str">
        <f t="shared" si="83"/>
        <v>East</v>
      </c>
      <c r="P378" s="6" t="s">
        <v>206</v>
      </c>
      <c r="Q378" s="6" t="s">
        <v>207</v>
      </c>
      <c r="R378" s="6" t="s">
        <v>65</v>
      </c>
      <c r="S378" s="7" t="str">
        <f t="shared" si="84"/>
        <v>Furniture</v>
      </c>
      <c r="T378" s="6" t="s">
        <v>96</v>
      </c>
      <c r="U378" s="6" t="s">
        <v>1898</v>
      </c>
      <c r="V378" s="6" t="s">
        <v>76</v>
      </c>
      <c r="W378" s="7" t="str">
        <f t="shared" si="85"/>
        <v>First Class</v>
      </c>
      <c r="X378" s="6">
        <v>6</v>
      </c>
      <c r="Y378" s="6">
        <v>1844.78</v>
      </c>
      <c r="Z378" s="6">
        <v>0.2</v>
      </c>
      <c r="AA378" s="6">
        <f t="shared" si="87"/>
        <v>0.2</v>
      </c>
      <c r="AB378" s="6" t="str">
        <f t="shared" si="88"/>
        <v>Valid</v>
      </c>
      <c r="AC378" s="6">
        <v>8854.94</v>
      </c>
      <c r="AD378" s="6" t="str">
        <f>IF(OR(AO378="Cancelled",AM378="Failed"),"Exclude from Completed Sales","Include in Completed Sales")</f>
        <v>Include in Completed Sales</v>
      </c>
      <c r="AE378" s="6">
        <f t="shared" si="89"/>
        <v>8854.9440000000013</v>
      </c>
      <c r="AF378" s="6" t="str">
        <f t="shared" si="90"/>
        <v/>
      </c>
      <c r="AG378" s="6">
        <v>7433.95</v>
      </c>
      <c r="AH378" s="6">
        <v>1420.99</v>
      </c>
      <c r="AI378" s="6">
        <f t="shared" si="91"/>
        <v>1420.9940000000015</v>
      </c>
      <c r="AJ378" s="11">
        <f t="shared" si="92"/>
        <v>0.1604746455765278</v>
      </c>
      <c r="AK378" s="11" t="str">
        <f t="shared" si="93"/>
        <v>December</v>
      </c>
      <c r="AL378" s="12">
        <f t="shared" si="94"/>
        <v>2024</v>
      </c>
      <c r="AM378" s="6" t="s">
        <v>54</v>
      </c>
      <c r="AN378" s="6" t="s">
        <v>55</v>
      </c>
      <c r="AO378" s="6" t="str">
        <f t="shared" si="86"/>
        <v>Completed</v>
      </c>
    </row>
    <row r="379" spans="1:41">
      <c r="A379" s="6" t="s">
        <v>1899</v>
      </c>
      <c r="B379" s="7" t="s">
        <v>1541</v>
      </c>
      <c r="C379" s="8">
        <v>45801</v>
      </c>
      <c r="D379" s="7" t="s">
        <v>1900</v>
      </c>
      <c r="E379" s="9">
        <v>45807</v>
      </c>
      <c r="F379" s="9" t="str">
        <f t="shared" si="79"/>
        <v>Valid</v>
      </c>
      <c r="G379" s="10">
        <f t="shared" si="80"/>
        <v>6</v>
      </c>
      <c r="H379" s="10" t="str">
        <f t="shared" si="81"/>
        <v>Valid</v>
      </c>
      <c r="I379" s="6" t="s">
        <v>1901</v>
      </c>
      <c r="J379" s="6" t="s">
        <v>386</v>
      </c>
      <c r="K379" s="6" t="s">
        <v>386</v>
      </c>
      <c r="L379" s="6" t="s">
        <v>61</v>
      </c>
      <c r="M379" s="7" t="str">
        <f t="shared" si="82"/>
        <v>Small Business</v>
      </c>
      <c r="N379" s="6" t="s">
        <v>62</v>
      </c>
      <c r="O379" s="7" t="str">
        <f t="shared" si="83"/>
        <v>East</v>
      </c>
      <c r="P379" s="6" t="s">
        <v>63</v>
      </c>
      <c r="Q379" s="6" t="s">
        <v>64</v>
      </c>
      <c r="R379" s="6" t="s">
        <v>50</v>
      </c>
      <c r="S379" s="7" t="str">
        <f t="shared" si="84"/>
        <v>Office Supplies</v>
      </c>
      <c r="T379" s="6" t="s">
        <v>1902</v>
      </c>
      <c r="U379" s="6" t="s">
        <v>1903</v>
      </c>
      <c r="V379" s="6" t="s">
        <v>68</v>
      </c>
      <c r="W379" s="7" t="str">
        <f t="shared" si="85"/>
        <v>Same Day</v>
      </c>
      <c r="X379" s="6">
        <v>1</v>
      </c>
      <c r="Y379" s="6">
        <v>2564.7399999999998</v>
      </c>
      <c r="Z379" s="6">
        <v>0</v>
      </c>
      <c r="AA379" s="6">
        <f t="shared" si="87"/>
        <v>0</v>
      </c>
      <c r="AB379" s="6" t="str">
        <f t="shared" si="88"/>
        <v>Valid</v>
      </c>
      <c r="AC379" s="6">
        <v>2564.7399999999998</v>
      </c>
      <c r="AD379" s="6" t="str">
        <f>IF(OR(AO379="Cancelled",AM379="Failed"),"Exclude from Completed Sales","Include in Completed Sales")</f>
        <v>Include in Completed Sales</v>
      </c>
      <c r="AE379" s="6">
        <f t="shared" si="89"/>
        <v>2564.7399999999998</v>
      </c>
      <c r="AF379" s="6" t="str">
        <f t="shared" si="90"/>
        <v/>
      </c>
      <c r="AG379" s="6">
        <v>1754.58</v>
      </c>
      <c r="AH379" s="6">
        <v>810.16</v>
      </c>
      <c r="AI379" s="6">
        <f t="shared" si="91"/>
        <v>810.15999999999985</v>
      </c>
      <c r="AJ379" s="11">
        <f t="shared" si="92"/>
        <v>0.31588387126960232</v>
      </c>
      <c r="AK379" s="11" t="str">
        <f t="shared" si="93"/>
        <v>May</v>
      </c>
      <c r="AL379" s="12">
        <f t="shared" si="94"/>
        <v>2025</v>
      </c>
      <c r="AM379" s="6" t="s">
        <v>54</v>
      </c>
      <c r="AN379" s="6" t="s">
        <v>55</v>
      </c>
      <c r="AO379" s="6" t="str">
        <f t="shared" si="86"/>
        <v>Completed</v>
      </c>
    </row>
    <row r="380" spans="1:41">
      <c r="A380" s="6" t="s">
        <v>1904</v>
      </c>
      <c r="B380" s="7" t="s">
        <v>1905</v>
      </c>
      <c r="C380" s="8">
        <v>45799</v>
      </c>
      <c r="D380" s="7" t="s">
        <v>1905</v>
      </c>
      <c r="E380" s="9">
        <v>45799</v>
      </c>
      <c r="F380" s="9" t="str">
        <f t="shared" si="79"/>
        <v>Valid</v>
      </c>
      <c r="G380" s="10">
        <f t="shared" si="80"/>
        <v>0</v>
      </c>
      <c r="H380" s="10" t="str">
        <f t="shared" si="81"/>
        <v>Valid</v>
      </c>
      <c r="I380" s="6" t="s">
        <v>1906</v>
      </c>
      <c r="J380" s="6" t="s">
        <v>60</v>
      </c>
      <c r="K380" s="6" t="s">
        <v>60</v>
      </c>
      <c r="L380" s="6" t="s">
        <v>46</v>
      </c>
      <c r="M380" s="7" t="str">
        <f t="shared" si="82"/>
        <v>Consumer</v>
      </c>
      <c r="N380" s="6" t="s">
        <v>93</v>
      </c>
      <c r="O380" s="7" t="str">
        <f t="shared" si="83"/>
        <v>West</v>
      </c>
      <c r="P380" s="6" t="s">
        <v>269</v>
      </c>
      <c r="Q380" s="6" t="s">
        <v>270</v>
      </c>
      <c r="R380" s="6" t="s">
        <v>106</v>
      </c>
      <c r="S380" s="7" t="str">
        <f t="shared" si="84"/>
        <v>Technology</v>
      </c>
      <c r="T380" s="6" t="s">
        <v>107</v>
      </c>
      <c r="U380" s="6" t="s">
        <v>1907</v>
      </c>
      <c r="V380" s="6" t="s">
        <v>87</v>
      </c>
      <c r="W380" s="7" t="str">
        <f t="shared" si="85"/>
        <v>Standard Class</v>
      </c>
      <c r="X380" s="6">
        <v>2</v>
      </c>
      <c r="Y380" s="6">
        <v>3910.61</v>
      </c>
      <c r="Z380" s="6">
        <v>0</v>
      </c>
      <c r="AA380" s="6">
        <f t="shared" si="87"/>
        <v>0</v>
      </c>
      <c r="AB380" s="6" t="str">
        <f t="shared" si="88"/>
        <v>Valid</v>
      </c>
      <c r="AC380" s="6">
        <v>7821.22</v>
      </c>
      <c r="AD380" s="6" t="str">
        <f>IF(OR(AO380="Cancelled",AM380="Failed"),"Exclude from Completed Sales","Include in Completed Sales")</f>
        <v>Include in Completed Sales</v>
      </c>
      <c r="AE380" s="6">
        <f t="shared" si="89"/>
        <v>7821.22</v>
      </c>
      <c r="AF380" s="6" t="str">
        <f t="shared" si="90"/>
        <v/>
      </c>
      <c r="AG380" s="6">
        <v>4994.46</v>
      </c>
      <c r="AH380" s="6">
        <v>2826.76</v>
      </c>
      <c r="AI380" s="6">
        <f t="shared" si="91"/>
        <v>2826.76</v>
      </c>
      <c r="AJ380" s="11">
        <f t="shared" si="92"/>
        <v>0.36142187535959863</v>
      </c>
      <c r="AK380" s="11" t="str">
        <f t="shared" si="93"/>
        <v>May</v>
      </c>
      <c r="AL380" s="12">
        <f t="shared" si="94"/>
        <v>2025</v>
      </c>
      <c r="AM380" s="6" t="s">
        <v>54</v>
      </c>
      <c r="AN380" s="6" t="s">
        <v>55</v>
      </c>
      <c r="AO380" s="6" t="str">
        <f t="shared" si="86"/>
        <v>Completed</v>
      </c>
    </row>
    <row r="381" spans="1:41">
      <c r="A381" s="6" t="s">
        <v>1908</v>
      </c>
      <c r="B381" s="7" t="s">
        <v>1909</v>
      </c>
      <c r="C381" s="8">
        <v>45554</v>
      </c>
      <c r="D381" s="7" t="s">
        <v>1910</v>
      </c>
      <c r="E381" s="9">
        <v>45558</v>
      </c>
      <c r="F381" s="9" t="str">
        <f t="shared" si="79"/>
        <v>Valid</v>
      </c>
      <c r="G381" s="10">
        <f t="shared" si="80"/>
        <v>4</v>
      </c>
      <c r="H381" s="10" t="str">
        <f t="shared" si="81"/>
        <v>Valid</v>
      </c>
      <c r="I381" s="6" t="s">
        <v>1911</v>
      </c>
      <c r="J381" s="6" t="s">
        <v>60</v>
      </c>
      <c r="K381" s="6" t="s">
        <v>60</v>
      </c>
      <c r="L381" s="6" t="s">
        <v>61</v>
      </c>
      <c r="M381" s="7" t="str">
        <f t="shared" si="82"/>
        <v>Small Business</v>
      </c>
      <c r="N381" s="6" t="s">
        <v>82</v>
      </c>
      <c r="O381" s="7" t="str">
        <f t="shared" si="83"/>
        <v>South</v>
      </c>
      <c r="P381" s="6" t="s">
        <v>262</v>
      </c>
      <c r="Q381" s="6" t="s">
        <v>263</v>
      </c>
      <c r="R381" s="6" t="s">
        <v>50</v>
      </c>
      <c r="S381" s="7" t="str">
        <f t="shared" si="84"/>
        <v>Office Supplies</v>
      </c>
      <c r="T381" s="6" t="s">
        <v>51</v>
      </c>
      <c r="U381" s="6" t="s">
        <v>1912</v>
      </c>
      <c r="V381" s="6" t="s">
        <v>87</v>
      </c>
      <c r="W381" s="7" t="str">
        <f t="shared" si="85"/>
        <v>Standard Class</v>
      </c>
      <c r="X381" s="6">
        <v>7</v>
      </c>
      <c r="Y381" s="6">
        <v>1136.68</v>
      </c>
      <c r="Z381" s="6"/>
      <c r="AA381" s="6">
        <f t="shared" si="87"/>
        <v>0</v>
      </c>
      <c r="AB381" s="6" t="str">
        <f t="shared" si="88"/>
        <v>Valid</v>
      </c>
      <c r="AC381" s="6">
        <v>7956.76</v>
      </c>
      <c r="AD381" s="6" t="str">
        <f>IF(OR(AO381="Cancelled",AM381="Failed"),"Exclude from Completed Sales","Include in Completed Sales")</f>
        <v>Include in Completed Sales</v>
      </c>
      <c r="AE381" s="6">
        <f t="shared" si="89"/>
        <v>7956.76</v>
      </c>
      <c r="AF381" s="6" t="str">
        <f t="shared" si="90"/>
        <v/>
      </c>
      <c r="AG381" s="6">
        <v>4799.54</v>
      </c>
      <c r="AH381" s="6">
        <v>3157.22</v>
      </c>
      <c r="AI381" s="6">
        <f t="shared" si="91"/>
        <v>3157.2200000000003</v>
      </c>
      <c r="AJ381" s="11">
        <f t="shared" si="92"/>
        <v>0.39679718880549369</v>
      </c>
      <c r="AK381" s="11" t="str">
        <f t="shared" si="93"/>
        <v>September</v>
      </c>
      <c r="AL381" s="12">
        <f t="shared" si="94"/>
        <v>2024</v>
      </c>
      <c r="AM381" s="6" t="s">
        <v>54</v>
      </c>
      <c r="AN381" s="6" t="s">
        <v>55</v>
      </c>
      <c r="AO381" s="6" t="str">
        <f t="shared" si="86"/>
        <v>Completed</v>
      </c>
    </row>
    <row r="382" spans="1:41">
      <c r="A382" s="6" t="s">
        <v>1913</v>
      </c>
      <c r="B382" s="7" t="s">
        <v>1914</v>
      </c>
      <c r="C382" s="8">
        <v>45389</v>
      </c>
      <c r="D382" s="7" t="s">
        <v>1440</v>
      </c>
      <c r="E382" s="9">
        <v>45396</v>
      </c>
      <c r="F382" s="9" t="str">
        <f t="shared" si="79"/>
        <v>Valid</v>
      </c>
      <c r="G382" s="10">
        <f t="shared" si="80"/>
        <v>7</v>
      </c>
      <c r="H382" s="10" t="str">
        <f t="shared" si="81"/>
        <v>Valid</v>
      </c>
      <c r="I382" s="6" t="s">
        <v>1915</v>
      </c>
      <c r="J382" s="6" t="s">
        <v>103</v>
      </c>
      <c r="K382" s="6" t="s">
        <v>103</v>
      </c>
      <c r="L382" s="6" t="s">
        <v>46</v>
      </c>
      <c r="M382" s="7" t="str">
        <f t="shared" si="82"/>
        <v>Consumer</v>
      </c>
      <c r="N382" s="6" t="s">
        <v>93</v>
      </c>
      <c r="O382" s="7" t="str">
        <f t="shared" si="83"/>
        <v>West</v>
      </c>
      <c r="P382" s="6" t="s">
        <v>94</v>
      </c>
      <c r="Q382" s="6" t="s">
        <v>95</v>
      </c>
      <c r="R382" s="6" t="s">
        <v>65</v>
      </c>
      <c r="S382" s="7" t="str">
        <f t="shared" si="84"/>
        <v>Furniture</v>
      </c>
      <c r="T382" s="6" t="s">
        <v>224</v>
      </c>
      <c r="U382" s="6" t="s">
        <v>1916</v>
      </c>
      <c r="V382" s="6" t="s">
        <v>68</v>
      </c>
      <c r="W382" s="7" t="str">
        <f t="shared" si="85"/>
        <v>Same Day</v>
      </c>
      <c r="X382" s="6">
        <v>5</v>
      </c>
      <c r="Y382" s="6">
        <v>2235.85</v>
      </c>
      <c r="Z382" s="6">
        <v>0.25</v>
      </c>
      <c r="AA382" s="6">
        <f t="shared" si="87"/>
        <v>0.25</v>
      </c>
      <c r="AB382" s="6" t="str">
        <f t="shared" si="88"/>
        <v>Valid</v>
      </c>
      <c r="AC382" s="6">
        <v>8384.44</v>
      </c>
      <c r="AD382" s="6" t="str">
        <f>IF(OR(AO382="Cancelled",AM382="Failed"),"Exclude from Completed Sales","Include in Completed Sales")</f>
        <v>Include in Completed Sales</v>
      </c>
      <c r="AE382" s="6">
        <f t="shared" si="89"/>
        <v>8384.4375</v>
      </c>
      <c r="AF382" s="6" t="str">
        <f t="shared" si="90"/>
        <v/>
      </c>
      <c r="AG382" s="6">
        <v>4765.96</v>
      </c>
      <c r="AH382" s="6">
        <v>3618.48</v>
      </c>
      <c r="AI382" s="6">
        <f t="shared" si="91"/>
        <v>3618.4775</v>
      </c>
      <c r="AJ382" s="11">
        <f t="shared" si="92"/>
        <v>0.43157069272685256</v>
      </c>
      <c r="AK382" s="11" t="str">
        <f t="shared" si="93"/>
        <v>April</v>
      </c>
      <c r="AL382" s="12">
        <f t="shared" si="94"/>
        <v>2024</v>
      </c>
      <c r="AM382" s="6" t="s">
        <v>54</v>
      </c>
      <c r="AN382" s="6" t="s">
        <v>145</v>
      </c>
      <c r="AO382" s="6" t="str">
        <f t="shared" si="86"/>
        <v>Returned</v>
      </c>
    </row>
    <row r="383" spans="1:41">
      <c r="A383" s="6" t="s">
        <v>1917</v>
      </c>
      <c r="B383" s="7" t="s">
        <v>1918</v>
      </c>
      <c r="C383" s="8">
        <v>45919</v>
      </c>
      <c r="D383" s="7" t="s">
        <v>1919</v>
      </c>
      <c r="E383" s="9">
        <v>45923</v>
      </c>
      <c r="F383" s="9" t="str">
        <f t="shared" si="79"/>
        <v>Valid</v>
      </c>
      <c r="G383" s="10">
        <f t="shared" si="80"/>
        <v>4</v>
      </c>
      <c r="H383" s="10" t="str">
        <f t="shared" si="81"/>
        <v>Valid</v>
      </c>
      <c r="I383" s="6" t="s">
        <v>1920</v>
      </c>
      <c r="J383" s="6" t="s">
        <v>81</v>
      </c>
      <c r="K383" s="6" t="s">
        <v>81</v>
      </c>
      <c r="L383" s="6" t="s">
        <v>1921</v>
      </c>
      <c r="M383" s="7" t="str">
        <f t="shared" si="82"/>
        <v>Home Office</v>
      </c>
      <c r="N383" s="6" t="s">
        <v>47</v>
      </c>
      <c r="O383" s="7" t="str">
        <f t="shared" si="83"/>
        <v>North</v>
      </c>
      <c r="P383" s="6" t="s">
        <v>526</v>
      </c>
      <c r="Q383" s="6" t="s">
        <v>527</v>
      </c>
      <c r="R383" s="6" t="s">
        <v>50</v>
      </c>
      <c r="S383" s="7" t="str">
        <f t="shared" si="84"/>
        <v>Office Supplies</v>
      </c>
      <c r="T383" s="6" t="s">
        <v>218</v>
      </c>
      <c r="U383" s="6" t="s">
        <v>1922</v>
      </c>
      <c r="V383" s="6" t="s">
        <v>87</v>
      </c>
      <c r="W383" s="7" t="str">
        <f t="shared" si="85"/>
        <v>Standard Class</v>
      </c>
      <c r="X383" s="6">
        <v>4</v>
      </c>
      <c r="Y383" s="6">
        <v>4387.1499999999996</v>
      </c>
      <c r="Z383" s="6">
        <v>0.05</v>
      </c>
      <c r="AA383" s="6">
        <f t="shared" si="87"/>
        <v>0.05</v>
      </c>
      <c r="AB383" s="6" t="str">
        <f t="shared" si="88"/>
        <v>Valid</v>
      </c>
      <c r="AC383" s="6">
        <v>16671.169999999998</v>
      </c>
      <c r="AD383" s="6" t="str">
        <f>IF(OR(AO383="Cancelled",AM383="Failed"),"Exclude from Completed Sales","Include in Completed Sales")</f>
        <v>Exclude from Completed Sales</v>
      </c>
      <c r="AE383" s="6">
        <f t="shared" si="89"/>
        <v>16671.169999999998</v>
      </c>
      <c r="AF383" s="6" t="str">
        <f t="shared" si="90"/>
        <v/>
      </c>
      <c r="AG383" s="6">
        <v>10833.19</v>
      </c>
      <c r="AH383" s="6">
        <v>5837.98</v>
      </c>
      <c r="AI383" s="6">
        <f t="shared" si="91"/>
        <v>5837.9799999999977</v>
      </c>
      <c r="AJ383" s="11">
        <f t="shared" si="92"/>
        <v>0.35018418023450054</v>
      </c>
      <c r="AK383" s="11" t="str">
        <f t="shared" si="93"/>
        <v>September</v>
      </c>
      <c r="AL383" s="12">
        <f t="shared" si="94"/>
        <v>2025</v>
      </c>
      <c r="AM383" s="6" t="s">
        <v>220</v>
      </c>
      <c r="AN383" s="6" t="s">
        <v>98</v>
      </c>
      <c r="AO383" s="6" t="str">
        <f t="shared" si="86"/>
        <v>Cancelled</v>
      </c>
    </row>
    <row r="384" spans="1:41">
      <c r="A384" s="6" t="s">
        <v>1923</v>
      </c>
      <c r="B384" s="7" t="s">
        <v>1924</v>
      </c>
      <c r="C384" s="8">
        <v>45720</v>
      </c>
      <c r="D384" s="7" t="s">
        <v>575</v>
      </c>
      <c r="E384" s="9">
        <v>45724</v>
      </c>
      <c r="F384" s="9" t="str">
        <f t="shared" si="79"/>
        <v>Valid</v>
      </c>
      <c r="G384" s="10">
        <f t="shared" si="80"/>
        <v>4</v>
      </c>
      <c r="H384" s="10" t="str">
        <f t="shared" si="81"/>
        <v>Valid</v>
      </c>
      <c r="I384" s="6" t="s">
        <v>223</v>
      </c>
      <c r="J384" s="6" t="s">
        <v>81</v>
      </c>
      <c r="K384" s="6" t="s">
        <v>81</v>
      </c>
      <c r="L384" s="6" t="s">
        <v>61</v>
      </c>
      <c r="M384" s="7" t="str">
        <f t="shared" si="82"/>
        <v>Small Business</v>
      </c>
      <c r="N384" s="6" t="s">
        <v>62</v>
      </c>
      <c r="O384" s="7" t="str">
        <f t="shared" si="83"/>
        <v>East</v>
      </c>
      <c r="P384" s="6" t="s">
        <v>206</v>
      </c>
      <c r="Q384" s="6" t="s">
        <v>207</v>
      </c>
      <c r="R384" s="6" t="s">
        <v>1925</v>
      </c>
      <c r="S384" s="7" t="str">
        <f t="shared" si="84"/>
        <v>Technology</v>
      </c>
      <c r="T384" s="6" t="s">
        <v>243</v>
      </c>
      <c r="U384" s="6" t="s">
        <v>1926</v>
      </c>
      <c r="V384" s="6" t="s">
        <v>76</v>
      </c>
      <c r="W384" s="7" t="str">
        <f t="shared" si="85"/>
        <v>First Class</v>
      </c>
      <c r="X384" s="6">
        <v>3</v>
      </c>
      <c r="Y384" s="6">
        <v>4361.8500000000004</v>
      </c>
      <c r="Z384" s="6">
        <v>0.2</v>
      </c>
      <c r="AA384" s="6">
        <f t="shared" si="87"/>
        <v>0.2</v>
      </c>
      <c r="AB384" s="6" t="str">
        <f t="shared" si="88"/>
        <v>Valid</v>
      </c>
      <c r="AC384" s="6">
        <v>10468.44</v>
      </c>
      <c r="AD384" s="6" t="str">
        <f>IF(OR(AO384="Cancelled",AM384="Failed"),"Exclude from Completed Sales","Include in Completed Sales")</f>
        <v>Include in Completed Sales</v>
      </c>
      <c r="AE384" s="6">
        <f t="shared" si="89"/>
        <v>10468.440000000002</v>
      </c>
      <c r="AF384" s="6" t="str">
        <f t="shared" si="90"/>
        <v/>
      </c>
      <c r="AG384" s="6">
        <v>8399.8700000000008</v>
      </c>
      <c r="AH384" s="6">
        <v>2068.5700000000002</v>
      </c>
      <c r="AI384" s="6">
        <f t="shared" si="91"/>
        <v>2068.5700000000015</v>
      </c>
      <c r="AJ384" s="11">
        <f t="shared" si="92"/>
        <v>0.19760059760575607</v>
      </c>
      <c r="AK384" s="11" t="str">
        <f t="shared" si="93"/>
        <v>March</v>
      </c>
      <c r="AL384" s="12">
        <f t="shared" si="94"/>
        <v>2025</v>
      </c>
      <c r="AM384" s="6" t="s">
        <v>54</v>
      </c>
      <c r="AN384" s="6" t="s">
        <v>55</v>
      </c>
      <c r="AO384" s="6" t="str">
        <f t="shared" si="86"/>
        <v>Completed</v>
      </c>
    </row>
    <row r="385" spans="1:41">
      <c r="A385" s="6" t="s">
        <v>1927</v>
      </c>
      <c r="B385" s="7" t="s">
        <v>1537</v>
      </c>
      <c r="C385" s="8">
        <v>45836</v>
      </c>
      <c r="D385" s="7" t="s">
        <v>1095</v>
      </c>
      <c r="E385" s="9">
        <v>45843</v>
      </c>
      <c r="F385" s="9" t="str">
        <f t="shared" si="79"/>
        <v>Valid</v>
      </c>
      <c r="G385" s="10">
        <f t="shared" si="80"/>
        <v>7</v>
      </c>
      <c r="H385" s="10" t="str">
        <f t="shared" si="81"/>
        <v>Valid</v>
      </c>
      <c r="I385" s="6" t="s">
        <v>1928</v>
      </c>
      <c r="J385" s="6" t="s">
        <v>103</v>
      </c>
      <c r="K385" s="6" t="s">
        <v>103</v>
      </c>
      <c r="L385" s="6" t="s">
        <v>128</v>
      </c>
      <c r="M385" s="7" t="str">
        <f t="shared" si="82"/>
        <v>Corporate</v>
      </c>
      <c r="N385" s="6" t="s">
        <v>62</v>
      </c>
      <c r="O385" s="7" t="str">
        <f t="shared" si="83"/>
        <v>East</v>
      </c>
      <c r="P385" s="6" t="s">
        <v>141</v>
      </c>
      <c r="Q385" s="6" t="s">
        <v>142</v>
      </c>
      <c r="R385" s="6" t="s">
        <v>50</v>
      </c>
      <c r="S385" s="7" t="str">
        <f t="shared" si="84"/>
        <v>Office Supplies</v>
      </c>
      <c r="T385" s="6" t="s">
        <v>74</v>
      </c>
      <c r="U385" s="6" t="s">
        <v>1929</v>
      </c>
      <c r="V385" s="6" t="s">
        <v>76</v>
      </c>
      <c r="W385" s="7" t="str">
        <f t="shared" si="85"/>
        <v>First Class</v>
      </c>
      <c r="X385" s="6">
        <v>2</v>
      </c>
      <c r="Y385" s="6">
        <v>2242.75</v>
      </c>
      <c r="Z385" s="6">
        <v>0</v>
      </c>
      <c r="AA385" s="6">
        <f t="shared" si="87"/>
        <v>0</v>
      </c>
      <c r="AB385" s="6" t="str">
        <f t="shared" si="88"/>
        <v>Valid</v>
      </c>
      <c r="AC385" s="6">
        <v>4485.5</v>
      </c>
      <c r="AD385" s="6" t="str">
        <f>IF(OR(AO385="Cancelled",AM385="Failed"),"Exclude from Completed Sales","Include in Completed Sales")</f>
        <v>Exclude from Completed Sales</v>
      </c>
      <c r="AE385" s="6">
        <f t="shared" si="89"/>
        <v>4485.5</v>
      </c>
      <c r="AF385" s="6" t="str">
        <f t="shared" si="90"/>
        <v/>
      </c>
      <c r="AG385" s="6">
        <v>3131.86</v>
      </c>
      <c r="AH385" s="6">
        <v>1353.64</v>
      </c>
      <c r="AI385" s="6">
        <f t="shared" si="91"/>
        <v>1353.6399999999999</v>
      </c>
      <c r="AJ385" s="11">
        <f t="shared" si="92"/>
        <v>0.30178129528480657</v>
      </c>
      <c r="AK385" s="11" t="str">
        <f t="shared" si="93"/>
        <v>June</v>
      </c>
      <c r="AL385" s="12">
        <f t="shared" si="94"/>
        <v>2025</v>
      </c>
      <c r="AM385" s="6" t="s">
        <v>54</v>
      </c>
      <c r="AN385" s="6" t="s">
        <v>98</v>
      </c>
      <c r="AO385" s="6" t="str">
        <f t="shared" si="86"/>
        <v>Cancelled</v>
      </c>
    </row>
    <row r="386" spans="1:41">
      <c r="A386" s="6" t="s">
        <v>1930</v>
      </c>
      <c r="B386" s="7" t="s">
        <v>1931</v>
      </c>
      <c r="C386" s="8">
        <v>45366</v>
      </c>
      <c r="D386" s="7" t="s">
        <v>1932</v>
      </c>
      <c r="E386" s="9">
        <v>45371</v>
      </c>
      <c r="F386" s="9" t="str">
        <f t="shared" ref="F386:F449" si="95">IF(E386&lt;C386,"Invalid Shipping Record","Valid")</f>
        <v>Valid</v>
      </c>
      <c r="G386" s="10">
        <f t="shared" ref="G386:G449" si="96">E386-C386</f>
        <v>5</v>
      </c>
      <c r="H386" s="10" t="str">
        <f t="shared" ref="H386:H449" si="97">IF(OR(C386="",E386=""),"Missing Date",IF(OR(NOT(ISNUMBER(C386)),NOT(ISNUMBER(E386))),"Invalid Date",IF(E386&lt;C386,"Invalid Shipping Record","Valid")))</f>
        <v>Valid</v>
      </c>
      <c r="I386" s="6" t="s">
        <v>1933</v>
      </c>
      <c r="J386" s="6" t="s">
        <v>200</v>
      </c>
      <c r="K386" s="6" t="s">
        <v>200</v>
      </c>
      <c r="L386" s="6" t="s">
        <v>46</v>
      </c>
      <c r="M386" s="7" t="str">
        <f t="shared" ref="M386:M449" si="98">PROPER(TRIM(L386))</f>
        <v>Consumer</v>
      </c>
      <c r="N386" s="6" t="s">
        <v>62</v>
      </c>
      <c r="O386" s="7" t="str">
        <f t="shared" ref="O386:O449" si="99">IF(TRIM(N386)="","Unknown",PROPER(TRIM(N386)))</f>
        <v>East</v>
      </c>
      <c r="P386" s="6" t="s">
        <v>331</v>
      </c>
      <c r="Q386" s="6" t="s">
        <v>332</v>
      </c>
      <c r="R386" s="6" t="s">
        <v>106</v>
      </c>
      <c r="S386" s="7" t="str">
        <f t="shared" ref="S386:S449" si="100">PROPER(TRIM(R386))</f>
        <v>Technology</v>
      </c>
      <c r="T386" s="6" t="s">
        <v>114</v>
      </c>
      <c r="U386" s="6" t="s">
        <v>1934</v>
      </c>
      <c r="V386" s="6" t="s">
        <v>87</v>
      </c>
      <c r="W386" s="7" t="str">
        <f t="shared" ref="W386:W449" si="101">IF(TRIM(V386)="","Unknown",PROPER(TRIM(V386)))</f>
        <v>Standard Class</v>
      </c>
      <c r="X386" s="6">
        <v>2</v>
      </c>
      <c r="Y386" s="6">
        <v>1881.4</v>
      </c>
      <c r="Z386" s="6">
        <v>0.25</v>
      </c>
      <c r="AA386" s="6">
        <f t="shared" si="87"/>
        <v>0.25</v>
      </c>
      <c r="AB386" s="6" t="str">
        <f t="shared" si="88"/>
        <v>Valid</v>
      </c>
      <c r="AC386" s="6">
        <v>2822.1</v>
      </c>
      <c r="AD386" s="6" t="str">
        <f>IF(OR(AO386="Cancelled",AM386="Failed"),"Exclude from Completed Sales","Include in Completed Sales")</f>
        <v>Include in Completed Sales</v>
      </c>
      <c r="AE386" s="6">
        <f t="shared" si="89"/>
        <v>2822.1000000000004</v>
      </c>
      <c r="AF386" s="6" t="str">
        <f t="shared" si="90"/>
        <v/>
      </c>
      <c r="AG386" s="6">
        <v>1624.57</v>
      </c>
      <c r="AH386" s="6">
        <v>1197.53</v>
      </c>
      <c r="AI386" s="6">
        <f t="shared" si="91"/>
        <v>1197.5300000000004</v>
      </c>
      <c r="AJ386" s="11">
        <f t="shared" si="92"/>
        <v>0.42434003047376079</v>
      </c>
      <c r="AK386" s="11" t="str">
        <f t="shared" si="93"/>
        <v>March</v>
      </c>
      <c r="AL386" s="12">
        <f t="shared" si="94"/>
        <v>2024</v>
      </c>
      <c r="AM386" s="6" t="s">
        <v>54</v>
      </c>
      <c r="AN386" s="6" t="s">
        <v>145</v>
      </c>
      <c r="AO386" s="6" t="str">
        <f t="shared" ref="AO386:AO449" si="102">PROPER(TRIM(AN386))</f>
        <v>Returned</v>
      </c>
    </row>
    <row r="387" spans="1:41">
      <c r="A387" s="6" t="s">
        <v>1935</v>
      </c>
      <c r="B387" s="7" t="s">
        <v>1016</v>
      </c>
      <c r="C387" s="8">
        <v>45832</v>
      </c>
      <c r="D387" s="7" t="s">
        <v>1936</v>
      </c>
      <c r="E387" s="9">
        <v>45838</v>
      </c>
      <c r="F387" s="9" t="str">
        <f t="shared" si="95"/>
        <v>Valid</v>
      </c>
      <c r="G387" s="10">
        <f t="shared" si="96"/>
        <v>6</v>
      </c>
      <c r="H387" s="10" t="str">
        <f t="shared" si="97"/>
        <v>Valid</v>
      </c>
      <c r="I387" s="6" t="s">
        <v>1937</v>
      </c>
      <c r="J387" s="6" t="s">
        <v>81</v>
      </c>
      <c r="K387" s="6" t="s">
        <v>81</v>
      </c>
      <c r="L387" s="6" t="s">
        <v>46</v>
      </c>
      <c r="M387" s="7" t="str">
        <f t="shared" si="98"/>
        <v>Consumer</v>
      </c>
      <c r="N387" s="6" t="s">
        <v>47</v>
      </c>
      <c r="O387" s="7" t="str">
        <f t="shared" si="99"/>
        <v>North</v>
      </c>
      <c r="P387" s="6" t="s">
        <v>343</v>
      </c>
      <c r="Q387" s="6" t="s">
        <v>344</v>
      </c>
      <c r="R387" s="6" t="s">
        <v>50</v>
      </c>
      <c r="S387" s="7" t="str">
        <f t="shared" si="100"/>
        <v>Office Supplies</v>
      </c>
      <c r="T387" s="6" t="s">
        <v>129</v>
      </c>
      <c r="U387" s="6" t="s">
        <v>1938</v>
      </c>
      <c r="V387" s="6" t="s">
        <v>87</v>
      </c>
      <c r="W387" s="7" t="str">
        <f t="shared" si="101"/>
        <v>Standard Class</v>
      </c>
      <c r="X387" s="6">
        <v>6</v>
      </c>
      <c r="Y387" s="6">
        <v>365.76</v>
      </c>
      <c r="Z387" s="6">
        <v>0.1</v>
      </c>
      <c r="AA387" s="6">
        <f t="shared" ref="AA387:AA450" si="103">IF(Z387="",0,Z387)</f>
        <v>0.1</v>
      </c>
      <c r="AB387" s="6" t="str">
        <f t="shared" ref="AB387:AB450" si="104">IF(AA387&lt;0,"Invalid - Negative Discount",IF(AA387&gt;1,"Invalid - Discount Above Limit","Valid"))</f>
        <v>Valid</v>
      </c>
      <c r="AC387" s="6">
        <v>1975.1</v>
      </c>
      <c r="AD387" s="6" t="str">
        <f>IF(OR(AO387="Cancelled",AM387="Failed"),"Exclude from Completed Sales","Include in Completed Sales")</f>
        <v>Include in Completed Sales</v>
      </c>
      <c r="AE387" s="6">
        <f t="shared" ref="AE387:AE450" si="105">X387*Y387*(1-AA387)</f>
        <v>1975.104</v>
      </c>
      <c r="AF387" s="6" t="str">
        <f t="shared" ref="AF387:AF450" si="106">IF(TRIM(AM387)="Refunded","Refunded","")</f>
        <v/>
      </c>
      <c r="AG387" s="6">
        <v>1115.3499999999999</v>
      </c>
      <c r="AH387" s="6">
        <v>859.75</v>
      </c>
      <c r="AI387" s="6">
        <f t="shared" ref="AI387:AI450" si="107">AE387-AG387</f>
        <v>859.75400000000013</v>
      </c>
      <c r="AJ387" s="11">
        <f t="shared" ref="AJ387:AJ450" si="108">IF(AE387=0,0,AI387/AE387)</f>
        <v>0.4352955591199249</v>
      </c>
      <c r="AK387" s="11" t="str">
        <f t="shared" ref="AK387:AK450" si="109">TEXT(C387,"mmmm")</f>
        <v>June</v>
      </c>
      <c r="AL387" s="12">
        <f t="shared" ref="AL387:AL450" si="110">YEAR(C387)</f>
        <v>2025</v>
      </c>
      <c r="AM387" s="6" t="s">
        <v>54</v>
      </c>
      <c r="AN387" s="6" t="s">
        <v>55</v>
      </c>
      <c r="AO387" s="6" t="str">
        <f t="shared" si="102"/>
        <v>Completed</v>
      </c>
    </row>
    <row r="388" spans="1:41">
      <c r="A388" s="6" t="s">
        <v>1939</v>
      </c>
      <c r="B388" s="7" t="s">
        <v>1417</v>
      </c>
      <c r="C388" s="8">
        <v>45700</v>
      </c>
      <c r="D388" s="7" t="s">
        <v>1940</v>
      </c>
      <c r="E388" s="9">
        <v>45702</v>
      </c>
      <c r="F388" s="9" t="str">
        <f t="shared" si="95"/>
        <v>Valid</v>
      </c>
      <c r="G388" s="10">
        <f t="shared" si="96"/>
        <v>2</v>
      </c>
      <c r="H388" s="10" t="str">
        <f t="shared" si="97"/>
        <v>Valid</v>
      </c>
      <c r="I388" s="6" t="s">
        <v>1941</v>
      </c>
      <c r="J388" s="6" t="s">
        <v>188</v>
      </c>
      <c r="K388" s="6" t="s">
        <v>188</v>
      </c>
      <c r="L388" s="6" t="s">
        <v>46</v>
      </c>
      <c r="M388" s="7" t="str">
        <f t="shared" si="98"/>
        <v>Consumer</v>
      </c>
      <c r="N388" s="6" t="s">
        <v>93</v>
      </c>
      <c r="O388" s="7" t="str">
        <f t="shared" si="99"/>
        <v>West</v>
      </c>
      <c r="P388" s="6" t="s">
        <v>94</v>
      </c>
      <c r="Q388" s="6" t="s">
        <v>95</v>
      </c>
      <c r="R388" s="6" t="s">
        <v>65</v>
      </c>
      <c r="S388" s="7" t="str">
        <f t="shared" si="100"/>
        <v>Furniture</v>
      </c>
      <c r="T388" s="6" t="s">
        <v>85</v>
      </c>
      <c r="U388" s="6" t="s">
        <v>1942</v>
      </c>
      <c r="V388" s="6" t="s">
        <v>53</v>
      </c>
      <c r="W388" s="7" t="str">
        <f t="shared" si="101"/>
        <v>Second Class</v>
      </c>
      <c r="X388" s="6">
        <v>8</v>
      </c>
      <c r="Y388" s="6">
        <v>2786.66</v>
      </c>
      <c r="Z388" s="6">
        <v>0.1</v>
      </c>
      <c r="AA388" s="6">
        <f t="shared" si="103"/>
        <v>0.1</v>
      </c>
      <c r="AB388" s="6" t="str">
        <f t="shared" si="104"/>
        <v>Valid</v>
      </c>
      <c r="AC388" s="6">
        <v>20063.95</v>
      </c>
      <c r="AD388" s="6" t="str">
        <f>IF(OR(AO388="Cancelled",AM388="Failed"),"Exclude from Completed Sales","Include in Completed Sales")</f>
        <v>Include in Completed Sales</v>
      </c>
      <c r="AE388" s="6">
        <f t="shared" si="105"/>
        <v>20063.952000000001</v>
      </c>
      <c r="AF388" s="6" t="str">
        <f t="shared" si="106"/>
        <v/>
      </c>
      <c r="AG388" s="6">
        <v>14363.38</v>
      </c>
      <c r="AH388" s="6">
        <v>5700.57</v>
      </c>
      <c r="AI388" s="6">
        <f t="shared" si="107"/>
        <v>5700.5720000000019</v>
      </c>
      <c r="AJ388" s="11">
        <f t="shared" si="108"/>
        <v>0.2841200975759911</v>
      </c>
      <c r="AK388" s="11" t="str">
        <f t="shared" si="109"/>
        <v>February</v>
      </c>
      <c r="AL388" s="12">
        <f t="shared" si="110"/>
        <v>2025</v>
      </c>
      <c r="AM388" s="6" t="s">
        <v>54</v>
      </c>
      <c r="AN388" s="6" t="s">
        <v>55</v>
      </c>
      <c r="AO388" s="6" t="str">
        <f t="shared" si="102"/>
        <v>Completed</v>
      </c>
    </row>
    <row r="389" spans="1:41">
      <c r="A389" s="6" t="s">
        <v>1943</v>
      </c>
      <c r="B389" s="7" t="s">
        <v>964</v>
      </c>
      <c r="C389" s="8">
        <v>45879</v>
      </c>
      <c r="D389" s="7" t="s">
        <v>1138</v>
      </c>
      <c r="E389" s="9">
        <v>45882</v>
      </c>
      <c r="F389" s="9" t="str">
        <f t="shared" si="95"/>
        <v>Valid</v>
      </c>
      <c r="G389" s="10">
        <f t="shared" si="96"/>
        <v>3</v>
      </c>
      <c r="H389" s="10" t="str">
        <f t="shared" si="97"/>
        <v>Valid</v>
      </c>
      <c r="I389" s="6" t="s">
        <v>1944</v>
      </c>
      <c r="J389" s="6" t="s">
        <v>162</v>
      </c>
      <c r="K389" s="6" t="s">
        <v>162</v>
      </c>
      <c r="L389" s="6" t="s">
        <v>61</v>
      </c>
      <c r="M389" s="7" t="str">
        <f t="shared" si="98"/>
        <v>Small Business</v>
      </c>
      <c r="N389" s="6" t="s">
        <v>93</v>
      </c>
      <c r="O389" s="7" t="str">
        <f t="shared" si="99"/>
        <v>West</v>
      </c>
      <c r="P389" s="6" t="s">
        <v>104</v>
      </c>
      <c r="Q389" s="6" t="s">
        <v>105</v>
      </c>
      <c r="R389" s="6" t="s">
        <v>65</v>
      </c>
      <c r="S389" s="7" t="str">
        <f t="shared" si="100"/>
        <v>Furniture</v>
      </c>
      <c r="T389" s="6" t="s">
        <v>96</v>
      </c>
      <c r="U389" s="6" t="s">
        <v>1945</v>
      </c>
      <c r="V389" s="6" t="s">
        <v>87</v>
      </c>
      <c r="W389" s="7" t="str">
        <f t="shared" si="101"/>
        <v>Standard Class</v>
      </c>
      <c r="X389" s="6">
        <v>5</v>
      </c>
      <c r="Y389" s="6">
        <v>352.86</v>
      </c>
      <c r="Z389" s="6">
        <v>0</v>
      </c>
      <c r="AA389" s="6">
        <f t="shared" si="103"/>
        <v>0</v>
      </c>
      <c r="AB389" s="6" t="str">
        <f t="shared" si="104"/>
        <v>Valid</v>
      </c>
      <c r="AC389" s="6">
        <v>1764.3</v>
      </c>
      <c r="AD389" s="6" t="str">
        <f>IF(OR(AO389="Cancelled",AM389="Failed"),"Exclude from Completed Sales","Include in Completed Sales")</f>
        <v>Exclude from Completed Sales</v>
      </c>
      <c r="AE389" s="6">
        <f t="shared" si="105"/>
        <v>1764.3000000000002</v>
      </c>
      <c r="AF389" s="6" t="str">
        <f t="shared" si="106"/>
        <v/>
      </c>
      <c r="AG389" s="6">
        <v>1332.49</v>
      </c>
      <c r="AH389" s="6">
        <v>431.81</v>
      </c>
      <c r="AI389" s="6">
        <f t="shared" si="107"/>
        <v>431.81000000000017</v>
      </c>
      <c r="AJ389" s="11">
        <f t="shared" si="108"/>
        <v>0.24474862551720236</v>
      </c>
      <c r="AK389" s="11" t="str">
        <f t="shared" si="109"/>
        <v>August</v>
      </c>
      <c r="AL389" s="12">
        <f t="shared" si="110"/>
        <v>2025</v>
      </c>
      <c r="AM389" s="6" t="s">
        <v>157</v>
      </c>
      <c r="AN389" s="6" t="s">
        <v>98</v>
      </c>
      <c r="AO389" s="6" t="str">
        <f t="shared" si="102"/>
        <v>Cancelled</v>
      </c>
    </row>
    <row r="390" spans="1:41">
      <c r="A390" s="6" t="s">
        <v>1946</v>
      </c>
      <c r="B390" s="7" t="s">
        <v>1947</v>
      </c>
      <c r="C390" s="8">
        <v>45425</v>
      </c>
      <c r="D390" s="7" t="s">
        <v>1948</v>
      </c>
      <c r="E390" s="9">
        <v>45430</v>
      </c>
      <c r="F390" s="9" t="str">
        <f t="shared" si="95"/>
        <v>Valid</v>
      </c>
      <c r="G390" s="10">
        <f t="shared" si="96"/>
        <v>5</v>
      </c>
      <c r="H390" s="10" t="str">
        <f t="shared" si="97"/>
        <v>Valid</v>
      </c>
      <c r="I390" s="6" t="s">
        <v>1949</v>
      </c>
      <c r="J390" s="6" t="s">
        <v>73</v>
      </c>
      <c r="K390" s="6" t="s">
        <v>73</v>
      </c>
      <c r="L390" s="6" t="s">
        <v>61</v>
      </c>
      <c r="M390" s="7" t="str">
        <f t="shared" si="98"/>
        <v>Small Business</v>
      </c>
      <c r="N390" s="6" t="s">
        <v>93</v>
      </c>
      <c r="O390" s="7" t="str">
        <f t="shared" si="99"/>
        <v>West</v>
      </c>
      <c r="P390" s="6" t="s">
        <v>255</v>
      </c>
      <c r="Q390" s="6" t="s">
        <v>256</v>
      </c>
      <c r="R390" s="6" t="s">
        <v>65</v>
      </c>
      <c r="S390" s="7" t="str">
        <f t="shared" si="100"/>
        <v>Furniture</v>
      </c>
      <c r="T390" s="6" t="s">
        <v>96</v>
      </c>
      <c r="U390" s="6" t="s">
        <v>1950</v>
      </c>
      <c r="V390" s="6" t="s">
        <v>87</v>
      </c>
      <c r="W390" s="7" t="str">
        <f t="shared" si="101"/>
        <v>Standard Class</v>
      </c>
      <c r="X390" s="6">
        <v>3</v>
      </c>
      <c r="Y390" s="6">
        <v>3128.59</v>
      </c>
      <c r="Z390" s="6">
        <v>0</v>
      </c>
      <c r="AA390" s="6">
        <f t="shared" si="103"/>
        <v>0</v>
      </c>
      <c r="AB390" s="6" t="str">
        <f t="shared" si="104"/>
        <v>Valid</v>
      </c>
      <c r="AC390" s="6">
        <v>9385.77</v>
      </c>
      <c r="AD390" s="6" t="str">
        <f>IF(OR(AO390="Cancelled",AM390="Failed"),"Exclude from Completed Sales","Include in Completed Sales")</f>
        <v>Include in Completed Sales</v>
      </c>
      <c r="AE390" s="6">
        <f t="shared" si="105"/>
        <v>9385.77</v>
      </c>
      <c r="AF390" s="6" t="str">
        <f t="shared" si="106"/>
        <v/>
      </c>
      <c r="AG390" s="6">
        <v>6872.44</v>
      </c>
      <c r="AH390" s="6">
        <v>2783.66</v>
      </c>
      <c r="AI390" s="6">
        <f t="shared" si="107"/>
        <v>2513.3300000000008</v>
      </c>
      <c r="AJ390" s="11">
        <f t="shared" si="108"/>
        <v>0.26778090662779941</v>
      </c>
      <c r="AK390" s="11" t="str">
        <f t="shared" si="109"/>
        <v>May</v>
      </c>
      <c r="AL390" s="12">
        <f t="shared" si="110"/>
        <v>2024</v>
      </c>
      <c r="AM390" s="6" t="s">
        <v>54</v>
      </c>
      <c r="AN390" s="6" t="s">
        <v>55</v>
      </c>
      <c r="AO390" s="6" t="str">
        <f t="shared" si="102"/>
        <v>Completed</v>
      </c>
    </row>
    <row r="391" spans="1:41">
      <c r="A391" s="6" t="s">
        <v>1951</v>
      </c>
      <c r="B391" s="7" t="s">
        <v>1952</v>
      </c>
      <c r="C391" s="8">
        <v>45387</v>
      </c>
      <c r="D391" s="7" t="s">
        <v>369</v>
      </c>
      <c r="E391" s="9">
        <v>45395</v>
      </c>
      <c r="F391" s="9" t="str">
        <f t="shared" si="95"/>
        <v>Valid</v>
      </c>
      <c r="G391" s="10">
        <f t="shared" si="96"/>
        <v>8</v>
      </c>
      <c r="H391" s="10" t="str">
        <f t="shared" si="97"/>
        <v>Valid</v>
      </c>
      <c r="I391" s="6" t="s">
        <v>1953</v>
      </c>
      <c r="J391" s="6" t="s">
        <v>230</v>
      </c>
      <c r="K391" s="6" t="s">
        <v>230</v>
      </c>
      <c r="L391" s="6" t="s">
        <v>128</v>
      </c>
      <c r="M391" s="7" t="str">
        <f t="shared" si="98"/>
        <v>Corporate</v>
      </c>
      <c r="N391" s="6" t="s">
        <v>93</v>
      </c>
      <c r="O391" s="7" t="str">
        <f t="shared" si="99"/>
        <v>West</v>
      </c>
      <c r="P391" s="6" t="s">
        <v>255</v>
      </c>
      <c r="Q391" s="6" t="s">
        <v>256</v>
      </c>
      <c r="R391" s="6" t="s">
        <v>106</v>
      </c>
      <c r="S391" s="7" t="str">
        <f t="shared" si="100"/>
        <v>Technology</v>
      </c>
      <c r="T391" s="6" t="s">
        <v>402</v>
      </c>
      <c r="U391" s="6" t="s">
        <v>1954</v>
      </c>
      <c r="V391" s="6" t="s">
        <v>53</v>
      </c>
      <c r="W391" s="7" t="str">
        <f t="shared" si="101"/>
        <v>Second Class</v>
      </c>
      <c r="X391" s="6">
        <v>5</v>
      </c>
      <c r="Y391" s="6">
        <v>1937.54</v>
      </c>
      <c r="Z391" s="6">
        <v>0.2</v>
      </c>
      <c r="AA391" s="6">
        <f t="shared" si="103"/>
        <v>0.2</v>
      </c>
      <c r="AB391" s="6" t="str">
        <f t="shared" si="104"/>
        <v>Valid</v>
      </c>
      <c r="AC391" s="6">
        <v>7750.16</v>
      </c>
      <c r="AD391" s="6" t="str">
        <f>IF(OR(AO391="Cancelled",AM391="Failed"),"Exclude from Completed Sales","Include in Completed Sales")</f>
        <v>Exclude from Completed Sales</v>
      </c>
      <c r="AE391" s="6">
        <f t="shared" si="105"/>
        <v>7750.1600000000008</v>
      </c>
      <c r="AF391" s="6" t="str">
        <f t="shared" si="106"/>
        <v/>
      </c>
      <c r="AG391" s="6">
        <v>5434.3</v>
      </c>
      <c r="AH391" s="6">
        <v>2315.86</v>
      </c>
      <c r="AI391" s="6">
        <f t="shared" si="107"/>
        <v>2315.8600000000006</v>
      </c>
      <c r="AJ391" s="11">
        <f t="shared" si="108"/>
        <v>0.29881447608823564</v>
      </c>
      <c r="AK391" s="11" t="str">
        <f t="shared" si="109"/>
        <v>April</v>
      </c>
      <c r="AL391" s="12">
        <f t="shared" si="110"/>
        <v>2024</v>
      </c>
      <c r="AM391" s="6" t="s">
        <v>157</v>
      </c>
      <c r="AN391" s="6" t="s">
        <v>98</v>
      </c>
      <c r="AO391" s="6" t="str">
        <f t="shared" si="102"/>
        <v>Cancelled</v>
      </c>
    </row>
    <row r="392" spans="1:41">
      <c r="A392" s="6" t="s">
        <v>1955</v>
      </c>
      <c r="B392" s="7" t="s">
        <v>1956</v>
      </c>
      <c r="C392" s="8">
        <v>45602</v>
      </c>
      <c r="D392" s="7" t="s">
        <v>504</v>
      </c>
      <c r="E392" s="9">
        <v>45607</v>
      </c>
      <c r="F392" s="9" t="str">
        <f t="shared" si="95"/>
        <v>Valid</v>
      </c>
      <c r="G392" s="10">
        <f t="shared" si="96"/>
        <v>5</v>
      </c>
      <c r="H392" s="10" t="str">
        <f t="shared" si="97"/>
        <v>Valid</v>
      </c>
      <c r="I392" s="6" t="s">
        <v>1957</v>
      </c>
      <c r="J392" s="6" t="s">
        <v>73</v>
      </c>
      <c r="K392" s="6" t="s">
        <v>73</v>
      </c>
      <c r="L392" s="6" t="s">
        <v>46</v>
      </c>
      <c r="M392" s="7" t="str">
        <f t="shared" si="98"/>
        <v>Consumer</v>
      </c>
      <c r="N392" s="6" t="s">
        <v>93</v>
      </c>
      <c r="O392" s="7" t="str">
        <f t="shared" si="99"/>
        <v>West</v>
      </c>
      <c r="P392" s="6" t="s">
        <v>255</v>
      </c>
      <c r="Q392" s="6" t="s">
        <v>256</v>
      </c>
      <c r="R392" s="6" t="s">
        <v>65</v>
      </c>
      <c r="S392" s="7" t="str">
        <f t="shared" si="100"/>
        <v>Furniture</v>
      </c>
      <c r="T392" s="6" t="s">
        <v>85</v>
      </c>
      <c r="U392" s="6" t="s">
        <v>1958</v>
      </c>
      <c r="V392" s="6" t="s">
        <v>87</v>
      </c>
      <c r="W392" s="7" t="str">
        <f t="shared" si="101"/>
        <v>Standard Class</v>
      </c>
      <c r="X392" s="6">
        <v>4</v>
      </c>
      <c r="Y392" s="6">
        <v>1917.26</v>
      </c>
      <c r="Z392" s="6">
        <v>0.2</v>
      </c>
      <c r="AA392" s="6">
        <f t="shared" si="103"/>
        <v>0.2</v>
      </c>
      <c r="AB392" s="6" t="str">
        <f t="shared" si="104"/>
        <v>Valid</v>
      </c>
      <c r="AC392" s="6">
        <v>6135.23</v>
      </c>
      <c r="AD392" s="6" t="str">
        <f>IF(OR(AO392="Cancelled",AM392="Failed"),"Exclude from Completed Sales","Include in Completed Sales")</f>
        <v>Include in Completed Sales</v>
      </c>
      <c r="AE392" s="6">
        <f t="shared" si="105"/>
        <v>6135.232</v>
      </c>
      <c r="AF392" s="6" t="str">
        <f t="shared" si="106"/>
        <v/>
      </c>
      <c r="AG392" s="6">
        <v>3439.79</v>
      </c>
      <c r="AH392" s="6">
        <v>2695.44</v>
      </c>
      <c r="AI392" s="6">
        <f t="shared" si="107"/>
        <v>2695.442</v>
      </c>
      <c r="AJ392" s="11">
        <f t="shared" si="108"/>
        <v>0.43933823529411764</v>
      </c>
      <c r="AK392" s="11" t="str">
        <f t="shared" si="109"/>
        <v>November</v>
      </c>
      <c r="AL392" s="12">
        <f t="shared" si="110"/>
        <v>2024</v>
      </c>
      <c r="AM392" s="6" t="s">
        <v>54</v>
      </c>
      <c r="AN392" s="6" t="s">
        <v>55</v>
      </c>
      <c r="AO392" s="6" t="str">
        <f t="shared" si="102"/>
        <v>Completed</v>
      </c>
    </row>
    <row r="393" spans="1:41">
      <c r="A393" s="6" t="s">
        <v>1959</v>
      </c>
      <c r="B393" s="7" t="s">
        <v>1940</v>
      </c>
      <c r="C393" s="8">
        <v>45702</v>
      </c>
      <c r="D393" s="7" t="s">
        <v>1960</v>
      </c>
      <c r="E393" s="9">
        <v>45702</v>
      </c>
      <c r="F393" s="9" t="str">
        <f t="shared" si="95"/>
        <v>Valid</v>
      </c>
      <c r="G393" s="10">
        <f t="shared" si="96"/>
        <v>0</v>
      </c>
      <c r="H393" s="10" t="str">
        <f t="shared" si="97"/>
        <v>Valid</v>
      </c>
      <c r="I393" s="6" t="s">
        <v>1961</v>
      </c>
      <c r="J393" s="6" t="s">
        <v>230</v>
      </c>
      <c r="K393" s="6" t="s">
        <v>230</v>
      </c>
      <c r="L393" s="6" t="s">
        <v>46</v>
      </c>
      <c r="M393" s="7" t="str">
        <f t="shared" si="98"/>
        <v>Consumer</v>
      </c>
      <c r="N393" s="6" t="s">
        <v>82</v>
      </c>
      <c r="O393" s="7" t="str">
        <f t="shared" si="99"/>
        <v>South</v>
      </c>
      <c r="P393" s="6" t="s">
        <v>249</v>
      </c>
      <c r="Q393" s="6" t="s">
        <v>250</v>
      </c>
      <c r="R393" s="6" t="s">
        <v>50</v>
      </c>
      <c r="S393" s="7" t="str">
        <f t="shared" si="100"/>
        <v>Office Supplies</v>
      </c>
      <c r="T393" s="6" t="s">
        <v>176</v>
      </c>
      <c r="U393" s="6" t="s">
        <v>1962</v>
      </c>
      <c r="V393" s="6" t="s">
        <v>76</v>
      </c>
      <c r="W393" s="7" t="str">
        <f t="shared" si="101"/>
        <v>First Class</v>
      </c>
      <c r="X393" s="6">
        <v>1</v>
      </c>
      <c r="Y393" s="6">
        <v>714.43</v>
      </c>
      <c r="Z393" s="6">
        <v>0</v>
      </c>
      <c r="AA393" s="6">
        <f t="shared" si="103"/>
        <v>0</v>
      </c>
      <c r="AB393" s="6" t="str">
        <f t="shared" si="104"/>
        <v>Valid</v>
      </c>
      <c r="AC393" s="6">
        <v>714.43</v>
      </c>
      <c r="AD393" s="6" t="str">
        <f>IF(OR(AO393="Cancelled",AM393="Failed"),"Exclude from Completed Sales","Include in Completed Sales")</f>
        <v>Include in Completed Sales</v>
      </c>
      <c r="AE393" s="6">
        <f t="shared" si="105"/>
        <v>714.43</v>
      </c>
      <c r="AF393" s="6" t="str">
        <f t="shared" si="106"/>
        <v/>
      </c>
      <c r="AG393" s="6">
        <v>565.44000000000005</v>
      </c>
      <c r="AH393" s="6">
        <v>148.99</v>
      </c>
      <c r="AI393" s="6">
        <f t="shared" si="107"/>
        <v>148.9899999999999</v>
      </c>
      <c r="AJ393" s="11">
        <f t="shared" si="108"/>
        <v>0.20854387413742412</v>
      </c>
      <c r="AK393" s="11" t="str">
        <f t="shared" si="109"/>
        <v>February</v>
      </c>
      <c r="AL393" s="12">
        <f t="shared" si="110"/>
        <v>2025</v>
      </c>
      <c r="AM393" s="6" t="s">
        <v>54</v>
      </c>
      <c r="AN393" s="6" t="s">
        <v>55</v>
      </c>
      <c r="AO393" s="6" t="str">
        <f t="shared" si="102"/>
        <v>Completed</v>
      </c>
    </row>
    <row r="394" spans="1:41">
      <c r="A394" s="6" t="s">
        <v>1963</v>
      </c>
      <c r="B394" s="7" t="s">
        <v>1964</v>
      </c>
      <c r="C394" s="8">
        <v>45341</v>
      </c>
      <c r="D394" s="7" t="s">
        <v>1965</v>
      </c>
      <c r="E394" s="9">
        <v>45344</v>
      </c>
      <c r="F394" s="9" t="str">
        <f t="shared" si="95"/>
        <v>Valid</v>
      </c>
      <c r="G394" s="10">
        <f t="shared" si="96"/>
        <v>3</v>
      </c>
      <c r="H394" s="10" t="str">
        <f t="shared" si="97"/>
        <v>Valid</v>
      </c>
      <c r="I394" s="6" t="s">
        <v>1966</v>
      </c>
      <c r="J394" s="6" t="s">
        <v>127</v>
      </c>
      <c r="K394" s="6" t="s">
        <v>127</v>
      </c>
      <c r="L394" s="6" t="s">
        <v>61</v>
      </c>
      <c r="M394" s="7" t="str">
        <f t="shared" si="98"/>
        <v>Small Business</v>
      </c>
      <c r="N394" s="6" t="s">
        <v>82</v>
      </c>
      <c r="O394" s="7" t="str">
        <f t="shared" si="99"/>
        <v>South</v>
      </c>
      <c r="P394" s="6" t="s">
        <v>262</v>
      </c>
      <c r="Q394" s="6" t="s">
        <v>263</v>
      </c>
      <c r="R394" s="6" t="s">
        <v>65</v>
      </c>
      <c r="S394" s="7" t="str">
        <f t="shared" si="100"/>
        <v>Furniture</v>
      </c>
      <c r="T394" s="6" t="s">
        <v>85</v>
      </c>
      <c r="U394" s="6" t="s">
        <v>1967</v>
      </c>
      <c r="V394" s="6" t="s">
        <v>68</v>
      </c>
      <c r="W394" s="7" t="str">
        <f t="shared" si="101"/>
        <v>Same Day</v>
      </c>
      <c r="X394" s="6">
        <v>9</v>
      </c>
      <c r="Y394" s="6">
        <v>4053.01</v>
      </c>
      <c r="Z394" s="6">
        <v>0</v>
      </c>
      <c r="AA394" s="6">
        <f t="shared" si="103"/>
        <v>0</v>
      </c>
      <c r="AB394" s="6" t="str">
        <f t="shared" si="104"/>
        <v>Valid</v>
      </c>
      <c r="AC394" s="6">
        <v>36477.089999999997</v>
      </c>
      <c r="AD394" s="6" t="str">
        <f>IF(OR(AO394="Cancelled",AM394="Failed"),"Exclude from Completed Sales","Include in Completed Sales")</f>
        <v>Include in Completed Sales</v>
      </c>
      <c r="AE394" s="6">
        <f t="shared" si="105"/>
        <v>36477.090000000004</v>
      </c>
      <c r="AF394" s="6" t="str">
        <f t="shared" si="106"/>
        <v/>
      </c>
      <c r="AG394" s="6">
        <v>24525.48</v>
      </c>
      <c r="AH394" s="6">
        <v>11951.61</v>
      </c>
      <c r="AI394" s="6">
        <f t="shared" si="107"/>
        <v>11951.610000000004</v>
      </c>
      <c r="AJ394" s="11">
        <f t="shared" si="108"/>
        <v>0.32764702447481425</v>
      </c>
      <c r="AK394" s="11" t="str">
        <f t="shared" si="109"/>
        <v>February</v>
      </c>
      <c r="AL394" s="12">
        <f t="shared" si="110"/>
        <v>2024</v>
      </c>
      <c r="AM394" s="6" t="s">
        <v>54</v>
      </c>
      <c r="AN394" s="6" t="s">
        <v>55</v>
      </c>
      <c r="AO394" s="6" t="str">
        <f t="shared" si="102"/>
        <v>Completed</v>
      </c>
    </row>
    <row r="395" spans="1:41">
      <c r="A395" s="6" t="s">
        <v>1968</v>
      </c>
      <c r="B395" s="7" t="s">
        <v>1969</v>
      </c>
      <c r="C395" s="8">
        <v>45527</v>
      </c>
      <c r="D395" s="7" t="s">
        <v>1970</v>
      </c>
      <c r="E395" s="9">
        <v>45533</v>
      </c>
      <c r="F395" s="9" t="str">
        <f t="shared" si="95"/>
        <v>Valid</v>
      </c>
      <c r="G395" s="10">
        <f t="shared" si="96"/>
        <v>6</v>
      </c>
      <c r="H395" s="10" t="str">
        <f t="shared" si="97"/>
        <v>Valid</v>
      </c>
      <c r="I395" s="6" t="s">
        <v>1971</v>
      </c>
      <c r="J395" s="6" t="s">
        <v>60</v>
      </c>
      <c r="K395" s="6" t="s">
        <v>60</v>
      </c>
      <c r="L395" s="6" t="s">
        <v>128</v>
      </c>
      <c r="M395" s="7" t="str">
        <f t="shared" si="98"/>
        <v>Corporate</v>
      </c>
      <c r="N395" s="6" t="s">
        <v>47</v>
      </c>
      <c r="O395" s="7" t="str">
        <f t="shared" si="99"/>
        <v>North</v>
      </c>
      <c r="P395" s="6" t="s">
        <v>194</v>
      </c>
      <c r="Q395" s="6" t="s">
        <v>195</v>
      </c>
      <c r="R395" s="6" t="s">
        <v>50</v>
      </c>
      <c r="S395" s="7" t="str">
        <f t="shared" si="100"/>
        <v>Office Supplies</v>
      </c>
      <c r="T395" s="6" t="s">
        <v>129</v>
      </c>
      <c r="U395" s="6" t="s">
        <v>1972</v>
      </c>
      <c r="V395" s="6" t="s">
        <v>68</v>
      </c>
      <c r="W395" s="7" t="str">
        <f t="shared" si="101"/>
        <v>Same Day</v>
      </c>
      <c r="X395" s="6">
        <v>2</v>
      </c>
      <c r="Y395" s="6">
        <v>1936.91</v>
      </c>
      <c r="Z395" s="6">
        <v>0.05</v>
      </c>
      <c r="AA395" s="6">
        <f t="shared" si="103"/>
        <v>0.05</v>
      </c>
      <c r="AB395" s="6" t="str">
        <f t="shared" si="104"/>
        <v>Valid</v>
      </c>
      <c r="AC395" s="6">
        <v>3680.13</v>
      </c>
      <c r="AD395" s="6" t="str">
        <f>IF(OR(AO395="Cancelled",AM395="Failed"),"Exclude from Completed Sales","Include in Completed Sales")</f>
        <v>Include in Completed Sales</v>
      </c>
      <c r="AE395" s="6">
        <f t="shared" si="105"/>
        <v>3680.1289999999999</v>
      </c>
      <c r="AF395" s="6" t="str">
        <f t="shared" si="106"/>
        <v/>
      </c>
      <c r="AG395" s="6">
        <v>2967.46</v>
      </c>
      <c r="AH395" s="6">
        <v>712.67</v>
      </c>
      <c r="AI395" s="6">
        <f t="shared" si="107"/>
        <v>712.66899999999987</v>
      </c>
      <c r="AJ395" s="11">
        <f t="shared" si="108"/>
        <v>0.19365326595888346</v>
      </c>
      <c r="AK395" s="11" t="str">
        <f t="shared" si="109"/>
        <v>August</v>
      </c>
      <c r="AL395" s="12">
        <f t="shared" si="110"/>
        <v>2024</v>
      </c>
      <c r="AM395" s="6" t="s">
        <v>54</v>
      </c>
      <c r="AN395" s="6" t="s">
        <v>55</v>
      </c>
      <c r="AO395" s="6" t="str">
        <f t="shared" si="102"/>
        <v>Completed</v>
      </c>
    </row>
    <row r="396" spans="1:41">
      <c r="A396" s="6" t="s">
        <v>1973</v>
      </c>
      <c r="B396" s="7" t="s">
        <v>1974</v>
      </c>
      <c r="C396" s="8">
        <v>45385</v>
      </c>
      <c r="D396" s="7" t="s">
        <v>1975</v>
      </c>
      <c r="E396" s="9">
        <v>45386</v>
      </c>
      <c r="F396" s="9" t="str">
        <f t="shared" si="95"/>
        <v>Valid</v>
      </c>
      <c r="G396" s="10">
        <f t="shared" si="96"/>
        <v>1</v>
      </c>
      <c r="H396" s="10" t="str">
        <f t="shared" si="97"/>
        <v>Valid</v>
      </c>
      <c r="I396" s="6" t="s">
        <v>1976</v>
      </c>
      <c r="J396" s="6" t="s">
        <v>386</v>
      </c>
      <c r="K396" s="6" t="s">
        <v>386</v>
      </c>
      <c r="L396" s="6" t="s">
        <v>46</v>
      </c>
      <c r="M396" s="7" t="str">
        <f t="shared" si="98"/>
        <v>Consumer</v>
      </c>
      <c r="N396" s="6" t="s">
        <v>93</v>
      </c>
      <c r="O396" s="7" t="str">
        <f t="shared" si="99"/>
        <v>West</v>
      </c>
      <c r="P396" s="6" t="s">
        <v>94</v>
      </c>
      <c r="Q396" s="6" t="s">
        <v>95</v>
      </c>
      <c r="R396" s="6" t="s">
        <v>65</v>
      </c>
      <c r="S396" s="7" t="str">
        <f t="shared" si="100"/>
        <v>Furniture</v>
      </c>
      <c r="T396" s="6" t="s">
        <v>85</v>
      </c>
      <c r="U396" s="6" t="s">
        <v>1977</v>
      </c>
      <c r="V396" s="6" t="s">
        <v>76</v>
      </c>
      <c r="W396" s="7" t="str">
        <f t="shared" si="101"/>
        <v>First Class</v>
      </c>
      <c r="X396" s="6">
        <v>7</v>
      </c>
      <c r="Y396" s="6">
        <v>3945.21</v>
      </c>
      <c r="Z396" s="6">
        <v>0</v>
      </c>
      <c r="AA396" s="6">
        <f t="shared" si="103"/>
        <v>0</v>
      </c>
      <c r="AB396" s="6" t="str">
        <f t="shared" si="104"/>
        <v>Valid</v>
      </c>
      <c r="AC396" s="6">
        <v>27616.47</v>
      </c>
      <c r="AD396" s="6" t="str">
        <f>IF(OR(AO396="Cancelled",AM396="Failed"),"Exclude from Completed Sales","Include in Completed Sales")</f>
        <v>Include in Completed Sales</v>
      </c>
      <c r="AE396" s="6">
        <f t="shared" si="105"/>
        <v>27616.47</v>
      </c>
      <c r="AF396" s="6" t="str">
        <f t="shared" si="106"/>
        <v/>
      </c>
      <c r="AG396" s="6">
        <v>21225.26</v>
      </c>
      <c r="AH396" s="6">
        <v>6391.21</v>
      </c>
      <c r="AI396" s="6">
        <f t="shared" si="107"/>
        <v>6391.2100000000028</v>
      </c>
      <c r="AJ396" s="11">
        <f t="shared" si="108"/>
        <v>0.23142747787823725</v>
      </c>
      <c r="AK396" s="11" t="str">
        <f t="shared" si="109"/>
        <v>April</v>
      </c>
      <c r="AL396" s="12">
        <f t="shared" si="110"/>
        <v>2024</v>
      </c>
      <c r="AM396" s="6" t="s">
        <v>54</v>
      </c>
      <c r="AN396" s="6" t="s">
        <v>55</v>
      </c>
      <c r="AO396" s="6" t="str">
        <f t="shared" si="102"/>
        <v>Completed</v>
      </c>
    </row>
    <row r="397" spans="1:41">
      <c r="A397" s="6" t="s">
        <v>1978</v>
      </c>
      <c r="B397" s="7" t="s">
        <v>1087</v>
      </c>
      <c r="C397" s="8">
        <v>45449</v>
      </c>
      <c r="D397" s="7" t="s">
        <v>1774</v>
      </c>
      <c r="E397" s="9">
        <v>45450</v>
      </c>
      <c r="F397" s="9" t="str">
        <f t="shared" si="95"/>
        <v>Valid</v>
      </c>
      <c r="G397" s="10">
        <f t="shared" si="96"/>
        <v>1</v>
      </c>
      <c r="H397" s="10" t="str">
        <f t="shared" si="97"/>
        <v>Valid</v>
      </c>
      <c r="I397" s="6" t="s">
        <v>1979</v>
      </c>
      <c r="J397" s="6" t="s">
        <v>168</v>
      </c>
      <c r="K397" s="6" t="s">
        <v>168</v>
      </c>
      <c r="L397" s="6" t="s">
        <v>135</v>
      </c>
      <c r="M397" s="7" t="str">
        <f t="shared" si="98"/>
        <v>Home Office</v>
      </c>
      <c r="N397" s="6" t="s">
        <v>82</v>
      </c>
      <c r="O397" s="7" t="str">
        <f t="shared" si="99"/>
        <v>South</v>
      </c>
      <c r="P397" s="6" t="s">
        <v>359</v>
      </c>
      <c r="Q397" s="6" t="s">
        <v>360</v>
      </c>
      <c r="R397" s="6" t="s">
        <v>65</v>
      </c>
      <c r="S397" s="7" t="str">
        <f t="shared" si="100"/>
        <v>Furniture</v>
      </c>
      <c r="T397" s="6" t="s">
        <v>66</v>
      </c>
      <c r="U397" s="6" t="s">
        <v>1980</v>
      </c>
      <c r="V397" s="6" t="s">
        <v>68</v>
      </c>
      <c r="W397" s="7" t="str">
        <f t="shared" si="101"/>
        <v>Same Day</v>
      </c>
      <c r="X397" s="6">
        <v>7</v>
      </c>
      <c r="Y397" s="6">
        <v>861.91</v>
      </c>
      <c r="Z397" s="6">
        <v>0.05</v>
      </c>
      <c r="AA397" s="6">
        <f t="shared" si="103"/>
        <v>0.05</v>
      </c>
      <c r="AB397" s="6" t="str">
        <f t="shared" si="104"/>
        <v>Valid</v>
      </c>
      <c r="AC397" s="6">
        <v>5731.7</v>
      </c>
      <c r="AD397" s="6" t="str">
        <f>IF(OR(AO397="Cancelled",AM397="Failed"),"Exclude from Completed Sales","Include in Completed Sales")</f>
        <v>Include in Completed Sales</v>
      </c>
      <c r="AE397" s="6">
        <f t="shared" si="105"/>
        <v>5731.7014999999992</v>
      </c>
      <c r="AF397" s="6" t="str">
        <f t="shared" si="106"/>
        <v/>
      </c>
      <c r="AG397" s="6">
        <v>4115.5600000000004</v>
      </c>
      <c r="AH397" s="6">
        <v>1616.14</v>
      </c>
      <c r="AI397" s="6">
        <f t="shared" si="107"/>
        <v>1616.1414999999988</v>
      </c>
      <c r="AJ397" s="11">
        <f t="shared" si="108"/>
        <v>0.28196539893084088</v>
      </c>
      <c r="AK397" s="11" t="str">
        <f t="shared" si="109"/>
        <v>June</v>
      </c>
      <c r="AL397" s="12">
        <f t="shared" si="110"/>
        <v>2024</v>
      </c>
      <c r="AM397" s="6" t="s">
        <v>54</v>
      </c>
      <c r="AN397" s="6" t="s">
        <v>55</v>
      </c>
      <c r="AO397" s="6" t="str">
        <f t="shared" si="102"/>
        <v>Completed</v>
      </c>
    </row>
    <row r="398" spans="1:41">
      <c r="A398" s="6" t="s">
        <v>1981</v>
      </c>
      <c r="B398" s="7" t="s">
        <v>1982</v>
      </c>
      <c r="C398" s="8">
        <v>45761</v>
      </c>
      <c r="D398" s="7" t="s">
        <v>1983</v>
      </c>
      <c r="E398" s="9">
        <v>45769</v>
      </c>
      <c r="F398" s="9" t="str">
        <f t="shared" si="95"/>
        <v>Valid</v>
      </c>
      <c r="G398" s="10">
        <f t="shared" si="96"/>
        <v>8</v>
      </c>
      <c r="H398" s="10" t="str">
        <f t="shared" si="97"/>
        <v>Valid</v>
      </c>
      <c r="I398" s="6" t="s">
        <v>1984</v>
      </c>
      <c r="J398" s="6" t="s">
        <v>127</v>
      </c>
      <c r="K398" s="6" t="s">
        <v>127</v>
      </c>
      <c r="L398" s="6" t="s">
        <v>61</v>
      </c>
      <c r="M398" s="7" t="str">
        <f t="shared" si="98"/>
        <v>Small Business</v>
      </c>
      <c r="N398" s="6" t="s">
        <v>82</v>
      </c>
      <c r="O398" s="7" t="str">
        <f t="shared" si="99"/>
        <v>South</v>
      </c>
      <c r="P398" s="6" t="s">
        <v>249</v>
      </c>
      <c r="Q398" s="6" t="s">
        <v>250</v>
      </c>
      <c r="R398" s="6" t="s">
        <v>106</v>
      </c>
      <c r="S398" s="7" t="str">
        <f t="shared" si="100"/>
        <v>Technology</v>
      </c>
      <c r="T398" s="6" t="s">
        <v>402</v>
      </c>
      <c r="U398" s="6" t="s">
        <v>1985</v>
      </c>
      <c r="V398" s="6" t="s">
        <v>87</v>
      </c>
      <c r="W398" s="7" t="str">
        <f t="shared" si="101"/>
        <v>Standard Class</v>
      </c>
      <c r="X398" s="6">
        <v>2</v>
      </c>
      <c r="Y398" s="6">
        <v>638.73</v>
      </c>
      <c r="Z398" s="6">
        <v>0.05</v>
      </c>
      <c r="AA398" s="6">
        <f t="shared" si="103"/>
        <v>0.05</v>
      </c>
      <c r="AB398" s="6" t="str">
        <f t="shared" si="104"/>
        <v>Valid</v>
      </c>
      <c r="AC398" s="6">
        <v>1213.5899999999999</v>
      </c>
      <c r="AD398" s="6" t="str">
        <f>IF(OR(AO398="Cancelled",AM398="Failed"),"Exclude from Completed Sales","Include in Completed Sales")</f>
        <v>Include in Completed Sales</v>
      </c>
      <c r="AE398" s="6">
        <f t="shared" si="105"/>
        <v>1213.587</v>
      </c>
      <c r="AF398" s="6" t="str">
        <f t="shared" si="106"/>
        <v/>
      </c>
      <c r="AG398" s="6">
        <v>956.22</v>
      </c>
      <c r="AH398" s="6">
        <v>257.37</v>
      </c>
      <c r="AI398" s="6">
        <f t="shared" si="107"/>
        <v>257.36699999999996</v>
      </c>
      <c r="AJ398" s="11">
        <f t="shared" si="108"/>
        <v>0.21207132245154239</v>
      </c>
      <c r="AK398" s="11" t="str">
        <f t="shared" si="109"/>
        <v>April</v>
      </c>
      <c r="AL398" s="12">
        <f t="shared" si="110"/>
        <v>2025</v>
      </c>
      <c r="AM398" s="6" t="s">
        <v>54</v>
      </c>
      <c r="AN398" s="6" t="s">
        <v>55</v>
      </c>
      <c r="AO398" s="6" t="str">
        <f t="shared" si="102"/>
        <v>Completed</v>
      </c>
    </row>
    <row r="399" spans="1:41">
      <c r="A399" s="6" t="s">
        <v>1986</v>
      </c>
      <c r="B399" s="7" t="s">
        <v>1987</v>
      </c>
      <c r="C399" s="8">
        <v>45817</v>
      </c>
      <c r="D399" s="7" t="s">
        <v>1988</v>
      </c>
      <c r="E399" s="9">
        <v>45818</v>
      </c>
      <c r="F399" s="9" t="str">
        <f t="shared" si="95"/>
        <v>Valid</v>
      </c>
      <c r="G399" s="10">
        <f t="shared" si="96"/>
        <v>1</v>
      </c>
      <c r="H399" s="10" t="str">
        <f t="shared" si="97"/>
        <v>Valid</v>
      </c>
      <c r="I399" s="6" t="s">
        <v>1989</v>
      </c>
      <c r="J399" s="6" t="s">
        <v>188</v>
      </c>
      <c r="K399" s="6" t="s">
        <v>188</v>
      </c>
      <c r="L399" s="6" t="s">
        <v>61</v>
      </c>
      <c r="M399" s="7" t="str">
        <f t="shared" si="98"/>
        <v>Small Business</v>
      </c>
      <c r="N399" s="6" t="s">
        <v>47</v>
      </c>
      <c r="O399" s="7" t="str">
        <f t="shared" si="99"/>
        <v>North</v>
      </c>
      <c r="P399" s="6" t="s">
        <v>194</v>
      </c>
      <c r="Q399" s="6" t="s">
        <v>195</v>
      </c>
      <c r="R399" s="6" t="s">
        <v>65</v>
      </c>
      <c r="S399" s="7" t="str">
        <f t="shared" si="100"/>
        <v>Furniture</v>
      </c>
      <c r="T399" s="6" t="s">
        <v>66</v>
      </c>
      <c r="U399" s="6" t="s">
        <v>1990</v>
      </c>
      <c r="V399" s="6" t="s">
        <v>53</v>
      </c>
      <c r="W399" s="7" t="str">
        <f t="shared" si="101"/>
        <v>Second Class</v>
      </c>
      <c r="X399" s="6">
        <v>2</v>
      </c>
      <c r="Y399" s="6">
        <v>1731.88</v>
      </c>
      <c r="Z399" s="6">
        <v>0</v>
      </c>
      <c r="AA399" s="6">
        <f t="shared" si="103"/>
        <v>0</v>
      </c>
      <c r="AB399" s="6" t="str">
        <f t="shared" si="104"/>
        <v>Valid</v>
      </c>
      <c r="AC399" s="6">
        <v>3463.76</v>
      </c>
      <c r="AD399" s="6" t="str">
        <f>IF(OR(AO399="Cancelled",AM399="Failed"),"Exclude from Completed Sales","Include in Completed Sales")</f>
        <v>Include in Completed Sales</v>
      </c>
      <c r="AE399" s="6">
        <f t="shared" si="105"/>
        <v>3463.76</v>
      </c>
      <c r="AF399" s="6" t="str">
        <f t="shared" si="106"/>
        <v/>
      </c>
      <c r="AG399" s="6">
        <v>2143.7399999999998</v>
      </c>
      <c r="AH399" s="6">
        <v>1320.02</v>
      </c>
      <c r="AI399" s="6">
        <f t="shared" si="107"/>
        <v>1320.0200000000004</v>
      </c>
      <c r="AJ399" s="11">
        <f t="shared" si="108"/>
        <v>0.38109453310852959</v>
      </c>
      <c r="AK399" s="11" t="str">
        <f t="shared" si="109"/>
        <v>June</v>
      </c>
      <c r="AL399" s="12">
        <f t="shared" si="110"/>
        <v>2025</v>
      </c>
      <c r="AM399" s="6" t="s">
        <v>54</v>
      </c>
      <c r="AN399" s="6" t="s">
        <v>55</v>
      </c>
      <c r="AO399" s="6" t="str">
        <f t="shared" si="102"/>
        <v>Completed</v>
      </c>
    </row>
    <row r="400" spans="1:41">
      <c r="A400" s="6" t="s">
        <v>1991</v>
      </c>
      <c r="B400" s="7" t="s">
        <v>1992</v>
      </c>
      <c r="C400" s="8">
        <v>45492</v>
      </c>
      <c r="D400" s="7" t="s">
        <v>1993</v>
      </c>
      <c r="E400" s="9">
        <v>45499</v>
      </c>
      <c r="F400" s="9" t="str">
        <f t="shared" si="95"/>
        <v>Valid</v>
      </c>
      <c r="G400" s="10">
        <f t="shared" si="96"/>
        <v>7</v>
      </c>
      <c r="H400" s="10" t="str">
        <f t="shared" si="97"/>
        <v>Valid</v>
      </c>
      <c r="I400" s="6" t="s">
        <v>1994</v>
      </c>
      <c r="J400" s="6" t="s">
        <v>103</v>
      </c>
      <c r="K400" s="6" t="s">
        <v>103</v>
      </c>
      <c r="L400" s="6" t="s">
        <v>128</v>
      </c>
      <c r="M400" s="7" t="str">
        <f t="shared" si="98"/>
        <v>Corporate</v>
      </c>
      <c r="N400" s="6" t="s">
        <v>47</v>
      </c>
      <c r="O400" s="7" t="str">
        <f t="shared" si="99"/>
        <v>North</v>
      </c>
      <c r="P400" s="6" t="s">
        <v>174</v>
      </c>
      <c r="Q400" s="6" t="s">
        <v>175</v>
      </c>
      <c r="R400" s="6" t="s">
        <v>106</v>
      </c>
      <c r="S400" s="7" t="str">
        <f t="shared" si="100"/>
        <v>Technology</v>
      </c>
      <c r="T400" s="6" t="s">
        <v>402</v>
      </c>
      <c r="U400" s="6" t="s">
        <v>1995</v>
      </c>
      <c r="V400" s="6" t="s">
        <v>68</v>
      </c>
      <c r="W400" s="7" t="str">
        <f t="shared" si="101"/>
        <v>Same Day</v>
      </c>
      <c r="X400" s="6">
        <v>2</v>
      </c>
      <c r="Y400" s="6">
        <v>1263.6500000000001</v>
      </c>
      <c r="Z400" s="6">
        <v>0.2</v>
      </c>
      <c r="AA400" s="6">
        <f t="shared" si="103"/>
        <v>0.2</v>
      </c>
      <c r="AB400" s="6" t="str">
        <f t="shared" si="104"/>
        <v>Valid</v>
      </c>
      <c r="AC400" s="6">
        <v>2021.84</v>
      </c>
      <c r="AD400" s="6" t="str">
        <f>IF(OR(AO400="Cancelled",AM400="Failed"),"Exclude from Completed Sales","Include in Completed Sales")</f>
        <v>Include in Completed Sales</v>
      </c>
      <c r="AE400" s="6">
        <f t="shared" si="105"/>
        <v>2021.8400000000001</v>
      </c>
      <c r="AF400" s="6" t="str">
        <f t="shared" si="106"/>
        <v/>
      </c>
      <c r="AG400" s="6">
        <v>1355.22</v>
      </c>
      <c r="AH400" s="6">
        <v>666.62</v>
      </c>
      <c r="AI400" s="6">
        <f t="shared" si="107"/>
        <v>666.62000000000012</v>
      </c>
      <c r="AJ400" s="11">
        <f t="shared" si="108"/>
        <v>0.32970957147944452</v>
      </c>
      <c r="AK400" s="11" t="str">
        <f t="shared" si="109"/>
        <v>July</v>
      </c>
      <c r="AL400" s="12">
        <f t="shared" si="110"/>
        <v>2024</v>
      </c>
      <c r="AM400" s="6" t="s">
        <v>54</v>
      </c>
      <c r="AN400" s="6" t="s">
        <v>55</v>
      </c>
      <c r="AO400" s="6" t="str">
        <f t="shared" si="102"/>
        <v>Completed</v>
      </c>
    </row>
    <row r="401" spans="1:41">
      <c r="A401" s="6" t="s">
        <v>1996</v>
      </c>
      <c r="B401" s="7" t="s">
        <v>1997</v>
      </c>
      <c r="C401" s="8">
        <v>45771</v>
      </c>
      <c r="D401" s="7" t="s">
        <v>1998</v>
      </c>
      <c r="E401" s="9">
        <v>45776</v>
      </c>
      <c r="F401" s="9" t="str">
        <f t="shared" si="95"/>
        <v>Valid</v>
      </c>
      <c r="G401" s="10">
        <f t="shared" si="96"/>
        <v>5</v>
      </c>
      <c r="H401" s="10" t="str">
        <f t="shared" si="97"/>
        <v>Valid</v>
      </c>
      <c r="I401" s="6" t="s">
        <v>1999</v>
      </c>
      <c r="J401" s="6" t="s">
        <v>230</v>
      </c>
      <c r="K401" s="6" t="s">
        <v>230</v>
      </c>
      <c r="L401" s="6" t="s">
        <v>61</v>
      </c>
      <c r="M401" s="7" t="str">
        <f t="shared" si="98"/>
        <v>Small Business</v>
      </c>
      <c r="N401" s="6" t="s">
        <v>82</v>
      </c>
      <c r="O401" s="7" t="str">
        <f t="shared" si="99"/>
        <v>South</v>
      </c>
      <c r="P401" s="6" t="s">
        <v>120</v>
      </c>
      <c r="Q401" s="6" t="s">
        <v>121</v>
      </c>
      <c r="R401" s="6" t="s">
        <v>50</v>
      </c>
      <c r="S401" s="7" t="str">
        <f t="shared" si="100"/>
        <v>Office Supplies</v>
      </c>
      <c r="T401" s="6" t="s">
        <v>51</v>
      </c>
      <c r="U401" s="6" t="s">
        <v>2000</v>
      </c>
      <c r="V401" s="6" t="s">
        <v>68</v>
      </c>
      <c r="W401" s="7" t="str">
        <f t="shared" si="101"/>
        <v>Same Day</v>
      </c>
      <c r="X401" s="6">
        <v>1</v>
      </c>
      <c r="Y401" s="6">
        <v>4358.5</v>
      </c>
      <c r="Z401" s="6">
        <v>0.25</v>
      </c>
      <c r="AA401" s="6">
        <f t="shared" si="103"/>
        <v>0.25</v>
      </c>
      <c r="AB401" s="6" t="str">
        <f t="shared" si="104"/>
        <v>Valid</v>
      </c>
      <c r="AC401" s="6">
        <v>3268.88</v>
      </c>
      <c r="AD401" s="6" t="str">
        <f>IF(OR(AO401="Cancelled",AM401="Failed"),"Exclude from Completed Sales","Include in Completed Sales")</f>
        <v>Include in Completed Sales</v>
      </c>
      <c r="AE401" s="6">
        <f t="shared" si="105"/>
        <v>3268.875</v>
      </c>
      <c r="AF401" s="6" t="str">
        <f t="shared" si="106"/>
        <v/>
      </c>
      <c r="AG401" s="6">
        <v>1993.74</v>
      </c>
      <c r="AH401" s="6">
        <v>1275.1400000000001</v>
      </c>
      <c r="AI401" s="6">
        <f t="shared" si="107"/>
        <v>1275.135</v>
      </c>
      <c r="AJ401" s="11">
        <f t="shared" si="108"/>
        <v>0.39008374440747962</v>
      </c>
      <c r="AK401" s="11" t="str">
        <f t="shared" si="109"/>
        <v>April</v>
      </c>
      <c r="AL401" s="12">
        <f t="shared" si="110"/>
        <v>2025</v>
      </c>
      <c r="AM401" s="6" t="s">
        <v>54</v>
      </c>
      <c r="AN401" s="6" t="s">
        <v>55</v>
      </c>
      <c r="AO401" s="6" t="str">
        <f t="shared" si="102"/>
        <v>Completed</v>
      </c>
    </row>
    <row r="402" spans="1:41">
      <c r="A402" s="6" t="s">
        <v>2001</v>
      </c>
      <c r="B402" s="7" t="s">
        <v>2002</v>
      </c>
      <c r="C402" s="8">
        <v>45814</v>
      </c>
      <c r="D402" s="7" t="s">
        <v>2003</v>
      </c>
      <c r="E402" s="9">
        <v>45819</v>
      </c>
      <c r="F402" s="9" t="str">
        <f t="shared" si="95"/>
        <v>Valid</v>
      </c>
      <c r="G402" s="10">
        <f t="shared" si="96"/>
        <v>5</v>
      </c>
      <c r="H402" s="10" t="str">
        <f t="shared" si="97"/>
        <v>Valid</v>
      </c>
      <c r="I402" s="6" t="s">
        <v>2004</v>
      </c>
      <c r="J402" s="6" t="s">
        <v>188</v>
      </c>
      <c r="K402" s="6" t="s">
        <v>188</v>
      </c>
      <c r="L402" s="6" t="s">
        <v>61</v>
      </c>
      <c r="M402" s="7" t="str">
        <f t="shared" si="98"/>
        <v>Small Business</v>
      </c>
      <c r="N402" s="6" t="s">
        <v>47</v>
      </c>
      <c r="O402" s="7" t="str">
        <f t="shared" si="99"/>
        <v>North</v>
      </c>
      <c r="P402" s="6" t="s">
        <v>194</v>
      </c>
      <c r="Q402" s="6" t="s">
        <v>195</v>
      </c>
      <c r="R402" s="6" t="s">
        <v>50</v>
      </c>
      <c r="S402" s="7" t="str">
        <f t="shared" si="100"/>
        <v>Office Supplies</v>
      </c>
      <c r="T402" s="6" t="s">
        <v>51</v>
      </c>
      <c r="U402" s="6" t="s">
        <v>2005</v>
      </c>
      <c r="V402" s="6" t="s">
        <v>68</v>
      </c>
      <c r="W402" s="7" t="str">
        <f t="shared" si="101"/>
        <v>Same Day</v>
      </c>
      <c r="X402" s="6">
        <v>7</v>
      </c>
      <c r="Y402" s="6">
        <v>878.09</v>
      </c>
      <c r="Z402" s="6">
        <v>-0.1</v>
      </c>
      <c r="AA402" s="6">
        <f t="shared" si="103"/>
        <v>-0.1</v>
      </c>
      <c r="AB402" s="6" t="str">
        <f t="shared" si="104"/>
        <v>Invalid - Negative Discount</v>
      </c>
      <c r="AC402" s="6">
        <v>5839.3</v>
      </c>
      <c r="AD402" s="6" t="str">
        <f>IF(OR(AO402="Cancelled",AM402="Failed"),"Exclude from Completed Sales","Include in Completed Sales")</f>
        <v>Include in Completed Sales</v>
      </c>
      <c r="AE402" s="6">
        <f t="shared" si="105"/>
        <v>6761.2930000000006</v>
      </c>
      <c r="AF402" s="6" t="str">
        <f t="shared" si="106"/>
        <v/>
      </c>
      <c r="AG402" s="6">
        <v>4877.38</v>
      </c>
      <c r="AH402" s="6">
        <v>961.92</v>
      </c>
      <c r="AI402" s="6">
        <f t="shared" si="107"/>
        <v>1883.9130000000005</v>
      </c>
      <c r="AJ402" s="11">
        <f t="shared" si="108"/>
        <v>0.27863206046535777</v>
      </c>
      <c r="AK402" s="11" t="str">
        <f t="shared" si="109"/>
        <v>June</v>
      </c>
      <c r="AL402" s="12">
        <f t="shared" si="110"/>
        <v>2025</v>
      </c>
      <c r="AM402" s="6" t="s">
        <v>54</v>
      </c>
      <c r="AN402" s="6" t="s">
        <v>55</v>
      </c>
      <c r="AO402" s="6" t="str">
        <f t="shared" si="102"/>
        <v>Completed</v>
      </c>
    </row>
    <row r="403" spans="1:41">
      <c r="A403" s="6" t="s">
        <v>2006</v>
      </c>
      <c r="B403" s="7" t="s">
        <v>2007</v>
      </c>
      <c r="C403" s="8">
        <v>45725</v>
      </c>
      <c r="D403" s="7" t="s">
        <v>2008</v>
      </c>
      <c r="E403" s="9">
        <v>45732</v>
      </c>
      <c r="F403" s="9" t="str">
        <f t="shared" si="95"/>
        <v>Valid</v>
      </c>
      <c r="G403" s="10">
        <f t="shared" si="96"/>
        <v>7</v>
      </c>
      <c r="H403" s="10" t="str">
        <f t="shared" si="97"/>
        <v>Valid</v>
      </c>
      <c r="I403" s="6" t="s">
        <v>2009</v>
      </c>
      <c r="J403" s="6" t="s">
        <v>81</v>
      </c>
      <c r="K403" s="6" t="s">
        <v>81</v>
      </c>
      <c r="L403" s="6" t="s">
        <v>61</v>
      </c>
      <c r="M403" s="7" t="str">
        <f t="shared" si="98"/>
        <v>Small Business</v>
      </c>
      <c r="N403" s="6" t="s">
        <v>62</v>
      </c>
      <c r="O403" s="7" t="str">
        <f t="shared" si="99"/>
        <v>East</v>
      </c>
      <c r="P403" s="6" t="s">
        <v>331</v>
      </c>
      <c r="Q403" s="6" t="s">
        <v>332</v>
      </c>
      <c r="R403" s="6" t="s">
        <v>65</v>
      </c>
      <c r="S403" s="7" t="str">
        <f t="shared" si="100"/>
        <v>Furniture</v>
      </c>
      <c r="T403" s="6" t="s">
        <v>66</v>
      </c>
      <c r="U403" s="6" t="s">
        <v>2010</v>
      </c>
      <c r="V403" s="6" t="s">
        <v>68</v>
      </c>
      <c r="W403" s="7" t="str">
        <f t="shared" si="101"/>
        <v>Same Day</v>
      </c>
      <c r="X403" s="6">
        <v>3</v>
      </c>
      <c r="Y403" s="6">
        <v>2625.85</v>
      </c>
      <c r="Z403" s="6">
        <v>0</v>
      </c>
      <c r="AA403" s="6">
        <f t="shared" si="103"/>
        <v>0</v>
      </c>
      <c r="AB403" s="6" t="str">
        <f t="shared" si="104"/>
        <v>Valid</v>
      </c>
      <c r="AC403" s="6">
        <v>7877.55</v>
      </c>
      <c r="AD403" s="6" t="str">
        <f>IF(OR(AO403="Cancelled",AM403="Failed"),"Exclude from Completed Sales","Include in Completed Sales")</f>
        <v>Include in Completed Sales</v>
      </c>
      <c r="AE403" s="6">
        <f t="shared" si="105"/>
        <v>7877.5499999999993</v>
      </c>
      <c r="AF403" s="6" t="str">
        <f t="shared" si="106"/>
        <v/>
      </c>
      <c r="AG403" s="6">
        <v>5562.77</v>
      </c>
      <c r="AH403" s="6">
        <v>2314.7800000000002</v>
      </c>
      <c r="AI403" s="6">
        <f t="shared" si="107"/>
        <v>2314.7799999999988</v>
      </c>
      <c r="AJ403" s="11">
        <f t="shared" si="108"/>
        <v>0.29384516759652418</v>
      </c>
      <c r="AK403" s="11" t="str">
        <f t="shared" si="109"/>
        <v>March</v>
      </c>
      <c r="AL403" s="12">
        <f t="shared" si="110"/>
        <v>2025</v>
      </c>
      <c r="AM403" s="6" t="s">
        <v>54</v>
      </c>
      <c r="AN403" s="6" t="s">
        <v>55</v>
      </c>
      <c r="AO403" s="6" t="str">
        <f t="shared" si="102"/>
        <v>Completed</v>
      </c>
    </row>
    <row r="404" spans="1:41">
      <c r="A404" s="6" t="s">
        <v>2011</v>
      </c>
      <c r="B404" s="7" t="s">
        <v>2012</v>
      </c>
      <c r="C404" s="8">
        <v>45373</v>
      </c>
      <c r="D404" s="7" t="s">
        <v>2013</v>
      </c>
      <c r="E404" s="9">
        <v>45373</v>
      </c>
      <c r="F404" s="9" t="str">
        <f t="shared" si="95"/>
        <v>Valid</v>
      </c>
      <c r="G404" s="10">
        <f t="shared" si="96"/>
        <v>0</v>
      </c>
      <c r="H404" s="10" t="str">
        <f t="shared" si="97"/>
        <v>Valid</v>
      </c>
      <c r="I404" s="6" t="s">
        <v>2014</v>
      </c>
      <c r="J404" s="6" t="s">
        <v>162</v>
      </c>
      <c r="K404" s="6" t="s">
        <v>162</v>
      </c>
      <c r="L404" s="6" t="s">
        <v>61</v>
      </c>
      <c r="M404" s="7" t="str">
        <f t="shared" si="98"/>
        <v>Small Business</v>
      </c>
      <c r="N404" s="6" t="s">
        <v>82</v>
      </c>
      <c r="O404" s="7" t="str">
        <f t="shared" si="99"/>
        <v>South</v>
      </c>
      <c r="P404" s="6" t="s">
        <v>249</v>
      </c>
      <c r="Q404" s="6" t="s">
        <v>250</v>
      </c>
      <c r="R404" s="6" t="s">
        <v>65</v>
      </c>
      <c r="S404" s="7" t="str">
        <f t="shared" si="100"/>
        <v>Furniture</v>
      </c>
      <c r="T404" s="6" t="s">
        <v>66</v>
      </c>
      <c r="U404" s="6" t="s">
        <v>2015</v>
      </c>
      <c r="V404" s="6"/>
      <c r="W404" s="7" t="str">
        <f t="shared" si="101"/>
        <v>Unknown</v>
      </c>
      <c r="X404" s="6">
        <v>3</v>
      </c>
      <c r="Y404" s="6">
        <v>1365.26</v>
      </c>
      <c r="Z404" s="6">
        <v>0</v>
      </c>
      <c r="AA404" s="6">
        <f t="shared" si="103"/>
        <v>0</v>
      </c>
      <c r="AB404" s="6" t="str">
        <f t="shared" si="104"/>
        <v>Valid</v>
      </c>
      <c r="AC404" s="6">
        <v>4095.78</v>
      </c>
      <c r="AD404" s="6" t="str">
        <f>IF(OR(AO404="Cancelled",AM404="Failed"),"Exclude from Completed Sales","Include in Completed Sales")</f>
        <v>Include in Completed Sales</v>
      </c>
      <c r="AE404" s="6">
        <f t="shared" si="105"/>
        <v>4095.7799999999997</v>
      </c>
      <c r="AF404" s="6" t="str">
        <f t="shared" si="106"/>
        <v/>
      </c>
      <c r="AG404" s="6">
        <v>2807.77</v>
      </c>
      <c r="AH404" s="6">
        <v>1288.01</v>
      </c>
      <c r="AI404" s="6">
        <f t="shared" si="107"/>
        <v>1288.0099999999998</v>
      </c>
      <c r="AJ404" s="11">
        <f t="shared" si="108"/>
        <v>0.31447245701673426</v>
      </c>
      <c r="AK404" s="11" t="str">
        <f t="shared" si="109"/>
        <v>March</v>
      </c>
      <c r="AL404" s="12">
        <f t="shared" si="110"/>
        <v>2024</v>
      </c>
      <c r="AM404" s="6" t="s">
        <v>54</v>
      </c>
      <c r="AN404" s="6" t="s">
        <v>55</v>
      </c>
      <c r="AO404" s="6" t="str">
        <f t="shared" si="102"/>
        <v>Completed</v>
      </c>
    </row>
    <row r="405" spans="1:41">
      <c r="A405" s="6" t="s">
        <v>2016</v>
      </c>
      <c r="B405" s="7" t="s">
        <v>2017</v>
      </c>
      <c r="C405" s="8">
        <v>45565</v>
      </c>
      <c r="D405" s="7" t="s">
        <v>2018</v>
      </c>
      <c r="E405" s="9">
        <v>45569</v>
      </c>
      <c r="F405" s="9" t="str">
        <f t="shared" si="95"/>
        <v>Valid</v>
      </c>
      <c r="G405" s="10">
        <f t="shared" si="96"/>
        <v>4</v>
      </c>
      <c r="H405" s="10" t="str">
        <f t="shared" si="97"/>
        <v>Valid</v>
      </c>
      <c r="I405" s="6" t="s">
        <v>2019</v>
      </c>
      <c r="J405" s="6" t="s">
        <v>81</v>
      </c>
      <c r="K405" s="6" t="s">
        <v>81</v>
      </c>
      <c r="L405" s="6" t="s">
        <v>61</v>
      </c>
      <c r="M405" s="7" t="str">
        <f t="shared" si="98"/>
        <v>Small Business</v>
      </c>
      <c r="N405" s="6" t="s">
        <v>82</v>
      </c>
      <c r="O405" s="7" t="str">
        <f t="shared" si="99"/>
        <v>South</v>
      </c>
      <c r="P405" s="6" t="s">
        <v>262</v>
      </c>
      <c r="Q405" s="6" t="s">
        <v>263</v>
      </c>
      <c r="R405" s="6" t="s">
        <v>50</v>
      </c>
      <c r="S405" s="7" t="str">
        <f t="shared" si="100"/>
        <v>Office Supplies</v>
      </c>
      <c r="T405" s="6" t="s">
        <v>2020</v>
      </c>
      <c r="U405" s="6" t="s">
        <v>2021</v>
      </c>
      <c r="V405" s="6" t="s">
        <v>68</v>
      </c>
      <c r="W405" s="7" t="str">
        <f t="shared" si="101"/>
        <v>Same Day</v>
      </c>
      <c r="X405" s="6">
        <v>5</v>
      </c>
      <c r="Y405" s="6">
        <v>3512.25</v>
      </c>
      <c r="Z405" s="6">
        <v>0.05</v>
      </c>
      <c r="AA405" s="6">
        <f t="shared" si="103"/>
        <v>0.05</v>
      </c>
      <c r="AB405" s="6" t="str">
        <f t="shared" si="104"/>
        <v>Valid</v>
      </c>
      <c r="AC405" s="6">
        <v>16683.189999999999</v>
      </c>
      <c r="AD405" s="6" t="str">
        <f>IF(OR(AO405="Cancelled",AM405="Failed"),"Exclude from Completed Sales","Include in Completed Sales")</f>
        <v>Include in Completed Sales</v>
      </c>
      <c r="AE405" s="6">
        <f t="shared" si="105"/>
        <v>16683.1875</v>
      </c>
      <c r="AF405" s="6" t="str">
        <f t="shared" si="106"/>
        <v/>
      </c>
      <c r="AG405" s="6">
        <v>10301.16</v>
      </c>
      <c r="AH405" s="6">
        <v>6382.03</v>
      </c>
      <c r="AI405" s="6">
        <f t="shared" si="107"/>
        <v>6382.0275000000001</v>
      </c>
      <c r="AJ405" s="11">
        <f t="shared" si="108"/>
        <v>0.38254245479168775</v>
      </c>
      <c r="AK405" s="11" t="str">
        <f t="shared" si="109"/>
        <v>September</v>
      </c>
      <c r="AL405" s="12">
        <f t="shared" si="110"/>
        <v>2024</v>
      </c>
      <c r="AM405" s="6" t="s">
        <v>54</v>
      </c>
      <c r="AN405" s="6" t="s">
        <v>145</v>
      </c>
      <c r="AO405" s="6" t="str">
        <f t="shared" si="102"/>
        <v>Returned</v>
      </c>
    </row>
    <row r="406" spans="1:41">
      <c r="A406" s="6" t="s">
        <v>2022</v>
      </c>
      <c r="B406" s="7" t="s">
        <v>2023</v>
      </c>
      <c r="C406" s="8">
        <v>45318</v>
      </c>
      <c r="D406" s="7" t="s">
        <v>2024</v>
      </c>
      <c r="E406" s="9">
        <v>45325</v>
      </c>
      <c r="F406" s="9" t="str">
        <f t="shared" si="95"/>
        <v>Valid</v>
      </c>
      <c r="G406" s="10">
        <f t="shared" si="96"/>
        <v>7</v>
      </c>
      <c r="H406" s="10" t="str">
        <f t="shared" si="97"/>
        <v>Valid</v>
      </c>
      <c r="I406" s="6" t="s">
        <v>2025</v>
      </c>
      <c r="J406" s="6" t="s">
        <v>127</v>
      </c>
      <c r="K406" s="6" t="s">
        <v>127</v>
      </c>
      <c r="L406" s="6" t="s">
        <v>128</v>
      </c>
      <c r="M406" s="7" t="str">
        <f t="shared" si="98"/>
        <v>Corporate</v>
      </c>
      <c r="N406" s="6" t="s">
        <v>93</v>
      </c>
      <c r="O406" s="7" t="str">
        <f t="shared" si="99"/>
        <v>West</v>
      </c>
      <c r="P406" s="6" t="s">
        <v>48</v>
      </c>
      <c r="Q406" s="6" t="s">
        <v>155</v>
      </c>
      <c r="R406" s="6" t="s">
        <v>65</v>
      </c>
      <c r="S406" s="7" t="str">
        <f t="shared" si="100"/>
        <v>Furniture</v>
      </c>
      <c r="T406" s="6" t="s">
        <v>96</v>
      </c>
      <c r="U406" s="6" t="s">
        <v>2026</v>
      </c>
      <c r="V406" s="6" t="s">
        <v>68</v>
      </c>
      <c r="W406" s="7" t="str">
        <f t="shared" si="101"/>
        <v>Same Day</v>
      </c>
      <c r="X406" s="6">
        <v>3</v>
      </c>
      <c r="Y406" s="6">
        <v>359.61</v>
      </c>
      <c r="Z406" s="6">
        <v>0</v>
      </c>
      <c r="AA406" s="6">
        <f t="shared" si="103"/>
        <v>0</v>
      </c>
      <c r="AB406" s="6" t="str">
        <f t="shared" si="104"/>
        <v>Valid</v>
      </c>
      <c r="AC406" s="6">
        <v>1078.83</v>
      </c>
      <c r="AD406" s="6" t="str">
        <f>IF(OR(AO406="Cancelled",AM406="Failed"),"Exclude from Completed Sales","Include in Completed Sales")</f>
        <v>Include in Completed Sales</v>
      </c>
      <c r="AE406" s="6">
        <f t="shared" si="105"/>
        <v>1078.83</v>
      </c>
      <c r="AF406" s="6" t="str">
        <f t="shared" si="106"/>
        <v/>
      </c>
      <c r="AG406" s="6">
        <v>926.35</v>
      </c>
      <c r="AH406" s="6">
        <v>152.47999999999999</v>
      </c>
      <c r="AI406" s="6">
        <f t="shared" si="107"/>
        <v>152.4799999999999</v>
      </c>
      <c r="AJ406" s="11">
        <f t="shared" si="108"/>
        <v>0.14133830167867034</v>
      </c>
      <c r="AK406" s="11" t="str">
        <f t="shared" si="109"/>
        <v>January</v>
      </c>
      <c r="AL406" s="12">
        <f t="shared" si="110"/>
        <v>2024</v>
      </c>
      <c r="AM406" s="6" t="s">
        <v>54</v>
      </c>
      <c r="AN406" s="6" t="s">
        <v>55</v>
      </c>
      <c r="AO406" s="6" t="str">
        <f t="shared" si="102"/>
        <v>Completed</v>
      </c>
    </row>
    <row r="407" spans="1:41">
      <c r="A407" s="6" t="s">
        <v>2027</v>
      </c>
      <c r="B407" s="7" t="s">
        <v>2028</v>
      </c>
      <c r="C407" s="8">
        <v>45558</v>
      </c>
      <c r="D407" s="7" t="s">
        <v>2029</v>
      </c>
      <c r="E407" s="9">
        <v>45559</v>
      </c>
      <c r="F407" s="9" t="str">
        <f t="shared" si="95"/>
        <v>Valid</v>
      </c>
      <c r="G407" s="10">
        <f t="shared" si="96"/>
        <v>1</v>
      </c>
      <c r="H407" s="10" t="str">
        <f t="shared" si="97"/>
        <v>Valid</v>
      </c>
      <c r="I407" s="6" t="s">
        <v>2030</v>
      </c>
      <c r="J407" s="6" t="s">
        <v>127</v>
      </c>
      <c r="K407" s="6" t="s">
        <v>127</v>
      </c>
      <c r="L407" s="6" t="s">
        <v>135</v>
      </c>
      <c r="M407" s="7" t="str">
        <f t="shared" si="98"/>
        <v>Home Office</v>
      </c>
      <c r="N407" s="6" t="s">
        <v>93</v>
      </c>
      <c r="O407" s="7" t="str">
        <f t="shared" si="99"/>
        <v>West</v>
      </c>
      <c r="P407" s="6" t="s">
        <v>255</v>
      </c>
      <c r="Q407" s="6" t="s">
        <v>256</v>
      </c>
      <c r="R407" s="6" t="s">
        <v>65</v>
      </c>
      <c r="S407" s="7" t="str">
        <f t="shared" si="100"/>
        <v>Furniture</v>
      </c>
      <c r="T407" s="6" t="s">
        <v>224</v>
      </c>
      <c r="U407" s="6" t="s">
        <v>2031</v>
      </c>
      <c r="V407" s="6"/>
      <c r="W407" s="7" t="str">
        <f t="shared" si="101"/>
        <v>Unknown</v>
      </c>
      <c r="X407" s="6">
        <v>7</v>
      </c>
      <c r="Y407" s="6">
        <v>3878.01</v>
      </c>
      <c r="Z407" s="6">
        <v>0.1</v>
      </c>
      <c r="AA407" s="6">
        <f t="shared" si="103"/>
        <v>0.1</v>
      </c>
      <c r="AB407" s="6" t="str">
        <f t="shared" si="104"/>
        <v>Valid</v>
      </c>
      <c r="AC407" s="6">
        <v>24431.46</v>
      </c>
      <c r="AD407" s="6" t="str">
        <f>IF(OR(AO407="Cancelled",AM407="Failed"),"Exclude from Completed Sales","Include in Completed Sales")</f>
        <v>Include in Completed Sales</v>
      </c>
      <c r="AE407" s="6">
        <f t="shared" si="105"/>
        <v>24431.463</v>
      </c>
      <c r="AF407" s="6" t="str">
        <f t="shared" si="106"/>
        <v/>
      </c>
      <c r="AG407" s="6">
        <v>18202.36</v>
      </c>
      <c r="AH407" s="6">
        <v>6229.1</v>
      </c>
      <c r="AI407" s="6">
        <f t="shared" si="107"/>
        <v>6229.1029999999992</v>
      </c>
      <c r="AJ407" s="11">
        <f t="shared" si="108"/>
        <v>0.25496234097810677</v>
      </c>
      <c r="AK407" s="11" t="str">
        <f t="shared" si="109"/>
        <v>September</v>
      </c>
      <c r="AL407" s="12">
        <f t="shared" si="110"/>
        <v>2024</v>
      </c>
      <c r="AM407" s="6" t="s">
        <v>54</v>
      </c>
      <c r="AN407" s="6" t="s">
        <v>55</v>
      </c>
      <c r="AO407" s="6" t="str">
        <f t="shared" si="102"/>
        <v>Completed</v>
      </c>
    </row>
    <row r="408" spans="1:41">
      <c r="A408" s="6" t="s">
        <v>2032</v>
      </c>
      <c r="B408" s="7" t="s">
        <v>2033</v>
      </c>
      <c r="C408" s="8">
        <v>45713</v>
      </c>
      <c r="D408" s="7" t="s">
        <v>2033</v>
      </c>
      <c r="E408" s="9">
        <v>45713</v>
      </c>
      <c r="F408" s="9" t="str">
        <f t="shared" si="95"/>
        <v>Valid</v>
      </c>
      <c r="G408" s="10">
        <f t="shared" si="96"/>
        <v>0</v>
      </c>
      <c r="H408" s="10" t="str">
        <f t="shared" si="97"/>
        <v>Valid</v>
      </c>
      <c r="I408" s="6" t="s">
        <v>2034</v>
      </c>
      <c r="J408" s="6" t="s">
        <v>386</v>
      </c>
      <c r="K408" s="6" t="s">
        <v>386</v>
      </c>
      <c r="L408" s="6" t="s">
        <v>61</v>
      </c>
      <c r="M408" s="7" t="str">
        <f t="shared" si="98"/>
        <v>Small Business</v>
      </c>
      <c r="N408" s="6" t="s">
        <v>93</v>
      </c>
      <c r="O408" s="7" t="str">
        <f t="shared" si="99"/>
        <v>West</v>
      </c>
      <c r="P408" s="6" t="s">
        <v>269</v>
      </c>
      <c r="Q408" s="6" t="s">
        <v>270</v>
      </c>
      <c r="R408" s="6" t="s">
        <v>65</v>
      </c>
      <c r="S408" s="7" t="str">
        <f t="shared" si="100"/>
        <v>Furniture</v>
      </c>
      <c r="T408" s="6" t="s">
        <v>85</v>
      </c>
      <c r="U408" s="6" t="s">
        <v>2035</v>
      </c>
      <c r="V408" s="6" t="s">
        <v>87</v>
      </c>
      <c r="W408" s="7" t="str">
        <f t="shared" si="101"/>
        <v>Standard Class</v>
      </c>
      <c r="X408" s="6">
        <v>2</v>
      </c>
      <c r="Y408" s="6">
        <v>3924.2</v>
      </c>
      <c r="Z408" s="6">
        <v>0.25</v>
      </c>
      <c r="AA408" s="6">
        <f t="shared" si="103"/>
        <v>0.25</v>
      </c>
      <c r="AB408" s="6" t="str">
        <f t="shared" si="104"/>
        <v>Valid</v>
      </c>
      <c r="AC408" s="6">
        <v>5886.3</v>
      </c>
      <c r="AD408" s="6" t="str">
        <f>IF(OR(AO408="Cancelled",AM408="Failed"),"Exclude from Completed Sales","Include in Completed Sales")</f>
        <v>Include in Completed Sales</v>
      </c>
      <c r="AE408" s="6">
        <f t="shared" si="105"/>
        <v>5886.2999999999993</v>
      </c>
      <c r="AF408" s="6" t="str">
        <f t="shared" si="106"/>
        <v/>
      </c>
      <c r="AG408" s="6">
        <v>3621.76</v>
      </c>
      <c r="AH408" s="6">
        <v>2264.54</v>
      </c>
      <c r="AI408" s="6">
        <f t="shared" si="107"/>
        <v>2264.5399999999991</v>
      </c>
      <c r="AJ408" s="11">
        <f t="shared" si="108"/>
        <v>0.38471365713606159</v>
      </c>
      <c r="AK408" s="11" t="str">
        <f t="shared" si="109"/>
        <v>February</v>
      </c>
      <c r="AL408" s="12">
        <f t="shared" si="110"/>
        <v>2025</v>
      </c>
      <c r="AM408" s="6" t="s">
        <v>157</v>
      </c>
      <c r="AN408" s="6" t="s">
        <v>145</v>
      </c>
      <c r="AO408" s="6" t="str">
        <f t="shared" si="102"/>
        <v>Returned</v>
      </c>
    </row>
    <row r="409" spans="1:41">
      <c r="A409" s="6" t="s">
        <v>2036</v>
      </c>
      <c r="B409" s="7" t="s">
        <v>2037</v>
      </c>
      <c r="C409" s="8">
        <v>45424</v>
      </c>
      <c r="D409" s="7" t="s">
        <v>2038</v>
      </c>
      <c r="E409" s="9">
        <v>45425</v>
      </c>
      <c r="F409" s="9" t="str">
        <f t="shared" si="95"/>
        <v>Valid</v>
      </c>
      <c r="G409" s="10">
        <f t="shared" si="96"/>
        <v>1</v>
      </c>
      <c r="H409" s="10" t="str">
        <f t="shared" si="97"/>
        <v>Valid</v>
      </c>
      <c r="I409" s="6" t="s">
        <v>2039</v>
      </c>
      <c r="J409" s="6" t="s">
        <v>168</v>
      </c>
      <c r="K409" s="6" t="s">
        <v>168</v>
      </c>
      <c r="L409" s="6" t="s">
        <v>128</v>
      </c>
      <c r="M409" s="7" t="str">
        <f t="shared" si="98"/>
        <v>Corporate</v>
      </c>
      <c r="N409" s="6" t="s">
        <v>93</v>
      </c>
      <c r="O409" s="7" t="str">
        <f t="shared" si="99"/>
        <v>West</v>
      </c>
      <c r="P409" s="6" t="s">
        <v>269</v>
      </c>
      <c r="Q409" s="6" t="s">
        <v>270</v>
      </c>
      <c r="R409" s="6" t="s">
        <v>50</v>
      </c>
      <c r="S409" s="7" t="str">
        <f t="shared" si="100"/>
        <v>Office Supplies</v>
      </c>
      <c r="T409" s="6" t="s">
        <v>129</v>
      </c>
      <c r="U409" s="6" t="s">
        <v>2040</v>
      </c>
      <c r="V409" s="6" t="s">
        <v>53</v>
      </c>
      <c r="W409" s="7" t="str">
        <f t="shared" si="101"/>
        <v>Second Class</v>
      </c>
      <c r="X409" s="6">
        <v>3</v>
      </c>
      <c r="Y409" s="6">
        <v>2644.55</v>
      </c>
      <c r="Z409" s="6">
        <v>0</v>
      </c>
      <c r="AA409" s="6">
        <f t="shared" si="103"/>
        <v>0</v>
      </c>
      <c r="AB409" s="6" t="str">
        <f t="shared" si="104"/>
        <v>Valid</v>
      </c>
      <c r="AC409" s="6">
        <v>7933.65</v>
      </c>
      <c r="AD409" s="6" t="str">
        <f>IF(OR(AO409="Cancelled",AM409="Failed"),"Exclude from Completed Sales","Include in Completed Sales")</f>
        <v>Include in Completed Sales</v>
      </c>
      <c r="AE409" s="6">
        <f t="shared" si="105"/>
        <v>7933.6500000000005</v>
      </c>
      <c r="AF409" s="6" t="str">
        <f t="shared" si="106"/>
        <v/>
      </c>
      <c r="AG409" s="6">
        <v>5698.42</v>
      </c>
      <c r="AH409" s="6">
        <v>2235.23</v>
      </c>
      <c r="AI409" s="6">
        <f t="shared" si="107"/>
        <v>2235.2300000000005</v>
      </c>
      <c r="AJ409" s="11">
        <f t="shared" si="108"/>
        <v>0.2817404347305465</v>
      </c>
      <c r="AK409" s="11" t="str">
        <f t="shared" si="109"/>
        <v>May</v>
      </c>
      <c r="AL409" s="12">
        <f t="shared" si="110"/>
        <v>2024</v>
      </c>
      <c r="AM409" s="6" t="s">
        <v>54</v>
      </c>
      <c r="AN409" s="6" t="s">
        <v>55</v>
      </c>
      <c r="AO409" s="6" t="str">
        <f t="shared" si="102"/>
        <v>Completed</v>
      </c>
    </row>
    <row r="410" spans="1:41">
      <c r="A410" s="6" t="s">
        <v>2041</v>
      </c>
      <c r="B410" s="7" t="s">
        <v>840</v>
      </c>
      <c r="C410" s="8">
        <v>45870</v>
      </c>
      <c r="D410" s="7" t="s">
        <v>1100</v>
      </c>
      <c r="E410" s="9">
        <v>45872</v>
      </c>
      <c r="F410" s="9" t="str">
        <f t="shared" si="95"/>
        <v>Valid</v>
      </c>
      <c r="G410" s="10">
        <f t="shared" si="96"/>
        <v>2</v>
      </c>
      <c r="H410" s="10" t="str">
        <f t="shared" si="97"/>
        <v>Valid</v>
      </c>
      <c r="I410" s="6" t="s">
        <v>2042</v>
      </c>
      <c r="J410" s="6" t="s">
        <v>188</v>
      </c>
      <c r="K410" s="6" t="s">
        <v>188</v>
      </c>
      <c r="L410" s="6" t="s">
        <v>46</v>
      </c>
      <c r="M410" s="7" t="str">
        <f t="shared" si="98"/>
        <v>Consumer</v>
      </c>
      <c r="N410" s="6" t="s">
        <v>93</v>
      </c>
      <c r="O410" s="7" t="str">
        <f t="shared" si="99"/>
        <v>West</v>
      </c>
      <c r="P410" s="6" t="s">
        <v>94</v>
      </c>
      <c r="Q410" s="6" t="s">
        <v>95</v>
      </c>
      <c r="R410" s="6" t="s">
        <v>65</v>
      </c>
      <c r="S410" s="7" t="str">
        <f t="shared" si="100"/>
        <v>Furniture</v>
      </c>
      <c r="T410" s="6" t="s">
        <v>96</v>
      </c>
      <c r="U410" s="6" t="s">
        <v>2043</v>
      </c>
      <c r="V410" s="6" t="s">
        <v>76</v>
      </c>
      <c r="W410" s="7" t="str">
        <f t="shared" si="101"/>
        <v>First Class</v>
      </c>
      <c r="X410" s="6">
        <v>4</v>
      </c>
      <c r="Y410" s="6">
        <v>1773.46</v>
      </c>
      <c r="Z410" s="6">
        <v>0</v>
      </c>
      <c r="AA410" s="6">
        <f t="shared" si="103"/>
        <v>0</v>
      </c>
      <c r="AB410" s="6" t="str">
        <f t="shared" si="104"/>
        <v>Valid</v>
      </c>
      <c r="AC410" s="6">
        <v>7093.84</v>
      </c>
      <c r="AD410" s="6" t="str">
        <f>IF(OR(AO410="Cancelled",AM410="Failed"),"Exclude from Completed Sales","Include in Completed Sales")</f>
        <v>Exclude from Completed Sales</v>
      </c>
      <c r="AE410" s="6">
        <f t="shared" si="105"/>
        <v>7093.84</v>
      </c>
      <c r="AF410" s="6" t="str">
        <f t="shared" si="106"/>
        <v/>
      </c>
      <c r="AG410" s="6">
        <v>4587.49</v>
      </c>
      <c r="AH410" s="6">
        <v>2506.35</v>
      </c>
      <c r="AI410" s="6">
        <f t="shared" si="107"/>
        <v>2506.3500000000004</v>
      </c>
      <c r="AJ410" s="11">
        <f t="shared" si="108"/>
        <v>0.35331357910525191</v>
      </c>
      <c r="AK410" s="11" t="str">
        <f t="shared" si="109"/>
        <v>August</v>
      </c>
      <c r="AL410" s="12">
        <f t="shared" si="110"/>
        <v>2025</v>
      </c>
      <c r="AM410" s="6" t="s">
        <v>220</v>
      </c>
      <c r="AN410" s="6" t="s">
        <v>145</v>
      </c>
      <c r="AO410" s="6" t="str">
        <f t="shared" si="102"/>
        <v>Returned</v>
      </c>
    </row>
    <row r="411" spans="1:41">
      <c r="A411" s="6" t="s">
        <v>2044</v>
      </c>
      <c r="B411" s="7" t="s">
        <v>850</v>
      </c>
      <c r="C411" s="8">
        <v>45701</v>
      </c>
      <c r="D411" s="7" t="s">
        <v>791</v>
      </c>
      <c r="E411" s="9">
        <v>45703</v>
      </c>
      <c r="F411" s="9" t="str">
        <f t="shared" si="95"/>
        <v>Valid</v>
      </c>
      <c r="G411" s="10">
        <f t="shared" si="96"/>
        <v>2</v>
      </c>
      <c r="H411" s="10" t="str">
        <f t="shared" si="97"/>
        <v>Valid</v>
      </c>
      <c r="I411" s="6" t="s">
        <v>2045</v>
      </c>
      <c r="J411" s="6" t="s">
        <v>45</v>
      </c>
      <c r="K411" s="6" t="s">
        <v>45</v>
      </c>
      <c r="L411" s="6" t="s">
        <v>46</v>
      </c>
      <c r="M411" s="7" t="str">
        <f t="shared" si="98"/>
        <v>Consumer</v>
      </c>
      <c r="N411" s="6" t="s">
        <v>62</v>
      </c>
      <c r="O411" s="7" t="str">
        <f t="shared" si="99"/>
        <v>East</v>
      </c>
      <c r="P411" s="6" t="s">
        <v>236</v>
      </c>
      <c r="Q411" s="6" t="s">
        <v>237</v>
      </c>
      <c r="R411" s="6" t="s">
        <v>106</v>
      </c>
      <c r="S411" s="7" t="str">
        <f t="shared" si="100"/>
        <v>Technology</v>
      </c>
      <c r="T411" s="6" t="s">
        <v>107</v>
      </c>
      <c r="U411" s="6" t="s">
        <v>2046</v>
      </c>
      <c r="V411" s="6" t="s">
        <v>68</v>
      </c>
      <c r="W411" s="7" t="str">
        <f t="shared" si="101"/>
        <v>Same Day</v>
      </c>
      <c r="X411" s="6">
        <v>1</v>
      </c>
      <c r="Y411" s="6">
        <v>3025.46</v>
      </c>
      <c r="Z411" s="6">
        <v>0.25</v>
      </c>
      <c r="AA411" s="6">
        <f t="shared" si="103"/>
        <v>0.25</v>
      </c>
      <c r="AB411" s="6" t="str">
        <f t="shared" si="104"/>
        <v>Valid</v>
      </c>
      <c r="AC411" s="6">
        <v>2269.1</v>
      </c>
      <c r="AD411" s="6" t="str">
        <f>IF(OR(AO411="Cancelled",AM411="Failed"),"Exclude from Completed Sales","Include in Completed Sales")</f>
        <v>Include in Completed Sales</v>
      </c>
      <c r="AE411" s="6">
        <f t="shared" si="105"/>
        <v>2269.0950000000003</v>
      </c>
      <c r="AF411" s="6" t="str">
        <f t="shared" si="106"/>
        <v>Refunded</v>
      </c>
      <c r="AG411" s="6">
        <v>1593.59</v>
      </c>
      <c r="AH411" s="6">
        <v>675.51</v>
      </c>
      <c r="AI411" s="6">
        <f t="shared" si="107"/>
        <v>675.50500000000034</v>
      </c>
      <c r="AJ411" s="11">
        <f t="shared" si="108"/>
        <v>0.29769798091309541</v>
      </c>
      <c r="AK411" s="11" t="str">
        <f t="shared" si="109"/>
        <v>February</v>
      </c>
      <c r="AL411" s="12">
        <f t="shared" si="110"/>
        <v>2025</v>
      </c>
      <c r="AM411" s="6" t="s">
        <v>144</v>
      </c>
      <c r="AN411" s="6" t="s">
        <v>145</v>
      </c>
      <c r="AO411" s="6" t="str">
        <f t="shared" si="102"/>
        <v>Returned</v>
      </c>
    </row>
    <row r="412" spans="1:41">
      <c r="A412" s="6" t="s">
        <v>2047</v>
      </c>
      <c r="B412" s="7" t="s">
        <v>2048</v>
      </c>
      <c r="C412" s="8">
        <v>45394</v>
      </c>
      <c r="D412" s="7" t="s">
        <v>2049</v>
      </c>
      <c r="E412" s="9">
        <v>45402</v>
      </c>
      <c r="F412" s="9" t="str">
        <f t="shared" si="95"/>
        <v>Valid</v>
      </c>
      <c r="G412" s="10">
        <f t="shared" si="96"/>
        <v>8</v>
      </c>
      <c r="H412" s="10" t="str">
        <f t="shared" si="97"/>
        <v>Valid</v>
      </c>
      <c r="I412" s="6" t="s">
        <v>2050</v>
      </c>
      <c r="J412" s="6" t="s">
        <v>230</v>
      </c>
      <c r="K412" s="6" t="s">
        <v>230</v>
      </c>
      <c r="L412" s="6" t="s">
        <v>46</v>
      </c>
      <c r="M412" s="7" t="str">
        <f t="shared" si="98"/>
        <v>Consumer</v>
      </c>
      <c r="N412" s="6" t="s">
        <v>93</v>
      </c>
      <c r="O412" s="7" t="str">
        <f t="shared" si="99"/>
        <v>West</v>
      </c>
      <c r="P412" s="6" t="s">
        <v>269</v>
      </c>
      <c r="Q412" s="6" t="s">
        <v>270</v>
      </c>
      <c r="R412" s="6" t="s">
        <v>65</v>
      </c>
      <c r="S412" s="7" t="str">
        <f t="shared" si="100"/>
        <v>Furniture</v>
      </c>
      <c r="T412" s="6" t="s">
        <v>66</v>
      </c>
      <c r="U412" s="6" t="s">
        <v>2051</v>
      </c>
      <c r="V412" s="6" t="s">
        <v>76</v>
      </c>
      <c r="W412" s="7" t="str">
        <f t="shared" si="101"/>
        <v>First Class</v>
      </c>
      <c r="X412" s="6">
        <v>9</v>
      </c>
      <c r="Y412" s="6">
        <v>1302.6099999999999</v>
      </c>
      <c r="Z412" s="6">
        <v>0.2</v>
      </c>
      <c r="AA412" s="6">
        <f t="shared" si="103"/>
        <v>0.2</v>
      </c>
      <c r="AB412" s="6" t="str">
        <f t="shared" si="104"/>
        <v>Valid</v>
      </c>
      <c r="AC412" s="6">
        <v>9378.7900000000009</v>
      </c>
      <c r="AD412" s="6" t="str">
        <f>IF(OR(AO412="Cancelled",AM412="Failed"),"Exclude from Completed Sales","Include in Completed Sales")</f>
        <v>Include in Completed Sales</v>
      </c>
      <c r="AE412" s="6">
        <f t="shared" si="105"/>
        <v>9378.7919999999995</v>
      </c>
      <c r="AF412" s="6" t="str">
        <f t="shared" si="106"/>
        <v/>
      </c>
      <c r="AG412" s="6">
        <v>6774.48</v>
      </c>
      <c r="AH412" s="6">
        <v>2604.31</v>
      </c>
      <c r="AI412" s="6">
        <f t="shared" si="107"/>
        <v>2604.3119999999999</v>
      </c>
      <c r="AJ412" s="11">
        <f t="shared" si="108"/>
        <v>0.27768096360384154</v>
      </c>
      <c r="AK412" s="11" t="str">
        <f t="shared" si="109"/>
        <v>April</v>
      </c>
      <c r="AL412" s="12">
        <f t="shared" si="110"/>
        <v>2024</v>
      </c>
      <c r="AM412" s="6" t="s">
        <v>54</v>
      </c>
      <c r="AN412" s="6" t="s">
        <v>55</v>
      </c>
      <c r="AO412" s="6" t="str">
        <f t="shared" si="102"/>
        <v>Completed</v>
      </c>
    </row>
    <row r="413" spans="1:41">
      <c r="A413" s="6" t="s">
        <v>2052</v>
      </c>
      <c r="B413" s="7" t="s">
        <v>2053</v>
      </c>
      <c r="C413" s="8">
        <v>45892</v>
      </c>
      <c r="D413" s="7" t="s">
        <v>2054</v>
      </c>
      <c r="E413" s="9">
        <v>45897</v>
      </c>
      <c r="F413" s="9" t="str">
        <f t="shared" si="95"/>
        <v>Valid</v>
      </c>
      <c r="G413" s="10">
        <f t="shared" si="96"/>
        <v>5</v>
      </c>
      <c r="H413" s="10" t="str">
        <f t="shared" si="97"/>
        <v>Valid</v>
      </c>
      <c r="I413" s="6" t="s">
        <v>2055</v>
      </c>
      <c r="J413" s="6" t="s">
        <v>81</v>
      </c>
      <c r="K413" s="6" t="s">
        <v>81</v>
      </c>
      <c r="L413" s="6" t="s">
        <v>135</v>
      </c>
      <c r="M413" s="7" t="str">
        <f t="shared" si="98"/>
        <v>Home Office</v>
      </c>
      <c r="N413" s="6" t="s">
        <v>93</v>
      </c>
      <c r="O413" s="7" t="str">
        <f t="shared" si="99"/>
        <v>West</v>
      </c>
      <c r="P413" s="6" t="s">
        <v>48</v>
      </c>
      <c r="Q413" s="6" t="s">
        <v>155</v>
      </c>
      <c r="R413" s="6" t="s">
        <v>65</v>
      </c>
      <c r="S413" s="7" t="str">
        <f t="shared" si="100"/>
        <v>Furniture</v>
      </c>
      <c r="T413" s="6" t="s">
        <v>66</v>
      </c>
      <c r="U413" s="6" t="s">
        <v>2056</v>
      </c>
      <c r="V413" s="6" t="s">
        <v>76</v>
      </c>
      <c r="W413" s="7" t="str">
        <f t="shared" si="101"/>
        <v>First Class</v>
      </c>
      <c r="X413" s="6">
        <v>1</v>
      </c>
      <c r="Y413" s="6">
        <v>4167.8100000000004</v>
      </c>
      <c r="Z413" s="6">
        <v>0.2</v>
      </c>
      <c r="AA413" s="6">
        <f t="shared" si="103"/>
        <v>0.2</v>
      </c>
      <c r="AB413" s="6" t="str">
        <f t="shared" si="104"/>
        <v>Valid</v>
      </c>
      <c r="AC413" s="6">
        <v>3334.25</v>
      </c>
      <c r="AD413" s="6" t="str">
        <f>IF(OR(AO413="Cancelled",AM413="Failed"),"Exclude from Completed Sales","Include in Completed Sales")</f>
        <v>Exclude from Completed Sales</v>
      </c>
      <c r="AE413" s="6">
        <f t="shared" si="105"/>
        <v>3334.2480000000005</v>
      </c>
      <c r="AF413" s="6" t="str">
        <f t="shared" si="106"/>
        <v/>
      </c>
      <c r="AG413" s="6">
        <v>2768.77</v>
      </c>
      <c r="AH413" s="6">
        <v>565.48</v>
      </c>
      <c r="AI413" s="6">
        <f t="shared" si="107"/>
        <v>565.47800000000052</v>
      </c>
      <c r="AJ413" s="11">
        <f t="shared" si="108"/>
        <v>0.16959686262089696</v>
      </c>
      <c r="AK413" s="11" t="str">
        <f t="shared" si="109"/>
        <v>August</v>
      </c>
      <c r="AL413" s="12">
        <f t="shared" si="110"/>
        <v>2025</v>
      </c>
      <c r="AM413" s="6" t="s">
        <v>220</v>
      </c>
      <c r="AN413" s="6" t="s">
        <v>145</v>
      </c>
      <c r="AO413" s="6" t="str">
        <f t="shared" si="102"/>
        <v>Returned</v>
      </c>
    </row>
    <row r="414" spans="1:41">
      <c r="A414" s="6" t="s">
        <v>2057</v>
      </c>
      <c r="B414" s="7" t="s">
        <v>2058</v>
      </c>
      <c r="C414" s="8">
        <v>45313</v>
      </c>
      <c r="D414" s="7" t="s">
        <v>854</v>
      </c>
      <c r="E414" s="9">
        <v>45321</v>
      </c>
      <c r="F414" s="9" t="str">
        <f t="shared" si="95"/>
        <v>Valid</v>
      </c>
      <c r="G414" s="10">
        <f t="shared" si="96"/>
        <v>8</v>
      </c>
      <c r="H414" s="10" t="str">
        <f t="shared" si="97"/>
        <v>Valid</v>
      </c>
      <c r="I414" s="6" t="s">
        <v>2059</v>
      </c>
      <c r="J414" s="6" t="s">
        <v>73</v>
      </c>
      <c r="K414" s="6" t="s">
        <v>73</v>
      </c>
      <c r="L414" s="6" t="s">
        <v>128</v>
      </c>
      <c r="M414" s="7" t="str">
        <f t="shared" si="98"/>
        <v>Corporate</v>
      </c>
      <c r="N414" s="6" t="s">
        <v>82</v>
      </c>
      <c r="O414" s="7" t="str">
        <f t="shared" si="99"/>
        <v>South</v>
      </c>
      <c r="P414" s="6" t="s">
        <v>249</v>
      </c>
      <c r="Q414" s="6" t="s">
        <v>250</v>
      </c>
      <c r="R414" s="6" t="s">
        <v>65</v>
      </c>
      <c r="S414" s="7" t="str">
        <f t="shared" si="100"/>
        <v>Furniture</v>
      </c>
      <c r="T414" s="6" t="s">
        <v>96</v>
      </c>
      <c r="U414" s="6" t="s">
        <v>2060</v>
      </c>
      <c r="V414" s="6" t="s">
        <v>68</v>
      </c>
      <c r="W414" s="7" t="str">
        <f t="shared" si="101"/>
        <v>Same Day</v>
      </c>
      <c r="X414" s="6">
        <v>1</v>
      </c>
      <c r="Y414" s="6">
        <v>2111.39</v>
      </c>
      <c r="Z414" s="6">
        <v>0.25</v>
      </c>
      <c r="AA414" s="6">
        <f t="shared" si="103"/>
        <v>0.25</v>
      </c>
      <c r="AB414" s="6" t="str">
        <f t="shared" si="104"/>
        <v>Valid</v>
      </c>
      <c r="AC414" s="6">
        <v>1583.54</v>
      </c>
      <c r="AD414" s="6" t="str">
        <f>IF(OR(AO414="Cancelled",AM414="Failed"),"Exclude from Completed Sales","Include in Completed Sales")</f>
        <v>Include in Completed Sales</v>
      </c>
      <c r="AE414" s="6">
        <f t="shared" si="105"/>
        <v>1583.5425</v>
      </c>
      <c r="AF414" s="6" t="str">
        <f t="shared" si="106"/>
        <v/>
      </c>
      <c r="AG414" s="6">
        <v>1014.19</v>
      </c>
      <c r="AH414" s="6">
        <v>569.35</v>
      </c>
      <c r="AI414" s="6">
        <f t="shared" si="107"/>
        <v>569.35249999999996</v>
      </c>
      <c r="AJ414" s="11">
        <f t="shared" si="108"/>
        <v>0.35954355503562424</v>
      </c>
      <c r="AK414" s="11" t="str">
        <f t="shared" si="109"/>
        <v>January</v>
      </c>
      <c r="AL414" s="12">
        <f t="shared" si="110"/>
        <v>2024</v>
      </c>
      <c r="AM414" s="6" t="s">
        <v>54</v>
      </c>
      <c r="AN414" s="6" t="s">
        <v>55</v>
      </c>
      <c r="AO414" s="6" t="str">
        <f t="shared" si="102"/>
        <v>Completed</v>
      </c>
    </row>
    <row r="415" spans="1:41">
      <c r="A415" s="6" t="s">
        <v>2061</v>
      </c>
      <c r="B415" s="7" t="s">
        <v>260</v>
      </c>
      <c r="C415" s="8">
        <v>45882</v>
      </c>
      <c r="D415" s="7" t="s">
        <v>2062</v>
      </c>
      <c r="E415" s="9">
        <v>45886</v>
      </c>
      <c r="F415" s="9" t="str">
        <f t="shared" si="95"/>
        <v>Valid</v>
      </c>
      <c r="G415" s="10">
        <f t="shared" si="96"/>
        <v>4</v>
      </c>
      <c r="H415" s="10" t="str">
        <f t="shared" si="97"/>
        <v>Valid</v>
      </c>
      <c r="I415" s="6" t="s">
        <v>2063</v>
      </c>
      <c r="J415" s="6" t="s">
        <v>113</v>
      </c>
      <c r="K415" s="6" t="s">
        <v>113</v>
      </c>
      <c r="L415" s="6" t="s">
        <v>135</v>
      </c>
      <c r="M415" s="7" t="str">
        <f t="shared" si="98"/>
        <v>Home Office</v>
      </c>
      <c r="N415" s="6" t="s">
        <v>93</v>
      </c>
      <c r="O415" s="7" t="str">
        <f t="shared" si="99"/>
        <v>West</v>
      </c>
      <c r="P415" s="6" t="s">
        <v>104</v>
      </c>
      <c r="Q415" s="6" t="s">
        <v>105</v>
      </c>
      <c r="R415" s="6" t="s">
        <v>106</v>
      </c>
      <c r="S415" s="7" t="str">
        <f t="shared" si="100"/>
        <v>Technology</v>
      </c>
      <c r="T415" s="6" t="s">
        <v>107</v>
      </c>
      <c r="U415" s="6" t="s">
        <v>2064</v>
      </c>
      <c r="V415" s="6" t="s">
        <v>53</v>
      </c>
      <c r="W415" s="7" t="str">
        <f t="shared" si="101"/>
        <v>Second Class</v>
      </c>
      <c r="X415" s="6">
        <v>8</v>
      </c>
      <c r="Y415" s="6">
        <v>1918.23</v>
      </c>
      <c r="Z415" s="6">
        <v>0</v>
      </c>
      <c r="AA415" s="6">
        <f t="shared" si="103"/>
        <v>0</v>
      </c>
      <c r="AB415" s="6" t="str">
        <f t="shared" si="104"/>
        <v>Valid</v>
      </c>
      <c r="AC415" s="6">
        <v>15345.84</v>
      </c>
      <c r="AD415" s="6" t="str">
        <f>IF(OR(AO415="Cancelled",AM415="Failed"),"Exclude from Completed Sales","Include in Completed Sales")</f>
        <v>Exclude from Completed Sales</v>
      </c>
      <c r="AE415" s="6">
        <f t="shared" si="105"/>
        <v>15345.84</v>
      </c>
      <c r="AF415" s="6" t="str">
        <f t="shared" si="106"/>
        <v/>
      </c>
      <c r="AG415" s="6">
        <v>10735.33</v>
      </c>
      <c r="AH415" s="6">
        <v>4610.51</v>
      </c>
      <c r="AI415" s="6">
        <f t="shared" si="107"/>
        <v>4610.51</v>
      </c>
      <c r="AJ415" s="11">
        <f t="shared" si="108"/>
        <v>0.30044037993358463</v>
      </c>
      <c r="AK415" s="11" t="str">
        <f t="shared" si="109"/>
        <v>August</v>
      </c>
      <c r="AL415" s="12">
        <f t="shared" si="110"/>
        <v>2025</v>
      </c>
      <c r="AM415" s="6" t="s">
        <v>157</v>
      </c>
      <c r="AN415" s="6" t="s">
        <v>98</v>
      </c>
      <c r="AO415" s="6" t="str">
        <f t="shared" si="102"/>
        <v>Cancelled</v>
      </c>
    </row>
    <row r="416" spans="1:41">
      <c r="A416" s="6" t="s">
        <v>2065</v>
      </c>
      <c r="B416" s="7" t="s">
        <v>2066</v>
      </c>
      <c r="C416" s="8">
        <v>45533</v>
      </c>
      <c r="D416" s="7" t="s">
        <v>2067</v>
      </c>
      <c r="E416" s="9">
        <v>45534</v>
      </c>
      <c r="F416" s="9" t="str">
        <f t="shared" si="95"/>
        <v>Valid</v>
      </c>
      <c r="G416" s="10">
        <f t="shared" si="96"/>
        <v>1</v>
      </c>
      <c r="H416" s="10" t="str">
        <f t="shared" si="97"/>
        <v>Valid</v>
      </c>
      <c r="I416" s="6" t="s">
        <v>2068</v>
      </c>
      <c r="J416" s="6" t="s">
        <v>81</v>
      </c>
      <c r="K416" s="6" t="s">
        <v>81</v>
      </c>
      <c r="L416" s="6" t="s">
        <v>135</v>
      </c>
      <c r="M416" s="7" t="str">
        <f t="shared" si="98"/>
        <v>Home Office</v>
      </c>
      <c r="N416" s="6" t="s">
        <v>62</v>
      </c>
      <c r="O416" s="7" t="str">
        <f t="shared" si="99"/>
        <v>East</v>
      </c>
      <c r="P416" s="6" t="s">
        <v>236</v>
      </c>
      <c r="Q416" s="6" t="s">
        <v>237</v>
      </c>
      <c r="R416" s="6" t="s">
        <v>50</v>
      </c>
      <c r="S416" s="7" t="str">
        <f t="shared" si="100"/>
        <v>Office Supplies</v>
      </c>
      <c r="T416" s="6" t="s">
        <v>176</v>
      </c>
      <c r="U416" s="6" t="s">
        <v>2069</v>
      </c>
      <c r="V416" s="6" t="s">
        <v>76</v>
      </c>
      <c r="W416" s="7" t="str">
        <f t="shared" si="101"/>
        <v>First Class</v>
      </c>
      <c r="X416" s="6">
        <v>4</v>
      </c>
      <c r="Y416" s="6">
        <v>2484.08</v>
      </c>
      <c r="Z416" s="6">
        <v>0.05</v>
      </c>
      <c r="AA416" s="6">
        <f t="shared" si="103"/>
        <v>0.05</v>
      </c>
      <c r="AB416" s="6" t="str">
        <f t="shared" si="104"/>
        <v>Valid</v>
      </c>
      <c r="AC416" s="6">
        <v>9439.5</v>
      </c>
      <c r="AD416" s="6" t="str">
        <f>IF(OR(AO416="Cancelled",AM416="Failed"),"Exclude from Completed Sales","Include in Completed Sales")</f>
        <v>Include in Completed Sales</v>
      </c>
      <c r="AE416" s="6">
        <f t="shared" si="105"/>
        <v>9439.503999999999</v>
      </c>
      <c r="AF416" s="6" t="str">
        <f t="shared" si="106"/>
        <v/>
      </c>
      <c r="AG416" s="6">
        <v>5519.39</v>
      </c>
      <c r="AH416" s="6">
        <v>3920.11</v>
      </c>
      <c r="AI416" s="6">
        <f t="shared" si="107"/>
        <v>3920.1139999999987</v>
      </c>
      <c r="AJ416" s="11">
        <f t="shared" si="108"/>
        <v>0.41528813378330037</v>
      </c>
      <c r="AK416" s="11" t="str">
        <f t="shared" si="109"/>
        <v>August</v>
      </c>
      <c r="AL416" s="12">
        <f t="shared" si="110"/>
        <v>2024</v>
      </c>
      <c r="AM416" s="6" t="s">
        <v>54</v>
      </c>
      <c r="AN416" s="6" t="s">
        <v>55</v>
      </c>
      <c r="AO416" s="6" t="str">
        <f t="shared" si="102"/>
        <v>Completed</v>
      </c>
    </row>
    <row r="417" spans="1:41">
      <c r="A417" s="6" t="s">
        <v>2070</v>
      </c>
      <c r="B417" s="7" t="s">
        <v>2071</v>
      </c>
      <c r="C417" s="8">
        <v>45316</v>
      </c>
      <c r="D417" s="7" t="s">
        <v>2023</v>
      </c>
      <c r="E417" s="9">
        <v>45318</v>
      </c>
      <c r="F417" s="9" t="str">
        <f t="shared" si="95"/>
        <v>Valid</v>
      </c>
      <c r="G417" s="10">
        <f t="shared" si="96"/>
        <v>2</v>
      </c>
      <c r="H417" s="10" t="str">
        <f t="shared" si="97"/>
        <v>Valid</v>
      </c>
      <c r="I417" s="6" t="s">
        <v>2072</v>
      </c>
      <c r="J417" s="6" t="s">
        <v>182</v>
      </c>
      <c r="K417" s="6" t="s">
        <v>182</v>
      </c>
      <c r="L417" s="6" t="s">
        <v>128</v>
      </c>
      <c r="M417" s="7" t="str">
        <f t="shared" si="98"/>
        <v>Corporate</v>
      </c>
      <c r="N417" s="6" t="s">
        <v>82</v>
      </c>
      <c r="O417" s="7" t="str">
        <f t="shared" si="99"/>
        <v>South</v>
      </c>
      <c r="P417" s="6" t="s">
        <v>249</v>
      </c>
      <c r="Q417" s="6" t="s">
        <v>250</v>
      </c>
      <c r="R417" s="6" t="s">
        <v>50</v>
      </c>
      <c r="S417" s="7" t="str">
        <f t="shared" si="100"/>
        <v>Office Supplies</v>
      </c>
      <c r="T417" s="6" t="s">
        <v>176</v>
      </c>
      <c r="U417" s="6" t="s">
        <v>2073</v>
      </c>
      <c r="V417" s="6" t="s">
        <v>68</v>
      </c>
      <c r="W417" s="7" t="str">
        <f t="shared" si="101"/>
        <v>Same Day</v>
      </c>
      <c r="X417" s="6">
        <v>7</v>
      </c>
      <c r="Y417" s="6">
        <v>1727.26</v>
      </c>
      <c r="Z417" s="6">
        <v>0.15</v>
      </c>
      <c r="AA417" s="6">
        <f t="shared" si="103"/>
        <v>0.15</v>
      </c>
      <c r="AB417" s="6" t="str">
        <f t="shared" si="104"/>
        <v>Valid</v>
      </c>
      <c r="AC417" s="6">
        <v>10277.200000000001</v>
      </c>
      <c r="AD417" s="6" t="str">
        <f>IF(OR(AO417="Cancelled",AM417="Failed"),"Exclude from Completed Sales","Include in Completed Sales")</f>
        <v>Include in Completed Sales</v>
      </c>
      <c r="AE417" s="6">
        <f t="shared" si="105"/>
        <v>10277.197</v>
      </c>
      <c r="AF417" s="6" t="str">
        <f t="shared" si="106"/>
        <v/>
      </c>
      <c r="AG417" s="6">
        <v>7906.5</v>
      </c>
      <c r="AH417" s="6">
        <v>2370.6999999999998</v>
      </c>
      <c r="AI417" s="6">
        <f t="shared" si="107"/>
        <v>2370.6970000000001</v>
      </c>
      <c r="AJ417" s="11">
        <f t="shared" si="108"/>
        <v>0.23067544584384245</v>
      </c>
      <c r="AK417" s="11" t="str">
        <f t="shared" si="109"/>
        <v>January</v>
      </c>
      <c r="AL417" s="12">
        <f t="shared" si="110"/>
        <v>2024</v>
      </c>
      <c r="AM417" s="6" t="s">
        <v>54</v>
      </c>
      <c r="AN417" s="6" t="s">
        <v>145</v>
      </c>
      <c r="AO417" s="6" t="str">
        <f t="shared" si="102"/>
        <v>Returned</v>
      </c>
    </row>
    <row r="418" spans="1:41">
      <c r="A418" s="6" t="s">
        <v>2074</v>
      </c>
      <c r="B418" s="7" t="s">
        <v>2075</v>
      </c>
      <c r="C418" s="8">
        <v>45665</v>
      </c>
      <c r="D418" s="7" t="s">
        <v>2076</v>
      </c>
      <c r="E418" s="9">
        <v>45673</v>
      </c>
      <c r="F418" s="9" t="str">
        <f t="shared" si="95"/>
        <v>Valid</v>
      </c>
      <c r="G418" s="10">
        <f t="shared" si="96"/>
        <v>8</v>
      </c>
      <c r="H418" s="10" t="str">
        <f t="shared" si="97"/>
        <v>Valid</v>
      </c>
      <c r="I418" s="6" t="s">
        <v>2077</v>
      </c>
      <c r="J418" s="6" t="s">
        <v>113</v>
      </c>
      <c r="K418" s="6" t="s">
        <v>113</v>
      </c>
      <c r="L418" s="6" t="s">
        <v>46</v>
      </c>
      <c r="M418" s="7" t="str">
        <f t="shared" si="98"/>
        <v>Consumer</v>
      </c>
      <c r="N418" s="6" t="s">
        <v>82</v>
      </c>
      <c r="O418" s="7" t="str">
        <f t="shared" si="99"/>
        <v>South</v>
      </c>
      <c r="P418" s="6" t="s">
        <v>83</v>
      </c>
      <c r="Q418" s="6" t="s">
        <v>84</v>
      </c>
      <c r="R418" s="6" t="s">
        <v>65</v>
      </c>
      <c r="S418" s="7" t="str">
        <f t="shared" si="100"/>
        <v>Furniture</v>
      </c>
      <c r="T418" s="6" t="s">
        <v>85</v>
      </c>
      <c r="U418" s="6" t="s">
        <v>2078</v>
      </c>
      <c r="V418" s="6" t="s">
        <v>76</v>
      </c>
      <c r="W418" s="7" t="str">
        <f t="shared" si="101"/>
        <v>First Class</v>
      </c>
      <c r="X418" s="6">
        <v>8</v>
      </c>
      <c r="Y418" s="6">
        <v>638.95000000000005</v>
      </c>
      <c r="Z418" s="6">
        <v>0.25</v>
      </c>
      <c r="AA418" s="6">
        <f t="shared" si="103"/>
        <v>0.25</v>
      </c>
      <c r="AB418" s="6" t="str">
        <f t="shared" si="104"/>
        <v>Valid</v>
      </c>
      <c r="AC418" s="6">
        <v>3833.7</v>
      </c>
      <c r="AD418" s="6" t="str">
        <f>IF(OR(AO418="Cancelled",AM418="Failed"),"Exclude from Completed Sales","Include in Completed Sales")</f>
        <v>Include in Completed Sales</v>
      </c>
      <c r="AE418" s="6">
        <f t="shared" si="105"/>
        <v>3833.7000000000003</v>
      </c>
      <c r="AF418" s="6" t="str">
        <f t="shared" si="106"/>
        <v/>
      </c>
      <c r="AG418" s="6">
        <v>2886.35</v>
      </c>
      <c r="AH418" s="6">
        <v>947.35</v>
      </c>
      <c r="AI418" s="6">
        <f t="shared" si="107"/>
        <v>947.35000000000036</v>
      </c>
      <c r="AJ418" s="11">
        <f t="shared" si="108"/>
        <v>0.24711114589039318</v>
      </c>
      <c r="AK418" s="11" t="str">
        <f t="shared" si="109"/>
        <v>January</v>
      </c>
      <c r="AL418" s="12">
        <f t="shared" si="110"/>
        <v>2025</v>
      </c>
      <c r="AM418" s="6" t="s">
        <v>54</v>
      </c>
      <c r="AN418" s="6" t="s">
        <v>55</v>
      </c>
      <c r="AO418" s="6" t="str">
        <f t="shared" si="102"/>
        <v>Completed</v>
      </c>
    </row>
    <row r="419" spans="1:41">
      <c r="A419" s="6" t="s">
        <v>2079</v>
      </c>
      <c r="B419" s="7" t="s">
        <v>1814</v>
      </c>
      <c r="C419" s="8">
        <v>45686</v>
      </c>
      <c r="D419" s="7" t="s">
        <v>2080</v>
      </c>
      <c r="E419" s="9">
        <v>45693</v>
      </c>
      <c r="F419" s="9" t="str">
        <f t="shared" si="95"/>
        <v>Valid</v>
      </c>
      <c r="G419" s="10">
        <f t="shared" si="96"/>
        <v>7</v>
      </c>
      <c r="H419" s="10" t="str">
        <f t="shared" si="97"/>
        <v>Valid</v>
      </c>
      <c r="I419" s="6" t="s">
        <v>2081</v>
      </c>
      <c r="J419" s="6" t="s">
        <v>60</v>
      </c>
      <c r="K419" s="6" t="s">
        <v>60</v>
      </c>
      <c r="L419" s="6" t="s">
        <v>46</v>
      </c>
      <c r="M419" s="7" t="str">
        <f t="shared" si="98"/>
        <v>Consumer</v>
      </c>
      <c r="N419" s="6" t="s">
        <v>93</v>
      </c>
      <c r="O419" s="7" t="str">
        <f t="shared" si="99"/>
        <v>West</v>
      </c>
      <c r="P419" s="6" t="s">
        <v>255</v>
      </c>
      <c r="Q419" s="6" t="s">
        <v>256</v>
      </c>
      <c r="R419" s="6" t="s">
        <v>50</v>
      </c>
      <c r="S419" s="7" t="str">
        <f t="shared" si="100"/>
        <v>Office Supplies</v>
      </c>
      <c r="T419" s="6" t="s">
        <v>74</v>
      </c>
      <c r="U419" s="6" t="s">
        <v>2082</v>
      </c>
      <c r="V419" s="6" t="s">
        <v>76</v>
      </c>
      <c r="W419" s="7" t="str">
        <f t="shared" si="101"/>
        <v>First Class</v>
      </c>
      <c r="X419" s="6">
        <v>6</v>
      </c>
      <c r="Y419" s="6">
        <v>3863</v>
      </c>
      <c r="Z419" s="6">
        <v>0.2</v>
      </c>
      <c r="AA419" s="6">
        <f t="shared" si="103"/>
        <v>0.2</v>
      </c>
      <c r="AB419" s="6" t="str">
        <f t="shared" si="104"/>
        <v>Valid</v>
      </c>
      <c r="AC419" s="6">
        <v>18542.400000000001</v>
      </c>
      <c r="AD419" s="6" t="str">
        <f>IF(OR(AO419="Cancelled",AM419="Failed"),"Exclude from Completed Sales","Include in Completed Sales")</f>
        <v>Include in Completed Sales</v>
      </c>
      <c r="AE419" s="6">
        <f t="shared" si="105"/>
        <v>18542.400000000001</v>
      </c>
      <c r="AF419" s="6" t="str">
        <f t="shared" si="106"/>
        <v/>
      </c>
      <c r="AG419" s="6">
        <v>11193.75</v>
      </c>
      <c r="AH419" s="6">
        <v>7348.65</v>
      </c>
      <c r="AI419" s="6">
        <f t="shared" si="107"/>
        <v>7348.6500000000015</v>
      </c>
      <c r="AJ419" s="11">
        <f t="shared" si="108"/>
        <v>0.39631601087237905</v>
      </c>
      <c r="AK419" s="11" t="str">
        <f t="shared" si="109"/>
        <v>January</v>
      </c>
      <c r="AL419" s="12">
        <f t="shared" si="110"/>
        <v>2025</v>
      </c>
      <c r="AM419" s="6" t="s">
        <v>54</v>
      </c>
      <c r="AN419" s="6" t="s">
        <v>55</v>
      </c>
      <c r="AO419" s="6" t="str">
        <f t="shared" si="102"/>
        <v>Completed</v>
      </c>
    </row>
    <row r="420" spans="1:41">
      <c r="A420" s="6" t="s">
        <v>2083</v>
      </c>
      <c r="B420" s="7" t="s">
        <v>2084</v>
      </c>
      <c r="C420" s="8">
        <v>45605</v>
      </c>
      <c r="D420" s="7" t="s">
        <v>2085</v>
      </c>
      <c r="E420" s="9">
        <v>45613</v>
      </c>
      <c r="F420" s="9" t="str">
        <f t="shared" si="95"/>
        <v>Valid</v>
      </c>
      <c r="G420" s="10">
        <f t="shared" si="96"/>
        <v>8</v>
      </c>
      <c r="H420" s="10" t="str">
        <f t="shared" si="97"/>
        <v>Valid</v>
      </c>
      <c r="I420" s="6" t="s">
        <v>2086</v>
      </c>
      <c r="J420" s="6" t="s">
        <v>188</v>
      </c>
      <c r="K420" s="6" t="s">
        <v>188</v>
      </c>
      <c r="L420" s="6" t="s">
        <v>128</v>
      </c>
      <c r="M420" s="7" t="str">
        <f t="shared" si="98"/>
        <v>Corporate</v>
      </c>
      <c r="N420" s="6" t="s">
        <v>62</v>
      </c>
      <c r="O420" s="7" t="str">
        <f t="shared" si="99"/>
        <v>East</v>
      </c>
      <c r="P420" s="6" t="s">
        <v>63</v>
      </c>
      <c r="Q420" s="6" t="s">
        <v>64</v>
      </c>
      <c r="R420" s="6" t="s">
        <v>106</v>
      </c>
      <c r="S420" s="7" t="str">
        <f t="shared" si="100"/>
        <v>Technology</v>
      </c>
      <c r="T420" s="6" t="s">
        <v>114</v>
      </c>
      <c r="U420" s="6" t="s">
        <v>2087</v>
      </c>
      <c r="V420" s="6" t="s">
        <v>87</v>
      </c>
      <c r="W420" s="7" t="str">
        <f t="shared" si="101"/>
        <v>Standard Class</v>
      </c>
      <c r="X420" s="6">
        <v>6</v>
      </c>
      <c r="Y420" s="6">
        <v>3660.4</v>
      </c>
      <c r="Z420" s="6">
        <v>0</v>
      </c>
      <c r="AA420" s="6">
        <f t="shared" si="103"/>
        <v>0</v>
      </c>
      <c r="AB420" s="6" t="str">
        <f t="shared" si="104"/>
        <v>Valid</v>
      </c>
      <c r="AC420" s="6">
        <v>21962.400000000001</v>
      </c>
      <c r="AD420" s="6" t="str">
        <f>IF(OR(AO420="Cancelled",AM420="Failed"),"Exclude from Completed Sales","Include in Completed Sales")</f>
        <v>Exclude from Completed Sales</v>
      </c>
      <c r="AE420" s="6">
        <f t="shared" si="105"/>
        <v>21962.400000000001</v>
      </c>
      <c r="AF420" s="6" t="str">
        <f t="shared" si="106"/>
        <v/>
      </c>
      <c r="AG420" s="6">
        <v>15331.99</v>
      </c>
      <c r="AH420" s="6">
        <v>6630.41</v>
      </c>
      <c r="AI420" s="6">
        <f t="shared" si="107"/>
        <v>6630.4100000000017</v>
      </c>
      <c r="AJ420" s="11">
        <f t="shared" si="108"/>
        <v>0.3018982442720286</v>
      </c>
      <c r="AK420" s="11" t="str">
        <f t="shared" si="109"/>
        <v>November</v>
      </c>
      <c r="AL420" s="12">
        <f t="shared" si="110"/>
        <v>2024</v>
      </c>
      <c r="AM420" s="6" t="s">
        <v>220</v>
      </c>
      <c r="AN420" s="6" t="s">
        <v>98</v>
      </c>
      <c r="AO420" s="6" t="str">
        <f t="shared" si="102"/>
        <v>Cancelled</v>
      </c>
    </row>
    <row r="421" spans="1:41">
      <c r="A421" s="6" t="s">
        <v>2088</v>
      </c>
      <c r="B421" s="7" t="s">
        <v>2089</v>
      </c>
      <c r="C421" s="8">
        <v>45926</v>
      </c>
      <c r="D421" s="7" t="s">
        <v>2090</v>
      </c>
      <c r="E421" s="9">
        <v>45930</v>
      </c>
      <c r="F421" s="9" t="str">
        <f t="shared" si="95"/>
        <v>Valid</v>
      </c>
      <c r="G421" s="10">
        <f t="shared" si="96"/>
        <v>4</v>
      </c>
      <c r="H421" s="10" t="str">
        <f t="shared" si="97"/>
        <v>Valid</v>
      </c>
      <c r="I421" s="6" t="s">
        <v>2091</v>
      </c>
      <c r="J421" s="6" t="s">
        <v>188</v>
      </c>
      <c r="K421" s="6" t="s">
        <v>188</v>
      </c>
      <c r="L421" s="6" t="s">
        <v>135</v>
      </c>
      <c r="M421" s="7" t="str">
        <f t="shared" si="98"/>
        <v>Home Office</v>
      </c>
      <c r="N421" s="6" t="s">
        <v>47</v>
      </c>
      <c r="O421" s="7" t="str">
        <f t="shared" si="99"/>
        <v>North</v>
      </c>
      <c r="P421" s="6" t="s">
        <v>343</v>
      </c>
      <c r="Q421" s="6" t="s">
        <v>344</v>
      </c>
      <c r="R421" s="6" t="s">
        <v>106</v>
      </c>
      <c r="S421" s="7" t="str">
        <f t="shared" si="100"/>
        <v>Technology</v>
      </c>
      <c r="T421" s="6" t="s">
        <v>243</v>
      </c>
      <c r="U421" s="6" t="s">
        <v>2092</v>
      </c>
      <c r="V421" s="6" t="s">
        <v>68</v>
      </c>
      <c r="W421" s="7" t="str">
        <f t="shared" si="101"/>
        <v>Same Day</v>
      </c>
      <c r="X421" s="6">
        <v>2</v>
      </c>
      <c r="Y421" s="6">
        <v>688.83</v>
      </c>
      <c r="Z421" s="6">
        <v>0.05</v>
      </c>
      <c r="AA421" s="6">
        <f t="shared" si="103"/>
        <v>0.05</v>
      </c>
      <c r="AB421" s="6" t="str">
        <f t="shared" si="104"/>
        <v>Valid</v>
      </c>
      <c r="AC421" s="6">
        <v>1308.78</v>
      </c>
      <c r="AD421" s="6" t="str">
        <f>IF(OR(AO421="Cancelled",AM421="Failed"),"Exclude from Completed Sales","Include in Completed Sales")</f>
        <v>Include in Completed Sales</v>
      </c>
      <c r="AE421" s="6">
        <f t="shared" si="105"/>
        <v>1308.777</v>
      </c>
      <c r="AF421" s="6" t="str">
        <f t="shared" si="106"/>
        <v/>
      </c>
      <c r="AG421" s="6">
        <v>843</v>
      </c>
      <c r="AH421" s="6">
        <v>465.78</v>
      </c>
      <c r="AI421" s="6">
        <f t="shared" si="107"/>
        <v>465.77700000000004</v>
      </c>
      <c r="AJ421" s="11">
        <f t="shared" si="108"/>
        <v>0.35588721378813964</v>
      </c>
      <c r="AK421" s="11" t="str">
        <f t="shared" si="109"/>
        <v>September</v>
      </c>
      <c r="AL421" s="12">
        <f t="shared" si="110"/>
        <v>2025</v>
      </c>
      <c r="AM421" s="6" t="s">
        <v>54</v>
      </c>
      <c r="AN421" s="6" t="s">
        <v>55</v>
      </c>
      <c r="AO421" s="6" t="str">
        <f t="shared" si="102"/>
        <v>Completed</v>
      </c>
    </row>
    <row r="422" spans="1:41">
      <c r="A422" s="6" t="s">
        <v>2093</v>
      </c>
      <c r="B422" s="7" t="s">
        <v>983</v>
      </c>
      <c r="C422" s="8">
        <v>45734</v>
      </c>
      <c r="D422" s="7" t="s">
        <v>2094</v>
      </c>
      <c r="E422" s="9">
        <v>45735</v>
      </c>
      <c r="F422" s="9" t="str">
        <f t="shared" si="95"/>
        <v>Valid</v>
      </c>
      <c r="G422" s="10">
        <f t="shared" si="96"/>
        <v>1</v>
      </c>
      <c r="H422" s="10" t="str">
        <f t="shared" si="97"/>
        <v>Valid</v>
      </c>
      <c r="I422" s="6" t="s">
        <v>2095</v>
      </c>
      <c r="J422" s="6" t="s">
        <v>73</v>
      </c>
      <c r="K422" s="6" t="s">
        <v>73</v>
      </c>
      <c r="L422" s="6" t="s">
        <v>128</v>
      </c>
      <c r="M422" s="7" t="str">
        <f t="shared" si="98"/>
        <v>Corporate</v>
      </c>
      <c r="N422" s="6" t="s">
        <v>82</v>
      </c>
      <c r="O422" s="7" t="str">
        <f t="shared" si="99"/>
        <v>South</v>
      </c>
      <c r="P422" s="6" t="s">
        <v>359</v>
      </c>
      <c r="Q422" s="6" t="s">
        <v>360</v>
      </c>
      <c r="R422" s="6" t="s">
        <v>106</v>
      </c>
      <c r="S422" s="7" t="str">
        <f t="shared" si="100"/>
        <v>Technology</v>
      </c>
      <c r="T422" s="6" t="s">
        <v>402</v>
      </c>
      <c r="U422" s="6" t="s">
        <v>2096</v>
      </c>
      <c r="V422" s="6" t="s">
        <v>87</v>
      </c>
      <c r="W422" s="7" t="str">
        <f t="shared" si="101"/>
        <v>Standard Class</v>
      </c>
      <c r="X422" s="6">
        <v>2</v>
      </c>
      <c r="Y422" s="6">
        <v>1209.99</v>
      </c>
      <c r="Z422" s="6">
        <v>0.25</v>
      </c>
      <c r="AA422" s="6">
        <f t="shared" si="103"/>
        <v>0.25</v>
      </c>
      <c r="AB422" s="6" t="str">
        <f t="shared" si="104"/>
        <v>Valid</v>
      </c>
      <c r="AC422" s="6">
        <v>1814.99</v>
      </c>
      <c r="AD422" s="6" t="str">
        <f>IF(OR(AO422="Cancelled",AM422="Failed"),"Exclude from Completed Sales","Include in Completed Sales")</f>
        <v>Exclude from Completed Sales</v>
      </c>
      <c r="AE422" s="6">
        <f t="shared" si="105"/>
        <v>1814.9850000000001</v>
      </c>
      <c r="AF422" s="6" t="str">
        <f t="shared" si="106"/>
        <v/>
      </c>
      <c r="AG422" s="6">
        <v>1120.06</v>
      </c>
      <c r="AH422" s="6">
        <v>694.93</v>
      </c>
      <c r="AI422" s="6">
        <f t="shared" si="107"/>
        <v>694.92500000000018</v>
      </c>
      <c r="AJ422" s="11">
        <f t="shared" si="108"/>
        <v>0.38288195219244242</v>
      </c>
      <c r="AK422" s="11" t="str">
        <f t="shared" si="109"/>
        <v>March</v>
      </c>
      <c r="AL422" s="12">
        <f t="shared" si="110"/>
        <v>2025</v>
      </c>
      <c r="AM422" s="6" t="s">
        <v>157</v>
      </c>
      <c r="AN422" s="6" t="s">
        <v>98</v>
      </c>
      <c r="AO422" s="6" t="str">
        <f t="shared" si="102"/>
        <v>Cancelled</v>
      </c>
    </row>
    <row r="423" spans="1:41">
      <c r="A423" s="6" t="s">
        <v>2097</v>
      </c>
      <c r="B423" s="7" t="s">
        <v>2098</v>
      </c>
      <c r="C423" s="8">
        <v>45822</v>
      </c>
      <c r="D423" s="7" t="s">
        <v>2099</v>
      </c>
      <c r="E423" s="9">
        <v>45827</v>
      </c>
      <c r="F423" s="9" t="str">
        <f t="shared" si="95"/>
        <v>Valid</v>
      </c>
      <c r="G423" s="10">
        <f t="shared" si="96"/>
        <v>5</v>
      </c>
      <c r="H423" s="10" t="str">
        <f t="shared" si="97"/>
        <v>Valid</v>
      </c>
      <c r="I423" s="6" t="s">
        <v>2100</v>
      </c>
      <c r="J423" s="6" t="s">
        <v>200</v>
      </c>
      <c r="K423" s="6" t="s">
        <v>200</v>
      </c>
      <c r="L423" s="6" t="s">
        <v>61</v>
      </c>
      <c r="M423" s="7" t="str">
        <f t="shared" si="98"/>
        <v>Small Business</v>
      </c>
      <c r="N423" s="6" t="s">
        <v>47</v>
      </c>
      <c r="O423" s="7" t="str">
        <f t="shared" si="99"/>
        <v>North</v>
      </c>
      <c r="P423" s="6" t="s">
        <v>526</v>
      </c>
      <c r="Q423" s="6" t="s">
        <v>527</v>
      </c>
      <c r="R423" s="6" t="s">
        <v>50</v>
      </c>
      <c r="S423" s="7" t="str">
        <f t="shared" si="100"/>
        <v>Office Supplies</v>
      </c>
      <c r="T423" s="6" t="s">
        <v>218</v>
      </c>
      <c r="U423" s="6" t="s">
        <v>2101</v>
      </c>
      <c r="V423" s="6" t="s">
        <v>68</v>
      </c>
      <c r="W423" s="7" t="str">
        <f t="shared" si="101"/>
        <v>Same Day</v>
      </c>
      <c r="X423" s="6">
        <v>3</v>
      </c>
      <c r="Y423" s="6">
        <v>1037.45</v>
      </c>
      <c r="Z423" s="6">
        <v>0.2</v>
      </c>
      <c r="AA423" s="6">
        <f t="shared" si="103"/>
        <v>0.2</v>
      </c>
      <c r="AB423" s="6" t="str">
        <f t="shared" si="104"/>
        <v>Valid</v>
      </c>
      <c r="AC423" s="6">
        <v>2489.88</v>
      </c>
      <c r="AD423" s="6" t="str">
        <f>IF(OR(AO423="Cancelled",AM423="Failed"),"Exclude from Completed Sales","Include in Completed Sales")</f>
        <v>Include in Completed Sales</v>
      </c>
      <c r="AE423" s="6">
        <f t="shared" si="105"/>
        <v>2489.8800000000006</v>
      </c>
      <c r="AF423" s="6" t="str">
        <f t="shared" si="106"/>
        <v/>
      </c>
      <c r="AG423" s="6">
        <v>1707.52</v>
      </c>
      <c r="AH423" s="6">
        <v>782.36</v>
      </c>
      <c r="AI423" s="6">
        <f t="shared" si="107"/>
        <v>782.36000000000058</v>
      </c>
      <c r="AJ423" s="11">
        <f t="shared" si="108"/>
        <v>0.31421594615001541</v>
      </c>
      <c r="AK423" s="11" t="str">
        <f t="shared" si="109"/>
        <v>June</v>
      </c>
      <c r="AL423" s="12">
        <f t="shared" si="110"/>
        <v>2025</v>
      </c>
      <c r="AM423" s="6" t="s">
        <v>157</v>
      </c>
      <c r="AN423" s="6" t="s">
        <v>145</v>
      </c>
      <c r="AO423" s="6" t="str">
        <f t="shared" si="102"/>
        <v>Returned</v>
      </c>
    </row>
    <row r="424" spans="1:41">
      <c r="A424" s="6" t="s">
        <v>2102</v>
      </c>
      <c r="B424" s="7" t="s">
        <v>2103</v>
      </c>
      <c r="C424" s="8">
        <v>45903</v>
      </c>
      <c r="D424" s="7" t="s">
        <v>2104</v>
      </c>
      <c r="E424" s="9">
        <v>45906</v>
      </c>
      <c r="F424" s="9" t="str">
        <f t="shared" si="95"/>
        <v>Valid</v>
      </c>
      <c r="G424" s="10">
        <f t="shared" si="96"/>
        <v>3</v>
      </c>
      <c r="H424" s="10" t="str">
        <f t="shared" si="97"/>
        <v>Valid</v>
      </c>
      <c r="I424" s="6" t="s">
        <v>2105</v>
      </c>
      <c r="J424" s="6" t="s">
        <v>386</v>
      </c>
      <c r="K424" s="6" t="s">
        <v>386</v>
      </c>
      <c r="L424" s="6" t="s">
        <v>46</v>
      </c>
      <c r="M424" s="7" t="str">
        <f t="shared" si="98"/>
        <v>Consumer</v>
      </c>
      <c r="N424" s="6" t="s">
        <v>93</v>
      </c>
      <c r="O424" s="7" t="str">
        <f t="shared" si="99"/>
        <v>West</v>
      </c>
      <c r="P424" s="6" t="s">
        <v>104</v>
      </c>
      <c r="Q424" s="6" t="s">
        <v>105</v>
      </c>
      <c r="R424" s="6" t="s">
        <v>106</v>
      </c>
      <c r="S424" s="7" t="str">
        <f t="shared" si="100"/>
        <v>Technology</v>
      </c>
      <c r="T424" s="6" t="s">
        <v>114</v>
      </c>
      <c r="U424" s="6" t="s">
        <v>2106</v>
      </c>
      <c r="V424" s="6" t="s">
        <v>68</v>
      </c>
      <c r="W424" s="7" t="str">
        <f t="shared" si="101"/>
        <v>Same Day</v>
      </c>
      <c r="X424" s="6">
        <v>7</v>
      </c>
      <c r="Y424" s="6">
        <v>688.85</v>
      </c>
      <c r="Z424" s="6">
        <v>0.15</v>
      </c>
      <c r="AA424" s="6">
        <f t="shared" si="103"/>
        <v>0.15</v>
      </c>
      <c r="AB424" s="6" t="str">
        <f t="shared" si="104"/>
        <v>Valid</v>
      </c>
      <c r="AC424" s="6">
        <v>4098.66</v>
      </c>
      <c r="AD424" s="6" t="str">
        <f>IF(OR(AO424="Cancelled",AM424="Failed"),"Exclude from Completed Sales","Include in Completed Sales")</f>
        <v>Include in Completed Sales</v>
      </c>
      <c r="AE424" s="6">
        <f t="shared" si="105"/>
        <v>4098.6574999999993</v>
      </c>
      <c r="AF424" s="6" t="str">
        <f t="shared" si="106"/>
        <v/>
      </c>
      <c r="AG424" s="6">
        <v>2678.06</v>
      </c>
      <c r="AH424" s="6">
        <v>1420.6</v>
      </c>
      <c r="AI424" s="6">
        <f t="shared" si="107"/>
        <v>1420.5974999999994</v>
      </c>
      <c r="AJ424" s="11">
        <f t="shared" si="108"/>
        <v>0.34660068571233377</v>
      </c>
      <c r="AK424" s="11" t="str">
        <f t="shared" si="109"/>
        <v>September</v>
      </c>
      <c r="AL424" s="12">
        <f t="shared" si="110"/>
        <v>2025</v>
      </c>
      <c r="AM424" s="6" t="s">
        <v>54</v>
      </c>
      <c r="AN424" s="6" t="s">
        <v>55</v>
      </c>
      <c r="AO424" s="6" t="str">
        <f t="shared" si="102"/>
        <v>Completed</v>
      </c>
    </row>
    <row r="425" spans="1:41">
      <c r="A425" s="6" t="s">
        <v>2107</v>
      </c>
      <c r="B425" s="7" t="s">
        <v>2108</v>
      </c>
      <c r="C425" s="8">
        <v>45342</v>
      </c>
      <c r="D425" s="7" t="s">
        <v>2109</v>
      </c>
      <c r="E425" s="9">
        <v>45349</v>
      </c>
      <c r="F425" s="9" t="str">
        <f t="shared" si="95"/>
        <v>Valid</v>
      </c>
      <c r="G425" s="10">
        <f t="shared" si="96"/>
        <v>7</v>
      </c>
      <c r="H425" s="10" t="str">
        <f t="shared" si="97"/>
        <v>Valid</v>
      </c>
      <c r="I425" s="6" t="s">
        <v>2110</v>
      </c>
      <c r="J425" s="6" t="s">
        <v>230</v>
      </c>
      <c r="K425" s="6" t="s">
        <v>230</v>
      </c>
      <c r="L425" s="6" t="s">
        <v>46</v>
      </c>
      <c r="M425" s="7" t="str">
        <f t="shared" si="98"/>
        <v>Consumer</v>
      </c>
      <c r="N425" s="6" t="s">
        <v>82</v>
      </c>
      <c r="O425" s="7" t="str">
        <f t="shared" si="99"/>
        <v>South</v>
      </c>
      <c r="P425" s="6" t="s">
        <v>262</v>
      </c>
      <c r="Q425" s="6" t="s">
        <v>263</v>
      </c>
      <c r="R425" s="6" t="s">
        <v>106</v>
      </c>
      <c r="S425" s="7" t="str">
        <f t="shared" si="100"/>
        <v>Technology</v>
      </c>
      <c r="T425" s="6" t="s">
        <v>107</v>
      </c>
      <c r="U425" s="6" t="s">
        <v>2111</v>
      </c>
      <c r="V425" s="6" t="s">
        <v>2112</v>
      </c>
      <c r="W425" s="7" t="str">
        <f t="shared" si="101"/>
        <v>First Class</v>
      </c>
      <c r="X425" s="6">
        <v>9</v>
      </c>
      <c r="Y425" s="6">
        <v>3779.31</v>
      </c>
      <c r="Z425" s="6">
        <v>0.2</v>
      </c>
      <c r="AA425" s="6">
        <f t="shared" si="103"/>
        <v>0.2</v>
      </c>
      <c r="AB425" s="6" t="str">
        <f t="shared" si="104"/>
        <v>Valid</v>
      </c>
      <c r="AC425" s="6">
        <v>27211.03</v>
      </c>
      <c r="AD425" s="6" t="str">
        <f>IF(OR(AO425="Cancelled",AM425="Failed"),"Exclude from Completed Sales","Include in Completed Sales")</f>
        <v>Include in Completed Sales</v>
      </c>
      <c r="AE425" s="6">
        <f t="shared" si="105"/>
        <v>27211.032000000003</v>
      </c>
      <c r="AF425" s="6" t="str">
        <f t="shared" si="106"/>
        <v/>
      </c>
      <c r="AG425" s="6">
        <v>17940.43</v>
      </c>
      <c r="AH425" s="6">
        <v>9270.6</v>
      </c>
      <c r="AI425" s="6">
        <f t="shared" si="107"/>
        <v>9270.6020000000026</v>
      </c>
      <c r="AJ425" s="11">
        <f t="shared" si="108"/>
        <v>0.34069277490100347</v>
      </c>
      <c r="AK425" s="11" t="str">
        <f t="shared" si="109"/>
        <v>February</v>
      </c>
      <c r="AL425" s="12">
        <f t="shared" si="110"/>
        <v>2024</v>
      </c>
      <c r="AM425" s="6" t="s">
        <v>54</v>
      </c>
      <c r="AN425" s="6" t="s">
        <v>55</v>
      </c>
      <c r="AO425" s="6" t="str">
        <f t="shared" si="102"/>
        <v>Completed</v>
      </c>
    </row>
    <row r="426" spans="1:41">
      <c r="A426" s="6" t="s">
        <v>2113</v>
      </c>
      <c r="B426" s="7" t="s">
        <v>2114</v>
      </c>
      <c r="C426" s="8">
        <v>45469</v>
      </c>
      <c r="D426" s="7" t="s">
        <v>2115</v>
      </c>
      <c r="E426" s="9">
        <v>45472</v>
      </c>
      <c r="F426" s="9" t="str">
        <f t="shared" si="95"/>
        <v>Valid</v>
      </c>
      <c r="G426" s="10">
        <f t="shared" si="96"/>
        <v>3</v>
      </c>
      <c r="H426" s="10" t="str">
        <f t="shared" si="97"/>
        <v>Valid</v>
      </c>
      <c r="I426" s="6" t="s">
        <v>2116</v>
      </c>
      <c r="J426" s="6" t="s">
        <v>113</v>
      </c>
      <c r="K426" s="6" t="s">
        <v>113</v>
      </c>
      <c r="L426" s="6" t="s">
        <v>128</v>
      </c>
      <c r="M426" s="7" t="str">
        <f t="shared" si="98"/>
        <v>Corporate</v>
      </c>
      <c r="N426" s="6" t="s">
        <v>47</v>
      </c>
      <c r="O426" s="7" t="str">
        <f t="shared" si="99"/>
        <v>North</v>
      </c>
      <c r="P426" s="6" t="s">
        <v>174</v>
      </c>
      <c r="Q426" s="6" t="s">
        <v>175</v>
      </c>
      <c r="R426" s="6" t="s">
        <v>106</v>
      </c>
      <c r="S426" s="7" t="str">
        <f t="shared" si="100"/>
        <v>Technology</v>
      </c>
      <c r="T426" s="6" t="s">
        <v>243</v>
      </c>
      <c r="U426" s="6" t="s">
        <v>2117</v>
      </c>
      <c r="V426" s="6" t="s">
        <v>87</v>
      </c>
      <c r="W426" s="7" t="str">
        <f t="shared" si="101"/>
        <v>Standard Class</v>
      </c>
      <c r="X426" s="6">
        <v>8</v>
      </c>
      <c r="Y426" s="6">
        <v>804.52</v>
      </c>
      <c r="Z426" s="6">
        <v>0</v>
      </c>
      <c r="AA426" s="6">
        <f t="shared" si="103"/>
        <v>0</v>
      </c>
      <c r="AB426" s="6" t="str">
        <f t="shared" si="104"/>
        <v>Valid</v>
      </c>
      <c r="AC426" s="6">
        <v>6436.16</v>
      </c>
      <c r="AD426" s="6" t="str">
        <f>IF(OR(AO426="Cancelled",AM426="Failed"),"Exclude from Completed Sales","Include in Completed Sales")</f>
        <v>Include in Completed Sales</v>
      </c>
      <c r="AE426" s="6">
        <f t="shared" si="105"/>
        <v>6436.16</v>
      </c>
      <c r="AF426" s="6" t="str">
        <f t="shared" si="106"/>
        <v/>
      </c>
      <c r="AG426" s="6">
        <v>4263.83</v>
      </c>
      <c r="AH426" s="6">
        <v>2172.33</v>
      </c>
      <c r="AI426" s="6">
        <f t="shared" si="107"/>
        <v>2172.33</v>
      </c>
      <c r="AJ426" s="11">
        <f t="shared" si="108"/>
        <v>0.33751957689056827</v>
      </c>
      <c r="AK426" s="11" t="str">
        <f t="shared" si="109"/>
        <v>June</v>
      </c>
      <c r="AL426" s="12">
        <f t="shared" si="110"/>
        <v>2024</v>
      </c>
      <c r="AM426" s="6" t="s">
        <v>54</v>
      </c>
      <c r="AN426" s="6" t="s">
        <v>55</v>
      </c>
      <c r="AO426" s="6" t="str">
        <f t="shared" si="102"/>
        <v>Completed</v>
      </c>
    </row>
    <row r="427" spans="1:41">
      <c r="A427" s="6" t="s">
        <v>2118</v>
      </c>
      <c r="B427" s="7" t="s">
        <v>2119</v>
      </c>
      <c r="C427" s="8">
        <v>45561</v>
      </c>
      <c r="D427" s="7" t="s">
        <v>2120</v>
      </c>
      <c r="E427" s="9">
        <v>45562</v>
      </c>
      <c r="F427" s="9" t="str">
        <f t="shared" si="95"/>
        <v>Valid</v>
      </c>
      <c r="G427" s="10">
        <f t="shared" si="96"/>
        <v>1</v>
      </c>
      <c r="H427" s="10" t="str">
        <f t="shared" si="97"/>
        <v>Valid</v>
      </c>
      <c r="I427" s="6" t="s">
        <v>2121</v>
      </c>
      <c r="J427" s="6" t="s">
        <v>73</v>
      </c>
      <c r="K427" s="6" t="s">
        <v>73</v>
      </c>
      <c r="L427" s="6" t="s">
        <v>135</v>
      </c>
      <c r="M427" s="7" t="str">
        <f t="shared" si="98"/>
        <v>Home Office</v>
      </c>
      <c r="N427" s="6" t="s">
        <v>47</v>
      </c>
      <c r="O427" s="7" t="str">
        <f t="shared" si="99"/>
        <v>North</v>
      </c>
      <c r="P427" s="6" t="s">
        <v>526</v>
      </c>
      <c r="Q427" s="6" t="s">
        <v>527</v>
      </c>
      <c r="R427" s="6" t="s">
        <v>50</v>
      </c>
      <c r="S427" s="7" t="str">
        <f t="shared" si="100"/>
        <v>Office Supplies</v>
      </c>
      <c r="T427" s="6" t="s">
        <v>129</v>
      </c>
      <c r="U427" s="6" t="s">
        <v>2122</v>
      </c>
      <c r="V427" s="6" t="s">
        <v>76</v>
      </c>
      <c r="W427" s="7" t="str">
        <f t="shared" si="101"/>
        <v>First Class</v>
      </c>
      <c r="X427" s="6">
        <v>2</v>
      </c>
      <c r="Y427" s="6">
        <v>1065.69</v>
      </c>
      <c r="Z427" s="6">
        <v>0.1</v>
      </c>
      <c r="AA427" s="6">
        <f t="shared" si="103"/>
        <v>0.1</v>
      </c>
      <c r="AB427" s="6" t="str">
        <f t="shared" si="104"/>
        <v>Valid</v>
      </c>
      <c r="AC427" s="6">
        <v>1918.24</v>
      </c>
      <c r="AD427" s="6" t="str">
        <f>IF(OR(AO427="Cancelled",AM427="Failed"),"Exclude from Completed Sales","Include in Completed Sales")</f>
        <v>Exclude from Completed Sales</v>
      </c>
      <c r="AE427" s="6">
        <f t="shared" si="105"/>
        <v>1918.2420000000002</v>
      </c>
      <c r="AF427" s="6" t="str">
        <f t="shared" si="106"/>
        <v>Refunded</v>
      </c>
      <c r="AG427" s="6">
        <v>1373.52</v>
      </c>
      <c r="AH427" s="6">
        <v>544.72</v>
      </c>
      <c r="AI427" s="6">
        <f t="shared" si="107"/>
        <v>544.72200000000021</v>
      </c>
      <c r="AJ427" s="11">
        <f t="shared" si="108"/>
        <v>0.2839693844676533</v>
      </c>
      <c r="AK427" s="11" t="str">
        <f t="shared" si="109"/>
        <v>September</v>
      </c>
      <c r="AL427" s="12">
        <f t="shared" si="110"/>
        <v>2024</v>
      </c>
      <c r="AM427" s="6" t="s">
        <v>144</v>
      </c>
      <c r="AN427" s="6" t="s">
        <v>98</v>
      </c>
      <c r="AO427" s="6" t="str">
        <f t="shared" si="102"/>
        <v>Cancelled</v>
      </c>
    </row>
    <row r="428" spans="1:41">
      <c r="A428" s="6" t="s">
        <v>2123</v>
      </c>
      <c r="B428" s="7" t="s">
        <v>2124</v>
      </c>
      <c r="C428" s="8">
        <v>45473</v>
      </c>
      <c r="D428" s="7" t="s">
        <v>2125</v>
      </c>
      <c r="E428" s="9">
        <v>45474</v>
      </c>
      <c r="F428" s="9" t="str">
        <f t="shared" si="95"/>
        <v>Valid</v>
      </c>
      <c r="G428" s="10">
        <f t="shared" si="96"/>
        <v>1</v>
      </c>
      <c r="H428" s="10" t="str">
        <f t="shared" si="97"/>
        <v>Valid</v>
      </c>
      <c r="I428" s="6" t="s">
        <v>2126</v>
      </c>
      <c r="J428" s="6" t="s">
        <v>127</v>
      </c>
      <c r="K428" s="6" t="s">
        <v>127</v>
      </c>
      <c r="L428" s="6" t="s">
        <v>46</v>
      </c>
      <c r="M428" s="7" t="str">
        <f t="shared" si="98"/>
        <v>Consumer</v>
      </c>
      <c r="N428" s="6" t="s">
        <v>47</v>
      </c>
      <c r="O428" s="7" t="str">
        <f t="shared" si="99"/>
        <v>North</v>
      </c>
      <c r="P428" s="6" t="s">
        <v>343</v>
      </c>
      <c r="Q428" s="6" t="s">
        <v>344</v>
      </c>
      <c r="R428" s="6" t="s">
        <v>106</v>
      </c>
      <c r="S428" s="7" t="str">
        <f t="shared" si="100"/>
        <v>Technology</v>
      </c>
      <c r="T428" s="6" t="s">
        <v>114</v>
      </c>
      <c r="U428" s="6" t="s">
        <v>2127</v>
      </c>
      <c r="V428" s="6" t="s">
        <v>68</v>
      </c>
      <c r="W428" s="7" t="str">
        <f t="shared" si="101"/>
        <v>Same Day</v>
      </c>
      <c r="X428" s="6">
        <v>8</v>
      </c>
      <c r="Y428" s="6">
        <v>3756.66</v>
      </c>
      <c r="Z428" s="6">
        <v>0.1</v>
      </c>
      <c r="AA428" s="6">
        <f t="shared" si="103"/>
        <v>0.1</v>
      </c>
      <c r="AB428" s="6" t="str">
        <f t="shared" si="104"/>
        <v>Valid</v>
      </c>
      <c r="AC428" s="6">
        <v>27047.95</v>
      </c>
      <c r="AD428" s="6" t="str">
        <f>IF(OR(AO428="Cancelled",AM428="Failed"),"Exclude from Completed Sales","Include in Completed Sales")</f>
        <v>Include in Completed Sales</v>
      </c>
      <c r="AE428" s="6">
        <f t="shared" si="105"/>
        <v>27047.952000000001</v>
      </c>
      <c r="AF428" s="6" t="str">
        <f t="shared" si="106"/>
        <v/>
      </c>
      <c r="AG428" s="6">
        <v>18431.330000000002</v>
      </c>
      <c r="AH428" s="6">
        <v>8616.6200000000008</v>
      </c>
      <c r="AI428" s="6">
        <f t="shared" si="107"/>
        <v>8616.6219999999994</v>
      </c>
      <c r="AJ428" s="11">
        <f t="shared" si="108"/>
        <v>0.31856837072174626</v>
      </c>
      <c r="AK428" s="11" t="str">
        <f t="shared" si="109"/>
        <v>June</v>
      </c>
      <c r="AL428" s="12">
        <f t="shared" si="110"/>
        <v>2024</v>
      </c>
      <c r="AM428" s="6" t="s">
        <v>54</v>
      </c>
      <c r="AN428" s="6" t="s">
        <v>55</v>
      </c>
      <c r="AO428" s="6" t="str">
        <f t="shared" si="102"/>
        <v>Completed</v>
      </c>
    </row>
    <row r="429" spans="1:41">
      <c r="A429" s="6" t="s">
        <v>2128</v>
      </c>
      <c r="B429" s="7" t="s">
        <v>2129</v>
      </c>
      <c r="C429" s="8">
        <v>45769</v>
      </c>
      <c r="D429" s="7" t="s">
        <v>2130</v>
      </c>
      <c r="E429" s="9">
        <v>45771</v>
      </c>
      <c r="F429" s="9" t="str">
        <f t="shared" si="95"/>
        <v>Valid</v>
      </c>
      <c r="G429" s="10">
        <f t="shared" si="96"/>
        <v>2</v>
      </c>
      <c r="H429" s="10" t="str">
        <f t="shared" si="97"/>
        <v>Valid</v>
      </c>
      <c r="I429" s="6" t="s">
        <v>2131</v>
      </c>
      <c r="J429" s="6" t="s">
        <v>73</v>
      </c>
      <c r="K429" s="6" t="s">
        <v>73</v>
      </c>
      <c r="L429" s="6" t="s">
        <v>128</v>
      </c>
      <c r="M429" s="7" t="str">
        <f t="shared" si="98"/>
        <v>Corporate</v>
      </c>
      <c r="N429" s="6"/>
      <c r="O429" s="7" t="str">
        <f t="shared" si="99"/>
        <v>Unknown</v>
      </c>
      <c r="P429" s="6" t="s">
        <v>331</v>
      </c>
      <c r="Q429" s="6" t="s">
        <v>332</v>
      </c>
      <c r="R429" s="6" t="s">
        <v>106</v>
      </c>
      <c r="S429" s="7" t="str">
        <f t="shared" si="100"/>
        <v>Technology</v>
      </c>
      <c r="T429" s="6" t="s">
        <v>107</v>
      </c>
      <c r="U429" s="6" t="s">
        <v>2132</v>
      </c>
      <c r="V429" s="6" t="s">
        <v>306</v>
      </c>
      <c r="W429" s="7" t="str">
        <f t="shared" si="101"/>
        <v>Standard Class</v>
      </c>
      <c r="X429" s="6">
        <v>9</v>
      </c>
      <c r="Y429" s="6">
        <v>2939.44</v>
      </c>
      <c r="Z429" s="6">
        <v>0</v>
      </c>
      <c r="AA429" s="6">
        <f t="shared" si="103"/>
        <v>0</v>
      </c>
      <c r="AB429" s="6" t="str">
        <f t="shared" si="104"/>
        <v>Valid</v>
      </c>
      <c r="AC429" s="6">
        <v>26454.959999999999</v>
      </c>
      <c r="AD429" s="6" t="str">
        <f>IF(OR(AO429="Cancelled",AM429="Failed"),"Exclude from Completed Sales","Include in Completed Sales")</f>
        <v>Include in Completed Sales</v>
      </c>
      <c r="AE429" s="6">
        <f t="shared" si="105"/>
        <v>26454.959999999999</v>
      </c>
      <c r="AF429" s="6" t="str">
        <f t="shared" si="106"/>
        <v/>
      </c>
      <c r="AG429" s="6">
        <v>17630.25</v>
      </c>
      <c r="AH429" s="6">
        <v>8824.7099999999991</v>
      </c>
      <c r="AI429" s="6">
        <f t="shared" si="107"/>
        <v>8824.7099999999991</v>
      </c>
      <c r="AJ429" s="11">
        <f t="shared" si="108"/>
        <v>0.33357487594008833</v>
      </c>
      <c r="AK429" s="11" t="str">
        <f t="shared" si="109"/>
        <v>April</v>
      </c>
      <c r="AL429" s="12">
        <f t="shared" si="110"/>
        <v>2025</v>
      </c>
      <c r="AM429" s="6" t="s">
        <v>54</v>
      </c>
      <c r="AN429" s="6" t="s">
        <v>55</v>
      </c>
      <c r="AO429" s="6" t="str">
        <f t="shared" si="102"/>
        <v>Completed</v>
      </c>
    </row>
    <row r="430" spans="1:41">
      <c r="A430" s="6" t="s">
        <v>2133</v>
      </c>
      <c r="B430" s="7" t="s">
        <v>2134</v>
      </c>
      <c r="C430" s="8">
        <v>45731</v>
      </c>
      <c r="D430" s="7" t="s">
        <v>2135</v>
      </c>
      <c r="E430" s="9">
        <v>45738</v>
      </c>
      <c r="F430" s="9" t="str">
        <f t="shared" si="95"/>
        <v>Valid</v>
      </c>
      <c r="G430" s="10">
        <f t="shared" si="96"/>
        <v>7</v>
      </c>
      <c r="H430" s="10" t="str">
        <f t="shared" si="97"/>
        <v>Valid</v>
      </c>
      <c r="I430" s="6" t="s">
        <v>2136</v>
      </c>
      <c r="J430" s="6" t="s">
        <v>45</v>
      </c>
      <c r="K430" s="6" t="s">
        <v>45</v>
      </c>
      <c r="L430" s="6" t="s">
        <v>61</v>
      </c>
      <c r="M430" s="7" t="str">
        <f t="shared" si="98"/>
        <v>Small Business</v>
      </c>
      <c r="N430" s="6" t="s">
        <v>62</v>
      </c>
      <c r="O430" s="7" t="str">
        <f t="shared" si="99"/>
        <v>East</v>
      </c>
      <c r="P430" s="6" t="s">
        <v>141</v>
      </c>
      <c r="Q430" s="6" t="s">
        <v>142</v>
      </c>
      <c r="R430" s="6" t="s">
        <v>106</v>
      </c>
      <c r="S430" s="7" t="str">
        <f t="shared" si="100"/>
        <v>Technology</v>
      </c>
      <c r="T430" s="6" t="s">
        <v>243</v>
      </c>
      <c r="U430" s="6" t="s">
        <v>2137</v>
      </c>
      <c r="V430" s="6" t="s">
        <v>68</v>
      </c>
      <c r="W430" s="7" t="str">
        <f t="shared" si="101"/>
        <v>Same Day</v>
      </c>
      <c r="X430" s="6">
        <v>2</v>
      </c>
      <c r="Y430" s="6">
        <v>1235.93</v>
      </c>
      <c r="Z430" s="6">
        <v>0.25</v>
      </c>
      <c r="AA430" s="6">
        <f t="shared" si="103"/>
        <v>0.25</v>
      </c>
      <c r="AB430" s="6" t="str">
        <f t="shared" si="104"/>
        <v>Valid</v>
      </c>
      <c r="AC430" s="6">
        <v>1853.89</v>
      </c>
      <c r="AD430" s="6" t="str">
        <f>IF(OR(AO430="Cancelled",AM430="Failed"),"Exclude from Completed Sales","Include in Completed Sales")</f>
        <v>Exclude from Completed Sales</v>
      </c>
      <c r="AE430" s="6">
        <f t="shared" si="105"/>
        <v>1853.895</v>
      </c>
      <c r="AF430" s="6" t="str">
        <f t="shared" si="106"/>
        <v/>
      </c>
      <c r="AG430" s="6">
        <v>1101.23</v>
      </c>
      <c r="AH430" s="6">
        <v>752.66</v>
      </c>
      <c r="AI430" s="6">
        <f t="shared" si="107"/>
        <v>752.66499999999996</v>
      </c>
      <c r="AJ430" s="11">
        <f t="shared" si="108"/>
        <v>0.40599116994220275</v>
      </c>
      <c r="AK430" s="11" t="str">
        <f t="shared" si="109"/>
        <v>March</v>
      </c>
      <c r="AL430" s="12">
        <f t="shared" si="110"/>
        <v>2025</v>
      </c>
      <c r="AM430" s="6" t="s">
        <v>157</v>
      </c>
      <c r="AN430" s="6" t="s">
        <v>98</v>
      </c>
      <c r="AO430" s="6" t="str">
        <f t="shared" si="102"/>
        <v>Cancelled</v>
      </c>
    </row>
    <row r="431" spans="1:41">
      <c r="A431" s="6" t="s">
        <v>2138</v>
      </c>
      <c r="B431" s="7" t="s">
        <v>2139</v>
      </c>
      <c r="C431" s="8">
        <v>45717</v>
      </c>
      <c r="D431" s="7" t="s">
        <v>2140</v>
      </c>
      <c r="E431" s="9">
        <v>45724</v>
      </c>
      <c r="F431" s="9" t="str">
        <f t="shared" si="95"/>
        <v>Valid</v>
      </c>
      <c r="G431" s="10">
        <f t="shared" si="96"/>
        <v>7</v>
      </c>
      <c r="H431" s="10" t="str">
        <f t="shared" si="97"/>
        <v>Valid</v>
      </c>
      <c r="I431" s="6" t="s">
        <v>2141</v>
      </c>
      <c r="J431" s="6" t="s">
        <v>113</v>
      </c>
      <c r="K431" s="6" t="s">
        <v>113</v>
      </c>
      <c r="L431" s="6" t="s">
        <v>135</v>
      </c>
      <c r="M431" s="7" t="str">
        <f t="shared" si="98"/>
        <v>Home Office</v>
      </c>
      <c r="N431" s="6" t="s">
        <v>47</v>
      </c>
      <c r="O431" s="7" t="str">
        <f t="shared" si="99"/>
        <v>North</v>
      </c>
      <c r="P431" s="6" t="s">
        <v>48</v>
      </c>
      <c r="Q431" s="6" t="s">
        <v>49</v>
      </c>
      <c r="R431" s="6" t="s">
        <v>106</v>
      </c>
      <c r="S431" s="7" t="str">
        <f t="shared" si="100"/>
        <v>Technology</v>
      </c>
      <c r="T431" s="6" t="s">
        <v>114</v>
      </c>
      <c r="U431" s="6" t="s">
        <v>2142</v>
      </c>
      <c r="V431" s="6" t="s">
        <v>68</v>
      </c>
      <c r="W431" s="7" t="str">
        <f t="shared" si="101"/>
        <v>Same Day</v>
      </c>
      <c r="X431" s="6">
        <v>8</v>
      </c>
      <c r="Y431" s="6">
        <v>2943.1</v>
      </c>
      <c r="Z431" s="6">
        <v>0.25</v>
      </c>
      <c r="AA431" s="6">
        <f t="shared" si="103"/>
        <v>0.25</v>
      </c>
      <c r="AB431" s="6" t="str">
        <f t="shared" si="104"/>
        <v>Valid</v>
      </c>
      <c r="AC431" s="6">
        <v>17658.599999999999</v>
      </c>
      <c r="AD431" s="6" t="str">
        <f>IF(OR(AO431="Cancelled",AM431="Failed"),"Exclude from Completed Sales","Include in Completed Sales")</f>
        <v>Include in Completed Sales</v>
      </c>
      <c r="AE431" s="6">
        <f t="shared" si="105"/>
        <v>17658.599999999999</v>
      </c>
      <c r="AF431" s="6" t="str">
        <f t="shared" si="106"/>
        <v/>
      </c>
      <c r="AG431" s="6">
        <v>13842.48</v>
      </c>
      <c r="AH431" s="6">
        <v>3816.12</v>
      </c>
      <c r="AI431" s="6">
        <f t="shared" si="107"/>
        <v>3816.119999999999</v>
      </c>
      <c r="AJ431" s="11">
        <f t="shared" si="108"/>
        <v>0.2161054670245659</v>
      </c>
      <c r="AK431" s="11" t="str">
        <f t="shared" si="109"/>
        <v>March</v>
      </c>
      <c r="AL431" s="12">
        <f t="shared" si="110"/>
        <v>2025</v>
      </c>
      <c r="AM431" s="6" t="s">
        <v>54</v>
      </c>
      <c r="AN431" s="6" t="s">
        <v>55</v>
      </c>
      <c r="AO431" s="6" t="str">
        <f t="shared" si="102"/>
        <v>Completed</v>
      </c>
    </row>
    <row r="432" spans="1:41">
      <c r="A432" s="6" t="s">
        <v>2143</v>
      </c>
      <c r="B432" s="7" t="s">
        <v>2144</v>
      </c>
      <c r="C432" s="8">
        <v>45534</v>
      </c>
      <c r="D432" s="7" t="s">
        <v>2145</v>
      </c>
      <c r="E432" s="9">
        <v>45537</v>
      </c>
      <c r="F432" s="9" t="str">
        <f t="shared" si="95"/>
        <v>Valid</v>
      </c>
      <c r="G432" s="10">
        <f t="shared" si="96"/>
        <v>3</v>
      </c>
      <c r="H432" s="10" t="str">
        <f t="shared" si="97"/>
        <v>Valid</v>
      </c>
      <c r="I432" s="6" t="s">
        <v>2146</v>
      </c>
      <c r="J432" s="6" t="s">
        <v>113</v>
      </c>
      <c r="K432" s="6" t="s">
        <v>113</v>
      </c>
      <c r="L432" s="6" t="s">
        <v>61</v>
      </c>
      <c r="M432" s="7" t="str">
        <f t="shared" si="98"/>
        <v>Small Business</v>
      </c>
      <c r="N432" s="6" t="s">
        <v>47</v>
      </c>
      <c r="O432" s="7" t="str">
        <f t="shared" si="99"/>
        <v>North</v>
      </c>
      <c r="P432" s="6" t="s">
        <v>343</v>
      </c>
      <c r="Q432" s="6" t="s">
        <v>344</v>
      </c>
      <c r="R432" s="6" t="s">
        <v>50</v>
      </c>
      <c r="S432" s="7" t="str">
        <f t="shared" si="100"/>
        <v>Office Supplies</v>
      </c>
      <c r="T432" s="6" t="s">
        <v>51</v>
      </c>
      <c r="U432" s="6" t="s">
        <v>2147</v>
      </c>
      <c r="V432" s="6" t="s">
        <v>53</v>
      </c>
      <c r="W432" s="7" t="str">
        <f t="shared" si="101"/>
        <v>Second Class</v>
      </c>
      <c r="X432" s="6">
        <v>1</v>
      </c>
      <c r="Y432" s="6">
        <v>4320.84</v>
      </c>
      <c r="Z432" s="6">
        <v>0.15</v>
      </c>
      <c r="AA432" s="6">
        <f t="shared" si="103"/>
        <v>0.15</v>
      </c>
      <c r="AB432" s="6" t="str">
        <f t="shared" si="104"/>
        <v>Valid</v>
      </c>
      <c r="AC432" s="6">
        <v>3672.71</v>
      </c>
      <c r="AD432" s="6" t="str">
        <f>IF(OR(AO432="Cancelled",AM432="Failed"),"Exclude from Completed Sales","Include in Completed Sales")</f>
        <v>Include in Completed Sales</v>
      </c>
      <c r="AE432" s="6">
        <f t="shared" si="105"/>
        <v>3672.7139999999999</v>
      </c>
      <c r="AF432" s="6" t="str">
        <f t="shared" si="106"/>
        <v/>
      </c>
      <c r="AG432" s="6">
        <v>2714.23</v>
      </c>
      <c r="AH432" s="6">
        <v>763.38</v>
      </c>
      <c r="AI432" s="6">
        <f t="shared" si="107"/>
        <v>958.48399999999992</v>
      </c>
      <c r="AJ432" s="11">
        <f t="shared" si="108"/>
        <v>0.26097430946161337</v>
      </c>
      <c r="AK432" s="11" t="str">
        <f t="shared" si="109"/>
        <v>August</v>
      </c>
      <c r="AL432" s="12">
        <f t="shared" si="110"/>
        <v>2024</v>
      </c>
      <c r="AM432" s="6" t="s">
        <v>54</v>
      </c>
      <c r="AN432" s="6" t="s">
        <v>55</v>
      </c>
      <c r="AO432" s="6" t="str">
        <f t="shared" si="102"/>
        <v>Completed</v>
      </c>
    </row>
    <row r="433" spans="1:41">
      <c r="A433" s="6" t="s">
        <v>2148</v>
      </c>
      <c r="B433" s="7" t="s">
        <v>2149</v>
      </c>
      <c r="C433" s="8">
        <v>45332</v>
      </c>
      <c r="D433" s="7" t="s">
        <v>2150</v>
      </c>
      <c r="E433" s="9">
        <v>45335</v>
      </c>
      <c r="F433" s="9" t="str">
        <f t="shared" si="95"/>
        <v>Valid</v>
      </c>
      <c r="G433" s="10">
        <f t="shared" si="96"/>
        <v>3</v>
      </c>
      <c r="H433" s="10" t="str">
        <f t="shared" si="97"/>
        <v>Valid</v>
      </c>
      <c r="I433" s="6" t="s">
        <v>2151</v>
      </c>
      <c r="J433" s="6" t="s">
        <v>45</v>
      </c>
      <c r="K433" s="6" t="s">
        <v>45</v>
      </c>
      <c r="L433" s="6" t="s">
        <v>135</v>
      </c>
      <c r="M433" s="7" t="str">
        <f t="shared" si="98"/>
        <v>Home Office</v>
      </c>
      <c r="N433" s="6" t="s">
        <v>93</v>
      </c>
      <c r="O433" s="7" t="str">
        <f t="shared" si="99"/>
        <v>West</v>
      </c>
      <c r="P433" s="6" t="s">
        <v>269</v>
      </c>
      <c r="Q433" s="6" t="s">
        <v>270</v>
      </c>
      <c r="R433" s="6" t="s">
        <v>106</v>
      </c>
      <c r="S433" s="7" t="str">
        <f t="shared" si="100"/>
        <v>Technology</v>
      </c>
      <c r="T433" s="6" t="s">
        <v>402</v>
      </c>
      <c r="U433" s="6" t="s">
        <v>2152</v>
      </c>
      <c r="V433" s="6" t="s">
        <v>68</v>
      </c>
      <c r="W433" s="7" t="str">
        <f t="shared" si="101"/>
        <v>Same Day</v>
      </c>
      <c r="X433" s="6">
        <v>2</v>
      </c>
      <c r="Y433" s="6">
        <v>4118.45</v>
      </c>
      <c r="Z433" s="6">
        <v>0.25</v>
      </c>
      <c r="AA433" s="6">
        <f t="shared" si="103"/>
        <v>0.25</v>
      </c>
      <c r="AB433" s="6" t="str">
        <f t="shared" si="104"/>
        <v>Valid</v>
      </c>
      <c r="AC433" s="6">
        <v>6177.67</v>
      </c>
      <c r="AD433" s="6" t="str">
        <f>IF(OR(AO433="Cancelled",AM433="Failed"),"Exclude from Completed Sales","Include in Completed Sales")</f>
        <v>Include in Completed Sales</v>
      </c>
      <c r="AE433" s="6">
        <f t="shared" si="105"/>
        <v>6177.6749999999993</v>
      </c>
      <c r="AF433" s="6" t="str">
        <f t="shared" si="106"/>
        <v/>
      </c>
      <c r="AG433" s="6">
        <v>4520.75</v>
      </c>
      <c r="AH433" s="6">
        <v>1656.92</v>
      </c>
      <c r="AI433" s="6">
        <f t="shared" si="107"/>
        <v>1656.9249999999993</v>
      </c>
      <c r="AJ433" s="11">
        <f t="shared" si="108"/>
        <v>0.26821174632851347</v>
      </c>
      <c r="AK433" s="11" t="str">
        <f t="shared" si="109"/>
        <v>February</v>
      </c>
      <c r="AL433" s="12">
        <f t="shared" si="110"/>
        <v>2024</v>
      </c>
      <c r="AM433" s="6" t="s">
        <v>54</v>
      </c>
      <c r="AN433" s="6" t="s">
        <v>55</v>
      </c>
      <c r="AO433" s="6" t="str">
        <f t="shared" si="102"/>
        <v>Completed</v>
      </c>
    </row>
    <row r="434" spans="1:41">
      <c r="A434" s="6" t="s">
        <v>2153</v>
      </c>
      <c r="B434" s="7" t="s">
        <v>1970</v>
      </c>
      <c r="C434" s="8">
        <v>45533</v>
      </c>
      <c r="D434" s="7" t="s">
        <v>2145</v>
      </c>
      <c r="E434" s="9">
        <v>45537</v>
      </c>
      <c r="F434" s="9" t="str">
        <f t="shared" si="95"/>
        <v>Valid</v>
      </c>
      <c r="G434" s="10">
        <f t="shared" si="96"/>
        <v>4</v>
      </c>
      <c r="H434" s="10" t="str">
        <f t="shared" si="97"/>
        <v>Valid</v>
      </c>
      <c r="I434" s="6" t="s">
        <v>2154</v>
      </c>
      <c r="J434" s="6" t="s">
        <v>162</v>
      </c>
      <c r="K434" s="6" t="s">
        <v>162</v>
      </c>
      <c r="L434" s="6" t="s">
        <v>61</v>
      </c>
      <c r="M434" s="7" t="str">
        <f t="shared" si="98"/>
        <v>Small Business</v>
      </c>
      <c r="N434" s="6" t="s">
        <v>93</v>
      </c>
      <c r="O434" s="7" t="str">
        <f t="shared" si="99"/>
        <v>West</v>
      </c>
      <c r="P434" s="6" t="s">
        <v>94</v>
      </c>
      <c r="Q434" s="6" t="s">
        <v>95</v>
      </c>
      <c r="R434" s="6" t="s">
        <v>65</v>
      </c>
      <c r="S434" s="7" t="str">
        <f t="shared" si="100"/>
        <v>Furniture</v>
      </c>
      <c r="T434" s="6" t="s">
        <v>224</v>
      </c>
      <c r="U434" s="6" t="s">
        <v>2155</v>
      </c>
      <c r="V434" s="6" t="s">
        <v>87</v>
      </c>
      <c r="W434" s="7" t="str">
        <f t="shared" si="101"/>
        <v>Standard Class</v>
      </c>
      <c r="X434" s="6">
        <v>6</v>
      </c>
      <c r="Y434" s="6">
        <v>172.82</v>
      </c>
      <c r="Z434" s="6">
        <v>0.05</v>
      </c>
      <c r="AA434" s="6">
        <f t="shared" si="103"/>
        <v>0.05</v>
      </c>
      <c r="AB434" s="6" t="str">
        <f t="shared" si="104"/>
        <v>Valid</v>
      </c>
      <c r="AC434" s="6">
        <v>985.07</v>
      </c>
      <c r="AD434" s="6" t="str">
        <f>IF(OR(AO434="Cancelled",AM434="Failed"),"Exclude from Completed Sales","Include in Completed Sales")</f>
        <v>Include in Completed Sales</v>
      </c>
      <c r="AE434" s="6">
        <f t="shared" si="105"/>
        <v>985.07400000000007</v>
      </c>
      <c r="AF434" s="6" t="str">
        <f t="shared" si="106"/>
        <v/>
      </c>
      <c r="AG434" s="6">
        <v>844.48</v>
      </c>
      <c r="AH434" s="6">
        <v>140.59</v>
      </c>
      <c r="AI434" s="6">
        <f t="shared" si="107"/>
        <v>140.59400000000005</v>
      </c>
      <c r="AJ434" s="11">
        <f t="shared" si="108"/>
        <v>0.14272430294576857</v>
      </c>
      <c r="AK434" s="11" t="str">
        <f t="shared" si="109"/>
        <v>August</v>
      </c>
      <c r="AL434" s="12">
        <f t="shared" si="110"/>
        <v>2024</v>
      </c>
      <c r="AM434" s="6" t="s">
        <v>54</v>
      </c>
      <c r="AN434" s="6" t="s">
        <v>55</v>
      </c>
      <c r="AO434" s="6" t="str">
        <f t="shared" si="102"/>
        <v>Completed</v>
      </c>
    </row>
    <row r="435" spans="1:41">
      <c r="A435" s="6" t="s">
        <v>2156</v>
      </c>
      <c r="B435" s="7" t="s">
        <v>2157</v>
      </c>
      <c r="C435" s="8">
        <v>45401</v>
      </c>
      <c r="D435" s="7" t="s">
        <v>2158</v>
      </c>
      <c r="E435" s="9">
        <v>45402</v>
      </c>
      <c r="F435" s="9" t="str">
        <f t="shared" si="95"/>
        <v>Valid</v>
      </c>
      <c r="G435" s="10">
        <f t="shared" si="96"/>
        <v>1</v>
      </c>
      <c r="H435" s="10" t="str">
        <f t="shared" si="97"/>
        <v>Valid</v>
      </c>
      <c r="I435" s="6" t="s">
        <v>2159</v>
      </c>
      <c r="J435" s="6" t="s">
        <v>162</v>
      </c>
      <c r="K435" s="6" t="s">
        <v>162</v>
      </c>
      <c r="L435" s="6" t="s">
        <v>128</v>
      </c>
      <c r="M435" s="7" t="str">
        <f t="shared" si="98"/>
        <v>Corporate</v>
      </c>
      <c r="N435" s="6" t="s">
        <v>82</v>
      </c>
      <c r="O435" s="7" t="str">
        <f t="shared" si="99"/>
        <v>South</v>
      </c>
      <c r="P435" s="6" t="s">
        <v>262</v>
      </c>
      <c r="Q435" s="6" t="s">
        <v>263</v>
      </c>
      <c r="R435" s="6" t="s">
        <v>50</v>
      </c>
      <c r="S435" s="7" t="str">
        <f t="shared" si="100"/>
        <v>Office Supplies</v>
      </c>
      <c r="T435" s="6" t="s">
        <v>74</v>
      </c>
      <c r="U435" s="6" t="s">
        <v>2160</v>
      </c>
      <c r="V435" s="6" t="s">
        <v>53</v>
      </c>
      <c r="W435" s="7" t="str">
        <f t="shared" si="101"/>
        <v>Second Class</v>
      </c>
      <c r="X435" s="6">
        <v>4</v>
      </c>
      <c r="Y435" s="6">
        <v>1540.22</v>
      </c>
      <c r="Z435" s="6">
        <v>0</v>
      </c>
      <c r="AA435" s="6">
        <f t="shared" si="103"/>
        <v>0</v>
      </c>
      <c r="AB435" s="6" t="str">
        <f t="shared" si="104"/>
        <v>Valid</v>
      </c>
      <c r="AC435" s="6">
        <v>6160.88</v>
      </c>
      <c r="AD435" s="6" t="str">
        <f>IF(OR(AO435="Cancelled",AM435="Failed"),"Exclude from Completed Sales","Include in Completed Sales")</f>
        <v>Include in Completed Sales</v>
      </c>
      <c r="AE435" s="6">
        <f t="shared" si="105"/>
        <v>6160.88</v>
      </c>
      <c r="AF435" s="6" t="str">
        <f t="shared" si="106"/>
        <v>Refunded</v>
      </c>
      <c r="AG435" s="6">
        <v>4938.7</v>
      </c>
      <c r="AH435" s="6">
        <v>1222.18</v>
      </c>
      <c r="AI435" s="6">
        <f t="shared" si="107"/>
        <v>1222.1800000000003</v>
      </c>
      <c r="AJ435" s="11">
        <f t="shared" si="108"/>
        <v>0.19837750451234243</v>
      </c>
      <c r="AK435" s="11" t="str">
        <f t="shared" si="109"/>
        <v>April</v>
      </c>
      <c r="AL435" s="12">
        <f t="shared" si="110"/>
        <v>2024</v>
      </c>
      <c r="AM435" s="6" t="s">
        <v>144</v>
      </c>
      <c r="AN435" s="6" t="s">
        <v>145</v>
      </c>
      <c r="AO435" s="6" t="str">
        <f t="shared" si="102"/>
        <v>Returned</v>
      </c>
    </row>
    <row r="436" spans="1:41">
      <c r="A436" s="6" t="s">
        <v>2161</v>
      </c>
      <c r="B436" s="7" t="s">
        <v>2162</v>
      </c>
      <c r="C436" s="8">
        <v>45758</v>
      </c>
      <c r="D436" s="7" t="s">
        <v>2163</v>
      </c>
      <c r="E436" s="9">
        <v>45762</v>
      </c>
      <c r="F436" s="9" t="str">
        <f t="shared" si="95"/>
        <v>Valid</v>
      </c>
      <c r="G436" s="10">
        <f t="shared" si="96"/>
        <v>4</v>
      </c>
      <c r="H436" s="10" t="str">
        <f t="shared" si="97"/>
        <v>Valid</v>
      </c>
      <c r="I436" s="6" t="s">
        <v>2164</v>
      </c>
      <c r="J436" s="6" t="s">
        <v>60</v>
      </c>
      <c r="K436" s="6" t="s">
        <v>60</v>
      </c>
      <c r="L436" s="6" t="s">
        <v>135</v>
      </c>
      <c r="M436" s="7" t="str">
        <f t="shared" si="98"/>
        <v>Home Office</v>
      </c>
      <c r="N436" s="6" t="s">
        <v>47</v>
      </c>
      <c r="O436" s="7" t="str">
        <f t="shared" si="99"/>
        <v>North</v>
      </c>
      <c r="P436" s="6" t="s">
        <v>194</v>
      </c>
      <c r="Q436" s="6" t="s">
        <v>195</v>
      </c>
      <c r="R436" s="6" t="s">
        <v>106</v>
      </c>
      <c r="S436" s="7" t="str">
        <f t="shared" si="100"/>
        <v>Technology</v>
      </c>
      <c r="T436" s="6" t="s">
        <v>107</v>
      </c>
      <c r="U436" s="6" t="s">
        <v>2165</v>
      </c>
      <c r="V436" s="6" t="s">
        <v>53</v>
      </c>
      <c r="W436" s="7" t="str">
        <f t="shared" si="101"/>
        <v>Second Class</v>
      </c>
      <c r="X436" s="6">
        <v>5</v>
      </c>
      <c r="Y436" s="6">
        <v>652.78</v>
      </c>
      <c r="Z436" s="6">
        <v>0</v>
      </c>
      <c r="AA436" s="6">
        <f t="shared" si="103"/>
        <v>0</v>
      </c>
      <c r="AB436" s="6" t="str">
        <f t="shared" si="104"/>
        <v>Valid</v>
      </c>
      <c r="AC436" s="6">
        <v>3263.9</v>
      </c>
      <c r="AD436" s="6" t="str">
        <f>IF(OR(AO436="Cancelled",AM436="Failed"),"Exclude from Completed Sales","Include in Completed Sales")</f>
        <v>Include in Completed Sales</v>
      </c>
      <c r="AE436" s="6">
        <f t="shared" si="105"/>
        <v>3263.8999999999996</v>
      </c>
      <c r="AF436" s="6" t="str">
        <f t="shared" si="106"/>
        <v/>
      </c>
      <c r="AG436" s="6">
        <v>2068.44</v>
      </c>
      <c r="AH436" s="6">
        <v>1195.46</v>
      </c>
      <c r="AI436" s="6">
        <f t="shared" si="107"/>
        <v>1195.4599999999996</v>
      </c>
      <c r="AJ436" s="11">
        <f t="shared" si="108"/>
        <v>0.3662673488771101</v>
      </c>
      <c r="AK436" s="11" t="str">
        <f t="shared" si="109"/>
        <v>April</v>
      </c>
      <c r="AL436" s="12">
        <f t="shared" si="110"/>
        <v>2025</v>
      </c>
      <c r="AM436" s="6" t="s">
        <v>54</v>
      </c>
      <c r="AN436" s="6" t="s">
        <v>55</v>
      </c>
      <c r="AO436" s="6" t="str">
        <f t="shared" si="102"/>
        <v>Completed</v>
      </c>
    </row>
    <row r="437" spans="1:41">
      <c r="A437" s="6" t="s">
        <v>2166</v>
      </c>
      <c r="B437" s="7" t="s">
        <v>2167</v>
      </c>
      <c r="C437" s="8">
        <v>45759</v>
      </c>
      <c r="D437" s="7" t="s">
        <v>1048</v>
      </c>
      <c r="E437" s="9">
        <v>45767</v>
      </c>
      <c r="F437" s="9" t="str">
        <f t="shared" si="95"/>
        <v>Valid</v>
      </c>
      <c r="G437" s="10">
        <f t="shared" si="96"/>
        <v>8</v>
      </c>
      <c r="H437" s="10" t="str">
        <f t="shared" si="97"/>
        <v>Valid</v>
      </c>
      <c r="I437" s="6" t="s">
        <v>2168</v>
      </c>
      <c r="J437" s="6" t="s">
        <v>386</v>
      </c>
      <c r="K437" s="6" t="s">
        <v>386</v>
      </c>
      <c r="L437" s="6" t="s">
        <v>135</v>
      </c>
      <c r="M437" s="7" t="str">
        <f t="shared" si="98"/>
        <v>Home Office</v>
      </c>
      <c r="N437" s="6" t="s">
        <v>47</v>
      </c>
      <c r="O437" s="7" t="str">
        <f t="shared" si="99"/>
        <v>North</v>
      </c>
      <c r="P437" s="6" t="s">
        <v>526</v>
      </c>
      <c r="Q437" s="6" t="s">
        <v>527</v>
      </c>
      <c r="R437" s="6" t="s">
        <v>106</v>
      </c>
      <c r="S437" s="7" t="str">
        <f t="shared" si="100"/>
        <v>Technology</v>
      </c>
      <c r="T437" s="6" t="s">
        <v>402</v>
      </c>
      <c r="U437" s="6" t="s">
        <v>2169</v>
      </c>
      <c r="V437" s="6" t="s">
        <v>87</v>
      </c>
      <c r="W437" s="7" t="str">
        <f t="shared" si="101"/>
        <v>Standard Class</v>
      </c>
      <c r="X437" s="6">
        <v>1</v>
      </c>
      <c r="Y437" s="6">
        <v>2737.71</v>
      </c>
      <c r="Z437" s="6">
        <v>0.15</v>
      </c>
      <c r="AA437" s="6">
        <f t="shared" si="103"/>
        <v>0.15</v>
      </c>
      <c r="AB437" s="6" t="str">
        <f t="shared" si="104"/>
        <v>Valid</v>
      </c>
      <c r="AC437" s="6">
        <v>2327.0500000000002</v>
      </c>
      <c r="AD437" s="6" t="str">
        <f>IF(OR(AO437="Cancelled",AM437="Failed"),"Exclude from Completed Sales","Include in Completed Sales")</f>
        <v>Exclude from Completed Sales</v>
      </c>
      <c r="AE437" s="6">
        <f t="shared" si="105"/>
        <v>2327.0535</v>
      </c>
      <c r="AF437" s="6" t="str">
        <f t="shared" si="106"/>
        <v/>
      </c>
      <c r="AG437" s="6">
        <v>1919.42</v>
      </c>
      <c r="AH437" s="6">
        <v>407.63</v>
      </c>
      <c r="AI437" s="6">
        <f t="shared" si="107"/>
        <v>407.63349999999991</v>
      </c>
      <c r="AJ437" s="11">
        <f t="shared" si="108"/>
        <v>0.17517152055163318</v>
      </c>
      <c r="AK437" s="11" t="str">
        <f t="shared" si="109"/>
        <v>April</v>
      </c>
      <c r="AL437" s="12">
        <f t="shared" si="110"/>
        <v>2025</v>
      </c>
      <c r="AM437" s="6" t="s">
        <v>54</v>
      </c>
      <c r="AN437" s="6" t="s">
        <v>98</v>
      </c>
      <c r="AO437" s="6" t="str">
        <f t="shared" si="102"/>
        <v>Cancelled</v>
      </c>
    </row>
    <row r="438" spans="1:41">
      <c r="A438" s="6" t="s">
        <v>2170</v>
      </c>
      <c r="B438" s="7" t="s">
        <v>2171</v>
      </c>
      <c r="C438" s="8">
        <v>45459</v>
      </c>
      <c r="D438" s="7" t="s">
        <v>2172</v>
      </c>
      <c r="E438" s="9">
        <v>45464</v>
      </c>
      <c r="F438" s="9" t="str">
        <f t="shared" si="95"/>
        <v>Valid</v>
      </c>
      <c r="G438" s="10">
        <f t="shared" si="96"/>
        <v>5</v>
      </c>
      <c r="H438" s="10" t="str">
        <f t="shared" si="97"/>
        <v>Valid</v>
      </c>
      <c r="I438" s="6" t="s">
        <v>2173</v>
      </c>
      <c r="J438" s="6" t="s">
        <v>113</v>
      </c>
      <c r="K438" s="6" t="s">
        <v>113</v>
      </c>
      <c r="L438" s="6" t="s">
        <v>46</v>
      </c>
      <c r="M438" s="7" t="str">
        <f t="shared" si="98"/>
        <v>Consumer</v>
      </c>
      <c r="N438" s="6" t="s">
        <v>82</v>
      </c>
      <c r="O438" s="7" t="str">
        <f t="shared" si="99"/>
        <v>South</v>
      </c>
      <c r="P438" s="6" t="s">
        <v>262</v>
      </c>
      <c r="Q438" s="6" t="s">
        <v>263</v>
      </c>
      <c r="R438" s="6" t="s">
        <v>65</v>
      </c>
      <c r="S438" s="7" t="str">
        <f t="shared" si="100"/>
        <v>Furniture</v>
      </c>
      <c r="T438" s="6" t="s">
        <v>85</v>
      </c>
      <c r="U438" s="6" t="s">
        <v>2174</v>
      </c>
      <c r="V438" s="6" t="s">
        <v>68</v>
      </c>
      <c r="W438" s="7" t="str">
        <f t="shared" si="101"/>
        <v>Same Day</v>
      </c>
      <c r="X438" s="6">
        <v>6</v>
      </c>
      <c r="Y438" s="6">
        <v>1156.78</v>
      </c>
      <c r="Z438" s="6">
        <v>0.05</v>
      </c>
      <c r="AA438" s="6">
        <f t="shared" si="103"/>
        <v>0.05</v>
      </c>
      <c r="AB438" s="6" t="str">
        <f t="shared" si="104"/>
        <v>Valid</v>
      </c>
      <c r="AC438" s="6">
        <v>6593.65</v>
      </c>
      <c r="AD438" s="6" t="str">
        <f>IF(OR(AO438="Cancelled",AM438="Failed"),"Exclude from Completed Sales","Include in Completed Sales")</f>
        <v>Include in Completed Sales</v>
      </c>
      <c r="AE438" s="6">
        <f t="shared" si="105"/>
        <v>6593.6459999999997</v>
      </c>
      <c r="AF438" s="6" t="str">
        <f t="shared" si="106"/>
        <v/>
      </c>
      <c r="AG438" s="6">
        <v>4359.3900000000003</v>
      </c>
      <c r="AH438" s="6">
        <v>2234.2600000000002</v>
      </c>
      <c r="AI438" s="6">
        <f t="shared" si="107"/>
        <v>2234.2559999999994</v>
      </c>
      <c r="AJ438" s="11">
        <f t="shared" si="108"/>
        <v>0.33884985636171544</v>
      </c>
      <c r="AK438" s="11" t="str">
        <f t="shared" si="109"/>
        <v>June</v>
      </c>
      <c r="AL438" s="12">
        <f t="shared" si="110"/>
        <v>2024</v>
      </c>
      <c r="AM438" s="6" t="s">
        <v>54</v>
      </c>
      <c r="AN438" s="6" t="s">
        <v>145</v>
      </c>
      <c r="AO438" s="6" t="str">
        <f t="shared" si="102"/>
        <v>Returned</v>
      </c>
    </row>
    <row r="439" spans="1:41">
      <c r="A439" s="6" t="s">
        <v>2175</v>
      </c>
      <c r="B439" s="7" t="s">
        <v>2176</v>
      </c>
      <c r="C439" s="8">
        <v>45337</v>
      </c>
      <c r="D439" s="7" t="s">
        <v>2177</v>
      </c>
      <c r="E439" s="9">
        <v>45340</v>
      </c>
      <c r="F439" s="9" t="str">
        <f t="shared" si="95"/>
        <v>Valid</v>
      </c>
      <c r="G439" s="10">
        <f t="shared" si="96"/>
        <v>3</v>
      </c>
      <c r="H439" s="10" t="str">
        <f t="shared" si="97"/>
        <v>Valid</v>
      </c>
      <c r="I439" s="6" t="s">
        <v>2178</v>
      </c>
      <c r="J439" s="6" t="s">
        <v>127</v>
      </c>
      <c r="K439" s="6" t="s">
        <v>127</v>
      </c>
      <c r="L439" s="6" t="s">
        <v>61</v>
      </c>
      <c r="M439" s="7" t="str">
        <f t="shared" si="98"/>
        <v>Small Business</v>
      </c>
      <c r="N439" s="6" t="s">
        <v>82</v>
      </c>
      <c r="O439" s="7" t="str">
        <f t="shared" si="99"/>
        <v>South</v>
      </c>
      <c r="P439" s="6" t="s">
        <v>262</v>
      </c>
      <c r="Q439" s="6" t="s">
        <v>263</v>
      </c>
      <c r="R439" s="6" t="s">
        <v>106</v>
      </c>
      <c r="S439" s="7" t="str">
        <f t="shared" si="100"/>
        <v>Technology</v>
      </c>
      <c r="T439" s="6" t="s">
        <v>107</v>
      </c>
      <c r="U439" s="6" t="s">
        <v>2179</v>
      </c>
      <c r="V439" s="6" t="s">
        <v>68</v>
      </c>
      <c r="W439" s="7" t="str">
        <f t="shared" si="101"/>
        <v>Same Day</v>
      </c>
      <c r="X439" s="6">
        <v>8</v>
      </c>
      <c r="Y439" s="6">
        <v>379.82</v>
      </c>
      <c r="Z439" s="6">
        <v>0.05</v>
      </c>
      <c r="AA439" s="6">
        <f t="shared" si="103"/>
        <v>0.05</v>
      </c>
      <c r="AB439" s="6" t="str">
        <f t="shared" si="104"/>
        <v>Valid</v>
      </c>
      <c r="AC439" s="6">
        <v>2886.63</v>
      </c>
      <c r="AD439" s="6" t="str">
        <f>IF(OR(AO439="Cancelled",AM439="Failed"),"Exclude from Completed Sales","Include in Completed Sales")</f>
        <v>Exclude from Completed Sales</v>
      </c>
      <c r="AE439" s="6">
        <f t="shared" si="105"/>
        <v>2886.6319999999996</v>
      </c>
      <c r="AF439" s="6" t="str">
        <f t="shared" si="106"/>
        <v/>
      </c>
      <c r="AG439" s="6">
        <v>1588.23</v>
      </c>
      <c r="AH439" s="6">
        <v>1298.4000000000001</v>
      </c>
      <c r="AI439" s="6">
        <f t="shared" si="107"/>
        <v>1298.4019999999996</v>
      </c>
      <c r="AJ439" s="11">
        <f t="shared" si="108"/>
        <v>0.44979824238073984</v>
      </c>
      <c r="AK439" s="11" t="str">
        <f t="shared" si="109"/>
        <v>February</v>
      </c>
      <c r="AL439" s="12">
        <f t="shared" si="110"/>
        <v>2024</v>
      </c>
      <c r="AM439" s="6" t="s">
        <v>220</v>
      </c>
      <c r="AN439" s="6" t="s">
        <v>145</v>
      </c>
      <c r="AO439" s="6" t="str">
        <f t="shared" si="102"/>
        <v>Returned</v>
      </c>
    </row>
    <row r="440" spans="1:41">
      <c r="A440" s="6" t="s">
        <v>2180</v>
      </c>
      <c r="B440" s="7" t="s">
        <v>1043</v>
      </c>
      <c r="C440" s="8">
        <v>45784</v>
      </c>
      <c r="D440" s="7" t="s">
        <v>2181</v>
      </c>
      <c r="E440" s="9">
        <v>45782</v>
      </c>
      <c r="F440" s="9" t="str">
        <f t="shared" si="95"/>
        <v>Invalid Shipping Record</v>
      </c>
      <c r="G440" s="10">
        <f t="shared" si="96"/>
        <v>-2</v>
      </c>
      <c r="H440" s="10" t="str">
        <f t="shared" si="97"/>
        <v>Invalid Shipping Record</v>
      </c>
      <c r="I440" s="6" t="s">
        <v>2182</v>
      </c>
      <c r="J440" s="6" t="s">
        <v>113</v>
      </c>
      <c r="K440" s="6" t="s">
        <v>113</v>
      </c>
      <c r="L440" s="6" t="s">
        <v>128</v>
      </c>
      <c r="M440" s="7" t="str">
        <f t="shared" si="98"/>
        <v>Corporate</v>
      </c>
      <c r="N440" s="6" t="s">
        <v>62</v>
      </c>
      <c r="O440" s="7" t="str">
        <f t="shared" si="99"/>
        <v>East</v>
      </c>
      <c r="P440" s="6" t="s">
        <v>331</v>
      </c>
      <c r="Q440" s="6" t="s">
        <v>332</v>
      </c>
      <c r="R440" s="6" t="s">
        <v>106</v>
      </c>
      <c r="S440" s="7" t="str">
        <f t="shared" si="100"/>
        <v>Technology</v>
      </c>
      <c r="T440" s="6" t="s">
        <v>243</v>
      </c>
      <c r="U440" s="6" t="s">
        <v>2183</v>
      </c>
      <c r="V440" s="6" t="s">
        <v>87</v>
      </c>
      <c r="W440" s="7" t="str">
        <f t="shared" si="101"/>
        <v>Standard Class</v>
      </c>
      <c r="X440" s="6">
        <v>1</v>
      </c>
      <c r="Y440" s="6">
        <v>2266.4699999999998</v>
      </c>
      <c r="Z440" s="6">
        <v>0.2</v>
      </c>
      <c r="AA440" s="6">
        <f t="shared" si="103"/>
        <v>0.2</v>
      </c>
      <c r="AB440" s="6" t="str">
        <f t="shared" si="104"/>
        <v>Valid</v>
      </c>
      <c r="AC440" s="6">
        <v>1813.18</v>
      </c>
      <c r="AD440" s="6" t="str">
        <f>IF(OR(AO440="Cancelled",AM440="Failed"),"Exclude from Completed Sales","Include in Completed Sales")</f>
        <v>Include in Completed Sales</v>
      </c>
      <c r="AE440" s="6">
        <f t="shared" si="105"/>
        <v>1813.1759999999999</v>
      </c>
      <c r="AF440" s="6" t="str">
        <f t="shared" si="106"/>
        <v/>
      </c>
      <c r="AG440" s="6">
        <v>1363.64</v>
      </c>
      <c r="AH440" s="6">
        <v>449.54</v>
      </c>
      <c r="AI440" s="6">
        <f t="shared" si="107"/>
        <v>449.53599999999983</v>
      </c>
      <c r="AJ440" s="11">
        <f t="shared" si="108"/>
        <v>0.24792739370033567</v>
      </c>
      <c r="AK440" s="11" t="str">
        <f t="shared" si="109"/>
        <v>May</v>
      </c>
      <c r="AL440" s="12">
        <f t="shared" si="110"/>
        <v>2025</v>
      </c>
      <c r="AM440" s="6" t="s">
        <v>54</v>
      </c>
      <c r="AN440" s="6" t="s">
        <v>55</v>
      </c>
      <c r="AO440" s="6" t="str">
        <f t="shared" si="102"/>
        <v>Completed</v>
      </c>
    </row>
    <row r="441" spans="1:41">
      <c r="A441" s="6" t="s">
        <v>2184</v>
      </c>
      <c r="B441" s="7" t="s">
        <v>2185</v>
      </c>
      <c r="C441" s="8">
        <v>45838</v>
      </c>
      <c r="D441" s="7" t="s">
        <v>2186</v>
      </c>
      <c r="E441" s="9">
        <v>45841</v>
      </c>
      <c r="F441" s="9" t="str">
        <f t="shared" si="95"/>
        <v>Valid</v>
      </c>
      <c r="G441" s="10">
        <f t="shared" si="96"/>
        <v>3</v>
      </c>
      <c r="H441" s="10" t="str">
        <f t="shared" si="97"/>
        <v>Valid</v>
      </c>
      <c r="I441" s="6" t="s">
        <v>2187</v>
      </c>
      <c r="J441" s="6" t="s">
        <v>182</v>
      </c>
      <c r="K441" s="6" t="s">
        <v>182</v>
      </c>
      <c r="L441" s="6" t="s">
        <v>135</v>
      </c>
      <c r="M441" s="7" t="str">
        <f t="shared" si="98"/>
        <v>Home Office</v>
      </c>
      <c r="N441" s="6" t="s">
        <v>93</v>
      </c>
      <c r="O441" s="7" t="str">
        <f t="shared" si="99"/>
        <v>West</v>
      </c>
      <c r="P441" s="6" t="s">
        <v>269</v>
      </c>
      <c r="Q441" s="6" t="s">
        <v>270</v>
      </c>
      <c r="R441" s="6" t="s">
        <v>50</v>
      </c>
      <c r="S441" s="7" t="str">
        <f t="shared" si="100"/>
        <v>Office Supplies</v>
      </c>
      <c r="T441" s="6" t="s">
        <v>176</v>
      </c>
      <c r="U441" s="6" t="s">
        <v>2188</v>
      </c>
      <c r="V441" s="6" t="s">
        <v>68</v>
      </c>
      <c r="W441" s="7" t="str">
        <f t="shared" si="101"/>
        <v>Same Day</v>
      </c>
      <c r="X441" s="6">
        <v>5</v>
      </c>
      <c r="Y441" s="6">
        <v>665.25</v>
      </c>
      <c r="Z441" s="6">
        <v>0</v>
      </c>
      <c r="AA441" s="6">
        <f t="shared" si="103"/>
        <v>0</v>
      </c>
      <c r="AB441" s="6" t="str">
        <f t="shared" si="104"/>
        <v>Valid</v>
      </c>
      <c r="AC441" s="6">
        <v>3326.25</v>
      </c>
      <c r="AD441" s="6" t="str">
        <f>IF(OR(AO441="Cancelled",AM441="Failed"),"Exclude from Completed Sales","Include in Completed Sales")</f>
        <v>Include in Completed Sales</v>
      </c>
      <c r="AE441" s="6">
        <f t="shared" si="105"/>
        <v>3326.25</v>
      </c>
      <c r="AF441" s="6" t="str">
        <f t="shared" si="106"/>
        <v>Refunded</v>
      </c>
      <c r="AG441" s="6">
        <v>2689.36</v>
      </c>
      <c r="AH441" s="6">
        <v>636.89</v>
      </c>
      <c r="AI441" s="6">
        <f t="shared" si="107"/>
        <v>636.88999999999987</v>
      </c>
      <c r="AJ441" s="11">
        <f t="shared" si="108"/>
        <v>0.19147388199924836</v>
      </c>
      <c r="AK441" s="11" t="str">
        <f t="shared" si="109"/>
        <v>June</v>
      </c>
      <c r="AL441" s="12">
        <f t="shared" si="110"/>
        <v>2025</v>
      </c>
      <c r="AM441" s="6" t="s">
        <v>144</v>
      </c>
      <c r="AN441" s="6" t="s">
        <v>145</v>
      </c>
      <c r="AO441" s="6" t="str">
        <f t="shared" si="102"/>
        <v>Returned</v>
      </c>
    </row>
    <row r="442" spans="1:41">
      <c r="A442" s="6" t="s">
        <v>2189</v>
      </c>
      <c r="B442" s="7" t="s">
        <v>2190</v>
      </c>
      <c r="C442" s="8">
        <v>45384</v>
      </c>
      <c r="D442" s="7" t="s">
        <v>2191</v>
      </c>
      <c r="E442" s="9">
        <v>45390</v>
      </c>
      <c r="F442" s="9" t="str">
        <f t="shared" si="95"/>
        <v>Valid</v>
      </c>
      <c r="G442" s="10">
        <f t="shared" si="96"/>
        <v>6</v>
      </c>
      <c r="H442" s="10" t="str">
        <f t="shared" si="97"/>
        <v>Valid</v>
      </c>
      <c r="I442" s="6" t="s">
        <v>396</v>
      </c>
      <c r="J442" s="6" t="s">
        <v>103</v>
      </c>
      <c r="K442" s="6" t="s">
        <v>103</v>
      </c>
      <c r="L442" s="6" t="s">
        <v>128</v>
      </c>
      <c r="M442" s="7" t="str">
        <f t="shared" si="98"/>
        <v>Corporate</v>
      </c>
      <c r="N442" s="6" t="s">
        <v>62</v>
      </c>
      <c r="O442" s="7" t="str">
        <f t="shared" si="99"/>
        <v>East</v>
      </c>
      <c r="P442" s="6" t="s">
        <v>63</v>
      </c>
      <c r="Q442" s="6" t="s">
        <v>64</v>
      </c>
      <c r="R442" s="6" t="s">
        <v>106</v>
      </c>
      <c r="S442" s="7" t="str">
        <f t="shared" si="100"/>
        <v>Technology</v>
      </c>
      <c r="T442" s="6" t="s">
        <v>402</v>
      </c>
      <c r="U442" s="6" t="s">
        <v>2192</v>
      </c>
      <c r="V442" s="6" t="s">
        <v>53</v>
      </c>
      <c r="W442" s="7" t="str">
        <f t="shared" si="101"/>
        <v>Second Class</v>
      </c>
      <c r="X442" s="6">
        <v>6</v>
      </c>
      <c r="Y442" s="6">
        <v>3722.84</v>
      </c>
      <c r="Z442" s="6">
        <v>0.2</v>
      </c>
      <c r="AA442" s="6">
        <f t="shared" si="103"/>
        <v>0.2</v>
      </c>
      <c r="AB442" s="6" t="str">
        <f t="shared" si="104"/>
        <v>Valid</v>
      </c>
      <c r="AC442" s="6">
        <v>17869.63</v>
      </c>
      <c r="AD442" s="6" t="str">
        <f>IF(OR(AO442="Cancelled",AM442="Failed"),"Exclude from Completed Sales","Include in Completed Sales")</f>
        <v>Include in Completed Sales</v>
      </c>
      <c r="AE442" s="6">
        <f t="shared" si="105"/>
        <v>17869.632000000001</v>
      </c>
      <c r="AF442" s="6" t="str">
        <f t="shared" si="106"/>
        <v/>
      </c>
      <c r="AG442" s="6">
        <v>12163.8</v>
      </c>
      <c r="AH442" s="6">
        <v>5705.83</v>
      </c>
      <c r="AI442" s="6">
        <f t="shared" si="107"/>
        <v>5705.8320000000022</v>
      </c>
      <c r="AJ442" s="11">
        <f t="shared" si="108"/>
        <v>0.31930327384469931</v>
      </c>
      <c r="AK442" s="11" t="str">
        <f t="shared" si="109"/>
        <v>April</v>
      </c>
      <c r="AL442" s="12">
        <f t="shared" si="110"/>
        <v>2024</v>
      </c>
      <c r="AM442" s="6" t="s">
        <v>54</v>
      </c>
      <c r="AN442" s="6" t="s">
        <v>55</v>
      </c>
      <c r="AO442" s="6" t="str">
        <f t="shared" si="102"/>
        <v>Completed</v>
      </c>
    </row>
    <row r="443" spans="1:41">
      <c r="A443" s="6" t="s">
        <v>2193</v>
      </c>
      <c r="B443" s="7" t="s">
        <v>2194</v>
      </c>
      <c r="C443" s="8">
        <v>45568</v>
      </c>
      <c r="D443" s="7" t="s">
        <v>545</v>
      </c>
      <c r="E443" s="9">
        <v>45568</v>
      </c>
      <c r="F443" s="9" t="str">
        <f t="shared" si="95"/>
        <v>Valid</v>
      </c>
      <c r="G443" s="10">
        <f t="shared" si="96"/>
        <v>0</v>
      </c>
      <c r="H443" s="10" t="str">
        <f t="shared" si="97"/>
        <v>Valid</v>
      </c>
      <c r="I443" s="6" t="s">
        <v>2195</v>
      </c>
      <c r="J443" s="6" t="s">
        <v>45</v>
      </c>
      <c r="K443" s="6" t="s">
        <v>45</v>
      </c>
      <c r="L443" s="6" t="s">
        <v>46</v>
      </c>
      <c r="M443" s="7" t="str">
        <f t="shared" si="98"/>
        <v>Consumer</v>
      </c>
      <c r="N443" s="6" t="s">
        <v>62</v>
      </c>
      <c r="O443" s="7" t="str">
        <f t="shared" si="99"/>
        <v>East</v>
      </c>
      <c r="P443" s="6" t="s">
        <v>206</v>
      </c>
      <c r="Q443" s="6" t="s">
        <v>207</v>
      </c>
      <c r="R443" s="6" t="s">
        <v>65</v>
      </c>
      <c r="S443" s="7" t="str">
        <f t="shared" si="100"/>
        <v>Furniture</v>
      </c>
      <c r="T443" s="6" t="s">
        <v>224</v>
      </c>
      <c r="U443" s="6" t="s">
        <v>2196</v>
      </c>
      <c r="V443" s="6" t="s">
        <v>87</v>
      </c>
      <c r="W443" s="7" t="str">
        <f t="shared" si="101"/>
        <v>Standard Class</v>
      </c>
      <c r="X443" s="6">
        <v>6</v>
      </c>
      <c r="Y443" s="6">
        <v>4217.49</v>
      </c>
      <c r="Z443" s="6">
        <v>0</v>
      </c>
      <c r="AA443" s="6">
        <f t="shared" si="103"/>
        <v>0</v>
      </c>
      <c r="AB443" s="6" t="str">
        <f t="shared" si="104"/>
        <v>Valid</v>
      </c>
      <c r="AC443" s="6">
        <v>25304.94</v>
      </c>
      <c r="AD443" s="6" t="str">
        <f>IF(OR(AO443="Cancelled",AM443="Failed"),"Exclude from Completed Sales","Include in Completed Sales")</f>
        <v>Exclude from Completed Sales</v>
      </c>
      <c r="AE443" s="6">
        <f t="shared" si="105"/>
        <v>25304.94</v>
      </c>
      <c r="AF443" s="6" t="str">
        <f t="shared" si="106"/>
        <v/>
      </c>
      <c r="AG443" s="6">
        <v>20771.95</v>
      </c>
      <c r="AH443" s="6">
        <v>4532.99</v>
      </c>
      <c r="AI443" s="6">
        <f t="shared" si="107"/>
        <v>4532.989999999998</v>
      </c>
      <c r="AJ443" s="11">
        <f t="shared" si="108"/>
        <v>0.17913458795002077</v>
      </c>
      <c r="AK443" s="11" t="str">
        <f t="shared" si="109"/>
        <v>October</v>
      </c>
      <c r="AL443" s="12">
        <f t="shared" si="110"/>
        <v>2024</v>
      </c>
      <c r="AM443" s="6" t="s">
        <v>54</v>
      </c>
      <c r="AN443" s="6" t="s">
        <v>98</v>
      </c>
      <c r="AO443" s="6" t="str">
        <f t="shared" si="102"/>
        <v>Cancelled</v>
      </c>
    </row>
    <row r="444" spans="1:41">
      <c r="A444" s="6" t="s">
        <v>2197</v>
      </c>
      <c r="B444" s="7" t="s">
        <v>2198</v>
      </c>
      <c r="C444" s="8">
        <v>45669</v>
      </c>
      <c r="D444" s="7" t="s">
        <v>2199</v>
      </c>
      <c r="E444" s="9">
        <v>45676</v>
      </c>
      <c r="F444" s="9" t="str">
        <f t="shared" si="95"/>
        <v>Valid</v>
      </c>
      <c r="G444" s="10">
        <f t="shared" si="96"/>
        <v>7</v>
      </c>
      <c r="H444" s="10" t="str">
        <f t="shared" si="97"/>
        <v>Valid</v>
      </c>
      <c r="I444" s="6" t="s">
        <v>2200</v>
      </c>
      <c r="J444" s="6" t="s">
        <v>182</v>
      </c>
      <c r="K444" s="6" t="s">
        <v>182</v>
      </c>
      <c r="L444" s="6" t="s">
        <v>46</v>
      </c>
      <c r="M444" s="7" t="str">
        <f t="shared" si="98"/>
        <v>Consumer</v>
      </c>
      <c r="N444" s="6" t="s">
        <v>62</v>
      </c>
      <c r="O444" s="7" t="str">
        <f t="shared" si="99"/>
        <v>East</v>
      </c>
      <c r="P444" s="6" t="s">
        <v>331</v>
      </c>
      <c r="Q444" s="6" t="s">
        <v>332</v>
      </c>
      <c r="R444" s="6" t="s">
        <v>65</v>
      </c>
      <c r="S444" s="7" t="str">
        <f t="shared" si="100"/>
        <v>Furniture</v>
      </c>
      <c r="T444" s="6" t="s">
        <v>66</v>
      </c>
      <c r="U444" s="6" t="s">
        <v>2201</v>
      </c>
      <c r="V444" s="6" t="s">
        <v>76</v>
      </c>
      <c r="W444" s="7" t="str">
        <f t="shared" si="101"/>
        <v>First Class</v>
      </c>
      <c r="X444" s="6">
        <v>1</v>
      </c>
      <c r="Y444" s="6">
        <v>1842.31</v>
      </c>
      <c r="Z444" s="6">
        <v>0</v>
      </c>
      <c r="AA444" s="6">
        <f t="shared" si="103"/>
        <v>0</v>
      </c>
      <c r="AB444" s="6" t="str">
        <f t="shared" si="104"/>
        <v>Valid</v>
      </c>
      <c r="AC444" s="6">
        <v>1842.31</v>
      </c>
      <c r="AD444" s="6" t="str">
        <f>IF(OR(AO444="Cancelled",AM444="Failed"),"Exclude from Completed Sales","Include in Completed Sales")</f>
        <v>Include in Completed Sales</v>
      </c>
      <c r="AE444" s="6">
        <f t="shared" si="105"/>
        <v>1842.31</v>
      </c>
      <c r="AF444" s="6" t="str">
        <f t="shared" si="106"/>
        <v/>
      </c>
      <c r="AG444" s="6">
        <v>1019.17</v>
      </c>
      <c r="AH444" s="6">
        <v>823.14</v>
      </c>
      <c r="AI444" s="6">
        <f t="shared" si="107"/>
        <v>823.14</v>
      </c>
      <c r="AJ444" s="11">
        <f t="shared" si="108"/>
        <v>0.44679777019068451</v>
      </c>
      <c r="AK444" s="11" t="str">
        <f t="shared" si="109"/>
        <v>January</v>
      </c>
      <c r="AL444" s="12">
        <f t="shared" si="110"/>
        <v>2025</v>
      </c>
      <c r="AM444" s="6" t="s">
        <v>54</v>
      </c>
      <c r="AN444" s="6" t="s">
        <v>55</v>
      </c>
      <c r="AO444" s="6" t="str">
        <f t="shared" si="102"/>
        <v>Completed</v>
      </c>
    </row>
    <row r="445" spans="1:41">
      <c r="A445" s="6" t="s">
        <v>2202</v>
      </c>
      <c r="B445" s="7" t="s">
        <v>2203</v>
      </c>
      <c r="C445" s="8">
        <v>45386</v>
      </c>
      <c r="D445" s="7" t="s">
        <v>1914</v>
      </c>
      <c r="E445" s="9">
        <v>45389</v>
      </c>
      <c r="F445" s="9" t="str">
        <f t="shared" si="95"/>
        <v>Valid</v>
      </c>
      <c r="G445" s="10">
        <f t="shared" si="96"/>
        <v>3</v>
      </c>
      <c r="H445" s="10" t="str">
        <f t="shared" si="97"/>
        <v>Valid</v>
      </c>
      <c r="I445" s="6" t="s">
        <v>2204</v>
      </c>
      <c r="J445" s="6" t="s">
        <v>200</v>
      </c>
      <c r="K445" s="6" t="s">
        <v>200</v>
      </c>
      <c r="L445" s="6" t="s">
        <v>135</v>
      </c>
      <c r="M445" s="7" t="str">
        <f t="shared" si="98"/>
        <v>Home Office</v>
      </c>
      <c r="N445" s="6" t="s">
        <v>62</v>
      </c>
      <c r="O445" s="7" t="str">
        <f t="shared" si="99"/>
        <v>East</v>
      </c>
      <c r="P445" s="6" t="s">
        <v>63</v>
      </c>
      <c r="Q445" s="6" t="s">
        <v>64</v>
      </c>
      <c r="R445" s="6" t="s">
        <v>65</v>
      </c>
      <c r="S445" s="7" t="str">
        <f t="shared" si="100"/>
        <v>Furniture</v>
      </c>
      <c r="T445" s="6" t="s">
        <v>85</v>
      </c>
      <c r="U445" s="6" t="s">
        <v>2205</v>
      </c>
      <c r="V445" s="6" t="s">
        <v>76</v>
      </c>
      <c r="W445" s="7" t="str">
        <f t="shared" si="101"/>
        <v>First Class</v>
      </c>
      <c r="X445" s="6">
        <v>1</v>
      </c>
      <c r="Y445" s="6">
        <v>3683.75</v>
      </c>
      <c r="Z445" s="6">
        <v>0.1</v>
      </c>
      <c r="AA445" s="6">
        <f t="shared" si="103"/>
        <v>0.1</v>
      </c>
      <c r="AB445" s="6" t="str">
        <f t="shared" si="104"/>
        <v>Valid</v>
      </c>
      <c r="AC445" s="6">
        <v>3315.38</v>
      </c>
      <c r="AD445" s="6" t="str">
        <f>IF(OR(AO445="Cancelled",AM445="Failed"),"Exclude from Completed Sales","Include in Completed Sales")</f>
        <v>Include in Completed Sales</v>
      </c>
      <c r="AE445" s="6">
        <f t="shared" si="105"/>
        <v>3315.375</v>
      </c>
      <c r="AF445" s="6" t="str">
        <f t="shared" si="106"/>
        <v/>
      </c>
      <c r="AG445" s="6">
        <v>2347.6799999999998</v>
      </c>
      <c r="AH445" s="6">
        <v>967.7</v>
      </c>
      <c r="AI445" s="6">
        <f t="shared" si="107"/>
        <v>967.69500000000016</v>
      </c>
      <c r="AJ445" s="11">
        <f t="shared" si="108"/>
        <v>0.29188100893564084</v>
      </c>
      <c r="AK445" s="11" t="str">
        <f t="shared" si="109"/>
        <v>April</v>
      </c>
      <c r="AL445" s="12">
        <f t="shared" si="110"/>
        <v>2024</v>
      </c>
      <c r="AM445" s="6" t="s">
        <v>54</v>
      </c>
      <c r="AN445" s="6" t="s">
        <v>55</v>
      </c>
      <c r="AO445" s="6" t="str">
        <f t="shared" si="102"/>
        <v>Completed</v>
      </c>
    </row>
    <row r="446" spans="1:41">
      <c r="A446" s="6" t="s">
        <v>2206</v>
      </c>
      <c r="B446" s="7" t="s">
        <v>2207</v>
      </c>
      <c r="C446" s="8">
        <v>45881</v>
      </c>
      <c r="D446" s="7" t="s">
        <v>1879</v>
      </c>
      <c r="E446" s="9">
        <v>45885</v>
      </c>
      <c r="F446" s="9" t="str">
        <f t="shared" si="95"/>
        <v>Valid</v>
      </c>
      <c r="G446" s="10">
        <f t="shared" si="96"/>
        <v>4</v>
      </c>
      <c r="H446" s="10" t="str">
        <f t="shared" si="97"/>
        <v>Valid</v>
      </c>
      <c r="I446" s="6" t="s">
        <v>2208</v>
      </c>
      <c r="J446" s="6" t="s">
        <v>92</v>
      </c>
      <c r="K446" s="6" t="s">
        <v>92</v>
      </c>
      <c r="L446" s="6" t="s">
        <v>46</v>
      </c>
      <c r="M446" s="7" t="str">
        <f t="shared" si="98"/>
        <v>Consumer</v>
      </c>
      <c r="N446" s="6" t="s">
        <v>62</v>
      </c>
      <c r="O446" s="7" t="str">
        <f t="shared" si="99"/>
        <v>East</v>
      </c>
      <c r="P446" s="6" t="s">
        <v>236</v>
      </c>
      <c r="Q446" s="6" t="s">
        <v>237</v>
      </c>
      <c r="R446" s="6" t="s">
        <v>106</v>
      </c>
      <c r="S446" s="7" t="str">
        <f t="shared" si="100"/>
        <v>Technology</v>
      </c>
      <c r="T446" s="6" t="s">
        <v>107</v>
      </c>
      <c r="U446" s="6" t="s">
        <v>2209</v>
      </c>
      <c r="V446" s="6" t="s">
        <v>68</v>
      </c>
      <c r="W446" s="7" t="str">
        <f t="shared" si="101"/>
        <v>Same Day</v>
      </c>
      <c r="X446" s="6">
        <v>9</v>
      </c>
      <c r="Y446" s="6">
        <v>2379.2399999999998</v>
      </c>
      <c r="Z446" s="6">
        <v>0.05</v>
      </c>
      <c r="AA446" s="6">
        <f t="shared" si="103"/>
        <v>0.05</v>
      </c>
      <c r="AB446" s="6" t="str">
        <f t="shared" si="104"/>
        <v>Valid</v>
      </c>
      <c r="AC446" s="6">
        <v>20342.5</v>
      </c>
      <c r="AD446" s="6" t="str">
        <f>IF(OR(AO446="Cancelled",AM446="Failed"),"Exclude from Completed Sales","Include in Completed Sales")</f>
        <v>Include in Completed Sales</v>
      </c>
      <c r="AE446" s="6">
        <f t="shared" si="105"/>
        <v>20342.501999999997</v>
      </c>
      <c r="AF446" s="6" t="str">
        <f t="shared" si="106"/>
        <v/>
      </c>
      <c r="AG446" s="6">
        <v>12407.51</v>
      </c>
      <c r="AH446" s="6">
        <v>7934.99</v>
      </c>
      <c r="AI446" s="6">
        <f t="shared" si="107"/>
        <v>7934.9919999999966</v>
      </c>
      <c r="AJ446" s="11">
        <f t="shared" si="108"/>
        <v>0.39006961877157481</v>
      </c>
      <c r="AK446" s="11" t="str">
        <f t="shared" si="109"/>
        <v>August</v>
      </c>
      <c r="AL446" s="12">
        <f t="shared" si="110"/>
        <v>2025</v>
      </c>
      <c r="AM446" s="6" t="s">
        <v>54</v>
      </c>
      <c r="AN446" s="6" t="s">
        <v>55</v>
      </c>
      <c r="AO446" s="6" t="str">
        <f t="shared" si="102"/>
        <v>Completed</v>
      </c>
    </row>
    <row r="447" spans="1:41">
      <c r="A447" s="6" t="s">
        <v>2210</v>
      </c>
      <c r="B447" s="7" t="s">
        <v>2211</v>
      </c>
      <c r="C447" s="8">
        <v>45421</v>
      </c>
      <c r="D447" s="7" t="s">
        <v>2212</v>
      </c>
      <c r="E447" s="9">
        <v>45417</v>
      </c>
      <c r="F447" s="9" t="str">
        <f t="shared" si="95"/>
        <v>Invalid Shipping Record</v>
      </c>
      <c r="G447" s="10">
        <f t="shared" si="96"/>
        <v>-4</v>
      </c>
      <c r="H447" s="10" t="str">
        <f t="shared" si="97"/>
        <v>Invalid Shipping Record</v>
      </c>
      <c r="I447" s="6" t="s">
        <v>2213</v>
      </c>
      <c r="J447" s="6" t="s">
        <v>81</v>
      </c>
      <c r="K447" s="6" t="s">
        <v>81</v>
      </c>
      <c r="L447" s="6" t="s">
        <v>46</v>
      </c>
      <c r="M447" s="7" t="str">
        <f t="shared" si="98"/>
        <v>Consumer</v>
      </c>
      <c r="N447" s="6" t="s">
        <v>62</v>
      </c>
      <c r="O447" s="7" t="str">
        <f t="shared" si="99"/>
        <v>East</v>
      </c>
      <c r="P447" s="6" t="s">
        <v>236</v>
      </c>
      <c r="Q447" s="6" t="s">
        <v>237</v>
      </c>
      <c r="R447" s="6" t="s">
        <v>65</v>
      </c>
      <c r="S447" s="7" t="str">
        <f t="shared" si="100"/>
        <v>Furniture</v>
      </c>
      <c r="T447" s="6" t="s">
        <v>224</v>
      </c>
      <c r="U447" s="6" t="s">
        <v>2214</v>
      </c>
      <c r="V447" s="6" t="s">
        <v>68</v>
      </c>
      <c r="W447" s="7" t="str">
        <f t="shared" si="101"/>
        <v>Same Day</v>
      </c>
      <c r="X447" s="6">
        <v>2</v>
      </c>
      <c r="Y447" s="6">
        <v>2111.23</v>
      </c>
      <c r="Z447" s="6">
        <v>0.2</v>
      </c>
      <c r="AA447" s="6">
        <f t="shared" si="103"/>
        <v>0.2</v>
      </c>
      <c r="AB447" s="6" t="str">
        <f t="shared" si="104"/>
        <v>Valid</v>
      </c>
      <c r="AC447" s="6">
        <v>3377.97</v>
      </c>
      <c r="AD447" s="6" t="str">
        <f>IF(OR(AO447="Cancelled",AM447="Failed"),"Exclude from Completed Sales","Include in Completed Sales")</f>
        <v>Include in Completed Sales</v>
      </c>
      <c r="AE447" s="6">
        <f t="shared" si="105"/>
        <v>3377.9680000000003</v>
      </c>
      <c r="AF447" s="6" t="str">
        <f t="shared" si="106"/>
        <v/>
      </c>
      <c r="AG447" s="6">
        <v>2496.29</v>
      </c>
      <c r="AH447" s="6">
        <v>881.68</v>
      </c>
      <c r="AI447" s="6">
        <f t="shared" si="107"/>
        <v>881.67800000000034</v>
      </c>
      <c r="AJ447" s="11">
        <f t="shared" si="108"/>
        <v>0.26100839321154029</v>
      </c>
      <c r="AK447" s="11" t="str">
        <f t="shared" si="109"/>
        <v>May</v>
      </c>
      <c r="AL447" s="12">
        <f t="shared" si="110"/>
        <v>2024</v>
      </c>
      <c r="AM447" s="6" t="s">
        <v>54</v>
      </c>
      <c r="AN447" s="6" t="s">
        <v>55</v>
      </c>
      <c r="AO447" s="6" t="str">
        <f t="shared" si="102"/>
        <v>Completed</v>
      </c>
    </row>
    <row r="448" spans="1:41">
      <c r="A448" s="6" t="s">
        <v>2215</v>
      </c>
      <c r="B448" s="7" t="s">
        <v>2216</v>
      </c>
      <c r="C448" s="8">
        <v>45918</v>
      </c>
      <c r="D448" s="7" t="s">
        <v>2217</v>
      </c>
      <c r="E448" s="9">
        <v>45919</v>
      </c>
      <c r="F448" s="9" t="str">
        <f t="shared" si="95"/>
        <v>Valid</v>
      </c>
      <c r="G448" s="10">
        <f t="shared" si="96"/>
        <v>1</v>
      </c>
      <c r="H448" s="10" t="str">
        <f t="shared" si="97"/>
        <v>Valid</v>
      </c>
      <c r="I448" s="6" t="s">
        <v>2218</v>
      </c>
      <c r="J448" s="6" t="s">
        <v>188</v>
      </c>
      <c r="K448" s="6" t="s">
        <v>188</v>
      </c>
      <c r="L448" s="6" t="s">
        <v>135</v>
      </c>
      <c r="M448" s="7" t="str">
        <f t="shared" si="98"/>
        <v>Home Office</v>
      </c>
      <c r="N448" s="6" t="s">
        <v>82</v>
      </c>
      <c r="O448" s="7" t="str">
        <f t="shared" si="99"/>
        <v>South</v>
      </c>
      <c r="P448" s="6" t="s">
        <v>120</v>
      </c>
      <c r="Q448" s="6" t="s">
        <v>121</v>
      </c>
      <c r="R448" s="6" t="s">
        <v>50</v>
      </c>
      <c r="S448" s="7" t="str">
        <f t="shared" si="100"/>
        <v>Office Supplies</v>
      </c>
      <c r="T448" s="6" t="s">
        <v>176</v>
      </c>
      <c r="U448" s="6" t="s">
        <v>2219</v>
      </c>
      <c r="V448" s="6" t="s">
        <v>68</v>
      </c>
      <c r="W448" s="7" t="str">
        <f t="shared" si="101"/>
        <v>Same Day</v>
      </c>
      <c r="X448" s="6">
        <v>8</v>
      </c>
      <c r="Y448" s="6">
        <v>4242.51</v>
      </c>
      <c r="Z448" s="6">
        <v>0</v>
      </c>
      <c r="AA448" s="6">
        <f t="shared" si="103"/>
        <v>0</v>
      </c>
      <c r="AB448" s="6" t="str">
        <f t="shared" si="104"/>
        <v>Valid</v>
      </c>
      <c r="AC448" s="6">
        <v>33940.080000000002</v>
      </c>
      <c r="AD448" s="6" t="str">
        <f>IF(OR(AO448="Cancelled",AM448="Failed"),"Exclude from Completed Sales","Include in Completed Sales")</f>
        <v>Include in Completed Sales</v>
      </c>
      <c r="AE448" s="6">
        <f t="shared" si="105"/>
        <v>33940.080000000002</v>
      </c>
      <c r="AF448" s="6" t="str">
        <f t="shared" si="106"/>
        <v/>
      </c>
      <c r="AG448" s="6">
        <v>23754.19</v>
      </c>
      <c r="AH448" s="6">
        <v>10185.89</v>
      </c>
      <c r="AI448" s="6">
        <f t="shared" si="107"/>
        <v>10185.890000000003</v>
      </c>
      <c r="AJ448" s="11">
        <f t="shared" si="108"/>
        <v>0.30011390662603044</v>
      </c>
      <c r="AK448" s="11" t="str">
        <f t="shared" si="109"/>
        <v>September</v>
      </c>
      <c r="AL448" s="12">
        <f t="shared" si="110"/>
        <v>2025</v>
      </c>
      <c r="AM448" s="6" t="s">
        <v>54</v>
      </c>
      <c r="AN448" s="6" t="s">
        <v>55</v>
      </c>
      <c r="AO448" s="6" t="str">
        <f t="shared" si="102"/>
        <v>Completed</v>
      </c>
    </row>
    <row r="449" spans="1:41">
      <c r="A449" s="6" t="s">
        <v>2220</v>
      </c>
      <c r="B449" s="7" t="s">
        <v>964</v>
      </c>
      <c r="C449" s="8">
        <v>45879</v>
      </c>
      <c r="D449" s="7" t="s">
        <v>2221</v>
      </c>
      <c r="E449" s="9">
        <v>45879</v>
      </c>
      <c r="F449" s="9" t="str">
        <f t="shared" si="95"/>
        <v>Valid</v>
      </c>
      <c r="G449" s="10">
        <f t="shared" si="96"/>
        <v>0</v>
      </c>
      <c r="H449" s="10" t="str">
        <f t="shared" si="97"/>
        <v>Valid</v>
      </c>
      <c r="I449" s="6" t="s">
        <v>2222</v>
      </c>
      <c r="J449" s="6" t="s">
        <v>200</v>
      </c>
      <c r="K449" s="6" t="s">
        <v>200</v>
      </c>
      <c r="L449" s="6" t="s">
        <v>135</v>
      </c>
      <c r="M449" s="7" t="str">
        <f t="shared" si="98"/>
        <v>Home Office</v>
      </c>
      <c r="N449" s="6" t="s">
        <v>82</v>
      </c>
      <c r="O449" s="7" t="str">
        <f t="shared" si="99"/>
        <v>South</v>
      </c>
      <c r="P449" s="6" t="s">
        <v>83</v>
      </c>
      <c r="Q449" s="6" t="s">
        <v>84</v>
      </c>
      <c r="R449" s="6" t="s">
        <v>65</v>
      </c>
      <c r="S449" s="7" t="str">
        <f t="shared" si="100"/>
        <v>Furniture</v>
      </c>
      <c r="T449" s="6" t="s">
        <v>224</v>
      </c>
      <c r="U449" s="6" t="s">
        <v>2223</v>
      </c>
      <c r="V449" s="6" t="s">
        <v>87</v>
      </c>
      <c r="W449" s="7" t="str">
        <f t="shared" si="101"/>
        <v>Standard Class</v>
      </c>
      <c r="X449" s="6">
        <v>6</v>
      </c>
      <c r="Y449" s="6">
        <v>4288.7</v>
      </c>
      <c r="Z449" s="6">
        <v>0.15</v>
      </c>
      <c r="AA449" s="6">
        <f t="shared" si="103"/>
        <v>0.15</v>
      </c>
      <c r="AB449" s="6" t="str">
        <f t="shared" si="104"/>
        <v>Valid</v>
      </c>
      <c r="AC449" s="6">
        <v>21872.37</v>
      </c>
      <c r="AD449" s="6" t="str">
        <f>IF(OR(AO449="Cancelled",AM449="Failed"),"Exclude from Completed Sales","Include in Completed Sales")</f>
        <v>Include in Completed Sales</v>
      </c>
      <c r="AE449" s="6">
        <f t="shared" si="105"/>
        <v>21872.369999999995</v>
      </c>
      <c r="AF449" s="6" t="str">
        <f t="shared" si="106"/>
        <v/>
      </c>
      <c r="AG449" s="6">
        <v>13829.5</v>
      </c>
      <c r="AH449" s="6">
        <v>8042.87</v>
      </c>
      <c r="AI449" s="6">
        <f t="shared" si="107"/>
        <v>8042.8699999999953</v>
      </c>
      <c r="AJ449" s="11">
        <f t="shared" si="108"/>
        <v>0.36771826738483288</v>
      </c>
      <c r="AK449" s="11" t="str">
        <f t="shared" si="109"/>
        <v>August</v>
      </c>
      <c r="AL449" s="12">
        <f t="shared" si="110"/>
        <v>2025</v>
      </c>
      <c r="AM449" s="6" t="s">
        <v>157</v>
      </c>
      <c r="AN449" s="6" t="s">
        <v>145</v>
      </c>
      <c r="AO449" s="6" t="str">
        <f t="shared" si="102"/>
        <v>Returned</v>
      </c>
    </row>
    <row r="450" spans="1:41">
      <c r="A450" s="6" t="s">
        <v>2224</v>
      </c>
      <c r="B450" s="7" t="s">
        <v>2225</v>
      </c>
      <c r="C450" s="8">
        <v>45306</v>
      </c>
      <c r="D450" s="7" t="s">
        <v>347</v>
      </c>
      <c r="E450" s="9">
        <v>45309</v>
      </c>
      <c r="F450" s="9" t="str">
        <f t="shared" ref="F450:F513" si="111">IF(E450&lt;C450,"Invalid Shipping Record","Valid")</f>
        <v>Valid</v>
      </c>
      <c r="G450" s="10">
        <f t="shared" ref="G450:G513" si="112">E450-C450</f>
        <v>3</v>
      </c>
      <c r="H450" s="10" t="str">
        <f t="shared" ref="H450:H513" si="113">IF(OR(C450="",E450=""),"Missing Date",IF(OR(NOT(ISNUMBER(C450)),NOT(ISNUMBER(E450))),"Invalid Date",IF(E450&lt;C450,"Invalid Shipping Record","Valid")))</f>
        <v>Valid</v>
      </c>
      <c r="I450" s="6" t="s">
        <v>2226</v>
      </c>
      <c r="J450" s="6" t="s">
        <v>60</v>
      </c>
      <c r="K450" s="6" t="s">
        <v>60</v>
      </c>
      <c r="L450" s="6" t="s">
        <v>61</v>
      </c>
      <c r="M450" s="7" t="str">
        <f t="shared" ref="M450:M513" si="114">PROPER(TRIM(L450))</f>
        <v>Small Business</v>
      </c>
      <c r="N450" s="6" t="s">
        <v>82</v>
      </c>
      <c r="O450" s="7" t="str">
        <f t="shared" ref="O450:O513" si="115">IF(TRIM(N450)="","Unknown",PROPER(TRIM(N450)))</f>
        <v>South</v>
      </c>
      <c r="P450" s="6" t="s">
        <v>120</v>
      </c>
      <c r="Q450" s="6" t="s">
        <v>121</v>
      </c>
      <c r="R450" s="6" t="s">
        <v>65</v>
      </c>
      <c r="S450" s="7" t="str">
        <f t="shared" ref="S450:S513" si="116">PROPER(TRIM(R450))</f>
        <v>Furniture</v>
      </c>
      <c r="T450" s="6" t="s">
        <v>96</v>
      </c>
      <c r="U450" s="6" t="s">
        <v>2227</v>
      </c>
      <c r="V450" s="6" t="s">
        <v>76</v>
      </c>
      <c r="W450" s="7" t="str">
        <f t="shared" ref="W450:W513" si="117">IF(TRIM(V450)="","Unknown",PROPER(TRIM(V450)))</f>
        <v>First Class</v>
      </c>
      <c r="X450" s="6">
        <v>2</v>
      </c>
      <c r="Y450" s="6">
        <v>201.21</v>
      </c>
      <c r="Z450" s="6">
        <v>0.15</v>
      </c>
      <c r="AA450" s="6">
        <f t="shared" si="103"/>
        <v>0.15</v>
      </c>
      <c r="AB450" s="6" t="str">
        <f t="shared" si="104"/>
        <v>Valid</v>
      </c>
      <c r="AC450" s="6">
        <v>342.06</v>
      </c>
      <c r="AD450" s="6" t="str">
        <f>IF(OR(AO450="Cancelled",AM450="Failed"),"Exclude from Completed Sales","Include in Completed Sales")</f>
        <v>Include in Completed Sales</v>
      </c>
      <c r="AE450" s="6">
        <f t="shared" si="105"/>
        <v>342.05700000000002</v>
      </c>
      <c r="AF450" s="6" t="str">
        <f t="shared" si="106"/>
        <v/>
      </c>
      <c r="AG450" s="6">
        <v>244.57</v>
      </c>
      <c r="AH450" s="6">
        <v>97.49</v>
      </c>
      <c r="AI450" s="6">
        <f t="shared" si="107"/>
        <v>97.487000000000023</v>
      </c>
      <c r="AJ450" s="11">
        <f t="shared" si="108"/>
        <v>0.28500220723446684</v>
      </c>
      <c r="AK450" s="11" t="str">
        <f t="shared" si="109"/>
        <v>January</v>
      </c>
      <c r="AL450" s="12">
        <f t="shared" si="110"/>
        <v>2024</v>
      </c>
      <c r="AM450" s="6" t="s">
        <v>54</v>
      </c>
      <c r="AN450" s="6" t="s">
        <v>55</v>
      </c>
      <c r="AO450" s="6" t="str">
        <f t="shared" ref="AO450:AO513" si="118">PROPER(TRIM(AN450))</f>
        <v>Completed</v>
      </c>
    </row>
    <row r="451" spans="1:41">
      <c r="A451" s="6" t="s">
        <v>2228</v>
      </c>
      <c r="B451" s="7" t="s">
        <v>2229</v>
      </c>
      <c r="C451" s="8">
        <v>45449</v>
      </c>
      <c r="D451" s="7" t="s">
        <v>2230</v>
      </c>
      <c r="E451" s="9">
        <v>45456</v>
      </c>
      <c r="F451" s="9" t="str">
        <f t="shared" si="111"/>
        <v>Valid</v>
      </c>
      <c r="G451" s="10">
        <f t="shared" si="112"/>
        <v>7</v>
      </c>
      <c r="H451" s="10" t="str">
        <f t="shared" si="113"/>
        <v>Valid</v>
      </c>
      <c r="I451" s="6" t="s">
        <v>2063</v>
      </c>
      <c r="J451" s="6" t="s">
        <v>127</v>
      </c>
      <c r="K451" s="6" t="s">
        <v>127</v>
      </c>
      <c r="L451" s="6" t="s">
        <v>128</v>
      </c>
      <c r="M451" s="7" t="str">
        <f t="shared" si="114"/>
        <v>Corporate</v>
      </c>
      <c r="N451" s="6" t="s">
        <v>62</v>
      </c>
      <c r="O451" s="7" t="str">
        <f t="shared" si="115"/>
        <v>East</v>
      </c>
      <c r="P451" s="6" t="s">
        <v>236</v>
      </c>
      <c r="Q451" s="6" t="s">
        <v>237</v>
      </c>
      <c r="R451" s="6" t="s">
        <v>106</v>
      </c>
      <c r="S451" s="7" t="str">
        <f t="shared" si="116"/>
        <v>Technology</v>
      </c>
      <c r="T451" s="6" t="s">
        <v>402</v>
      </c>
      <c r="U451" s="6" t="s">
        <v>2231</v>
      </c>
      <c r="V451" s="6" t="s">
        <v>53</v>
      </c>
      <c r="W451" s="7" t="str">
        <f t="shared" si="117"/>
        <v>Second Class</v>
      </c>
      <c r="X451" s="6">
        <v>6</v>
      </c>
      <c r="Y451" s="6">
        <v>3270.36</v>
      </c>
      <c r="Z451" s="6">
        <v>0</v>
      </c>
      <c r="AA451" s="6">
        <f t="shared" ref="AA451:AA514" si="119">IF(Z451="",0,Z451)</f>
        <v>0</v>
      </c>
      <c r="AB451" s="6" t="str">
        <f t="shared" ref="AB451:AB514" si="120">IF(AA451&lt;0,"Invalid - Negative Discount",IF(AA451&gt;1,"Invalid - Discount Above Limit","Valid"))</f>
        <v>Valid</v>
      </c>
      <c r="AC451" s="6">
        <v>19622.16</v>
      </c>
      <c r="AD451" s="6" t="str">
        <f>IF(OR(AO451="Cancelled",AM451="Failed"),"Exclude from Completed Sales","Include in Completed Sales")</f>
        <v>Include in Completed Sales</v>
      </c>
      <c r="AE451" s="6">
        <f t="shared" ref="AE451:AE514" si="121">X451*Y451*(1-AA451)</f>
        <v>19622.16</v>
      </c>
      <c r="AF451" s="6" t="str">
        <f t="shared" ref="AF451:AF514" si="122">IF(TRIM(AM451)="Refunded","Refunded","")</f>
        <v/>
      </c>
      <c r="AG451" s="6">
        <v>14271.27</v>
      </c>
      <c r="AH451" s="6">
        <v>5350.89</v>
      </c>
      <c r="AI451" s="6">
        <f t="shared" ref="AI451:AI514" si="123">AE451-AG451</f>
        <v>5350.8899999999994</v>
      </c>
      <c r="AJ451" s="11">
        <f t="shared" ref="AJ451:AJ514" si="124">IF(AE451=0,0,AI451/AE451)</f>
        <v>0.27269627808559299</v>
      </c>
      <c r="AK451" s="11" t="str">
        <f t="shared" ref="AK451:AK514" si="125">TEXT(C451,"mmmm")</f>
        <v>June</v>
      </c>
      <c r="AL451" s="12">
        <f t="shared" ref="AL451:AL514" si="126">YEAR(C451)</f>
        <v>2024</v>
      </c>
      <c r="AM451" s="6" t="s">
        <v>54</v>
      </c>
      <c r="AN451" s="6" t="s">
        <v>55</v>
      </c>
      <c r="AO451" s="6" t="str">
        <f t="shared" si="118"/>
        <v>Completed</v>
      </c>
    </row>
    <row r="452" spans="1:41">
      <c r="A452" s="6" t="s">
        <v>2232</v>
      </c>
      <c r="B452" s="7" t="s">
        <v>2233</v>
      </c>
      <c r="C452" s="8">
        <v>45820</v>
      </c>
      <c r="D452" s="7" t="s">
        <v>1597</v>
      </c>
      <c r="E452" s="9">
        <v>45827</v>
      </c>
      <c r="F452" s="9" t="str">
        <f t="shared" si="111"/>
        <v>Valid</v>
      </c>
      <c r="G452" s="10">
        <f t="shared" si="112"/>
        <v>7</v>
      </c>
      <c r="H452" s="10" t="str">
        <f t="shared" si="113"/>
        <v>Valid</v>
      </c>
      <c r="I452" s="6" t="s">
        <v>2234</v>
      </c>
      <c r="J452" s="6" t="s">
        <v>92</v>
      </c>
      <c r="K452" s="6" t="s">
        <v>92</v>
      </c>
      <c r="L452" s="6" t="s">
        <v>128</v>
      </c>
      <c r="M452" s="7" t="str">
        <f t="shared" si="114"/>
        <v>Corporate</v>
      </c>
      <c r="N452" s="6" t="s">
        <v>47</v>
      </c>
      <c r="O452" s="7" t="str">
        <f t="shared" si="115"/>
        <v>North</v>
      </c>
      <c r="P452" s="6" t="s">
        <v>526</v>
      </c>
      <c r="Q452" s="6" t="s">
        <v>527</v>
      </c>
      <c r="R452" s="6" t="s">
        <v>65</v>
      </c>
      <c r="S452" s="7" t="str">
        <f t="shared" si="116"/>
        <v>Furniture</v>
      </c>
      <c r="T452" s="6" t="s">
        <v>96</v>
      </c>
      <c r="U452" s="6" t="s">
        <v>2235</v>
      </c>
      <c r="V452" s="6" t="s">
        <v>87</v>
      </c>
      <c r="W452" s="7" t="str">
        <f t="shared" si="117"/>
        <v>Standard Class</v>
      </c>
      <c r="X452" s="6">
        <v>9</v>
      </c>
      <c r="Y452" s="6">
        <v>2278.5700000000002</v>
      </c>
      <c r="Z452" s="6">
        <v>0.25</v>
      </c>
      <c r="AA452" s="6">
        <f t="shared" si="119"/>
        <v>0.25</v>
      </c>
      <c r="AB452" s="6" t="str">
        <f t="shared" si="120"/>
        <v>Valid</v>
      </c>
      <c r="AC452" s="6">
        <v>15380.35</v>
      </c>
      <c r="AD452" s="6" t="str">
        <f>IF(OR(AO452="Cancelled",AM452="Failed"),"Exclude from Completed Sales","Include in Completed Sales")</f>
        <v>Include in Completed Sales</v>
      </c>
      <c r="AE452" s="6">
        <f t="shared" si="121"/>
        <v>15380.3475</v>
      </c>
      <c r="AF452" s="6" t="str">
        <f t="shared" si="122"/>
        <v/>
      </c>
      <c r="AG452" s="6">
        <v>9907.3700000000008</v>
      </c>
      <c r="AH452" s="6">
        <v>5472.98</v>
      </c>
      <c r="AI452" s="6">
        <f t="shared" si="123"/>
        <v>5472.9774999999991</v>
      </c>
      <c r="AJ452" s="11">
        <f t="shared" si="124"/>
        <v>0.35584225258889624</v>
      </c>
      <c r="AK452" s="11" t="str">
        <f t="shared" si="125"/>
        <v>June</v>
      </c>
      <c r="AL452" s="12">
        <f t="shared" si="126"/>
        <v>2025</v>
      </c>
      <c r="AM452" s="6" t="s">
        <v>54</v>
      </c>
      <c r="AN452" s="6" t="s">
        <v>55</v>
      </c>
      <c r="AO452" s="6" t="str">
        <f t="shared" si="118"/>
        <v>Completed</v>
      </c>
    </row>
    <row r="453" spans="1:41">
      <c r="A453" s="6" t="s">
        <v>2236</v>
      </c>
      <c r="B453" s="7" t="s">
        <v>2237</v>
      </c>
      <c r="C453" s="8">
        <v>45375</v>
      </c>
      <c r="D453" s="7" t="s">
        <v>2238</v>
      </c>
      <c r="E453" s="9">
        <v>45377</v>
      </c>
      <c r="F453" s="9" t="str">
        <f t="shared" si="111"/>
        <v>Valid</v>
      </c>
      <c r="G453" s="10">
        <f t="shared" si="112"/>
        <v>2</v>
      </c>
      <c r="H453" s="10" t="str">
        <f t="shared" si="113"/>
        <v>Valid</v>
      </c>
      <c r="I453" s="6" t="s">
        <v>2239</v>
      </c>
      <c r="J453" s="6" t="s">
        <v>200</v>
      </c>
      <c r="K453" s="6" t="s">
        <v>200</v>
      </c>
      <c r="L453" s="6" t="s">
        <v>61</v>
      </c>
      <c r="M453" s="7" t="str">
        <f t="shared" si="114"/>
        <v>Small Business</v>
      </c>
      <c r="N453" s="6" t="s">
        <v>47</v>
      </c>
      <c r="O453" s="7" t="str">
        <f t="shared" si="115"/>
        <v>North</v>
      </c>
      <c r="P453" s="6" t="s">
        <v>343</v>
      </c>
      <c r="Q453" s="6" t="s">
        <v>344</v>
      </c>
      <c r="R453" s="6" t="s">
        <v>50</v>
      </c>
      <c r="S453" s="7" t="str">
        <f t="shared" si="116"/>
        <v>Office Supplies</v>
      </c>
      <c r="T453" s="6" t="s">
        <v>51</v>
      </c>
      <c r="U453" s="6" t="s">
        <v>2240</v>
      </c>
      <c r="V453" s="6" t="s">
        <v>53</v>
      </c>
      <c r="W453" s="7" t="str">
        <f t="shared" si="117"/>
        <v>Second Class</v>
      </c>
      <c r="X453" s="6">
        <v>8</v>
      </c>
      <c r="Y453" s="6">
        <v>1917.64</v>
      </c>
      <c r="Z453" s="6">
        <v>0.15</v>
      </c>
      <c r="AA453" s="6">
        <f t="shared" si="119"/>
        <v>0.15</v>
      </c>
      <c r="AB453" s="6" t="str">
        <f t="shared" si="120"/>
        <v>Valid</v>
      </c>
      <c r="AC453" s="6">
        <v>13039.95</v>
      </c>
      <c r="AD453" s="6" t="str">
        <f>IF(OR(AO453="Cancelled",AM453="Failed"),"Exclude from Completed Sales","Include in Completed Sales")</f>
        <v>Exclude from Completed Sales</v>
      </c>
      <c r="AE453" s="6">
        <f t="shared" si="121"/>
        <v>13039.952000000001</v>
      </c>
      <c r="AF453" s="6" t="str">
        <f t="shared" si="122"/>
        <v/>
      </c>
      <c r="AG453" s="6">
        <v>11127.82</v>
      </c>
      <c r="AH453" s="6">
        <v>1912.13</v>
      </c>
      <c r="AI453" s="6">
        <f t="shared" si="123"/>
        <v>1912.1320000000014</v>
      </c>
      <c r="AJ453" s="11">
        <f t="shared" si="124"/>
        <v>0.1466364293365498</v>
      </c>
      <c r="AK453" s="11" t="str">
        <f t="shared" si="125"/>
        <v>March</v>
      </c>
      <c r="AL453" s="12">
        <f t="shared" si="126"/>
        <v>2024</v>
      </c>
      <c r="AM453" s="6" t="s">
        <v>54</v>
      </c>
      <c r="AN453" s="6" t="s">
        <v>98</v>
      </c>
      <c r="AO453" s="6" t="str">
        <f t="shared" si="118"/>
        <v>Cancelled</v>
      </c>
    </row>
    <row r="454" spans="1:41">
      <c r="A454" s="6" t="s">
        <v>2241</v>
      </c>
      <c r="B454" s="7" t="s">
        <v>2242</v>
      </c>
      <c r="C454" s="8">
        <v>45422</v>
      </c>
      <c r="D454" s="7" t="s">
        <v>1395</v>
      </c>
      <c r="E454" s="9">
        <v>45428</v>
      </c>
      <c r="F454" s="9" t="str">
        <f t="shared" si="111"/>
        <v>Valid</v>
      </c>
      <c r="G454" s="10">
        <f t="shared" si="112"/>
        <v>6</v>
      </c>
      <c r="H454" s="10" t="str">
        <f t="shared" si="113"/>
        <v>Valid</v>
      </c>
      <c r="I454" s="6" t="s">
        <v>2243</v>
      </c>
      <c r="J454" s="6" t="s">
        <v>230</v>
      </c>
      <c r="K454" s="6" t="s">
        <v>230</v>
      </c>
      <c r="L454" s="6" t="s">
        <v>135</v>
      </c>
      <c r="M454" s="7" t="str">
        <f t="shared" si="114"/>
        <v>Home Office</v>
      </c>
      <c r="N454" s="6" t="s">
        <v>62</v>
      </c>
      <c r="O454" s="7" t="str">
        <f t="shared" si="115"/>
        <v>East</v>
      </c>
      <c r="P454" s="6" t="s">
        <v>331</v>
      </c>
      <c r="Q454" s="6" t="s">
        <v>332</v>
      </c>
      <c r="R454" s="6" t="s">
        <v>106</v>
      </c>
      <c r="S454" s="7" t="str">
        <f t="shared" si="116"/>
        <v>Technology</v>
      </c>
      <c r="T454" s="6" t="s">
        <v>107</v>
      </c>
      <c r="U454" s="6" t="s">
        <v>2244</v>
      </c>
      <c r="V454" s="6" t="s">
        <v>53</v>
      </c>
      <c r="W454" s="7" t="str">
        <f t="shared" si="117"/>
        <v>Second Class</v>
      </c>
      <c r="X454" s="6">
        <v>6</v>
      </c>
      <c r="Y454" s="6">
        <v>2013.33</v>
      </c>
      <c r="Z454" s="6">
        <v>0.2</v>
      </c>
      <c r="AA454" s="6">
        <f t="shared" si="119"/>
        <v>0.2</v>
      </c>
      <c r="AB454" s="6" t="str">
        <f t="shared" si="120"/>
        <v>Valid</v>
      </c>
      <c r="AC454" s="6">
        <v>9663.98</v>
      </c>
      <c r="AD454" s="6" t="str">
        <f>IF(OR(AO454="Cancelled",AM454="Failed"),"Exclude from Completed Sales","Include in Completed Sales")</f>
        <v>Include in Completed Sales</v>
      </c>
      <c r="AE454" s="6">
        <f t="shared" si="121"/>
        <v>9663.9840000000004</v>
      </c>
      <c r="AF454" s="6" t="str">
        <f t="shared" si="122"/>
        <v/>
      </c>
      <c r="AG454" s="6">
        <v>5628.93</v>
      </c>
      <c r="AH454" s="6">
        <v>4035.05</v>
      </c>
      <c r="AI454" s="6">
        <f t="shared" si="123"/>
        <v>4035.0540000000001</v>
      </c>
      <c r="AJ454" s="11">
        <f t="shared" si="124"/>
        <v>0.41753525254180884</v>
      </c>
      <c r="AK454" s="11" t="str">
        <f t="shared" si="125"/>
        <v>May</v>
      </c>
      <c r="AL454" s="12">
        <f t="shared" si="126"/>
        <v>2024</v>
      </c>
      <c r="AM454" s="6" t="s">
        <v>54</v>
      </c>
      <c r="AN454" s="6" t="s">
        <v>55</v>
      </c>
      <c r="AO454" s="6" t="str">
        <f t="shared" si="118"/>
        <v>Completed</v>
      </c>
    </row>
    <row r="455" spans="1:41">
      <c r="A455" s="6" t="s">
        <v>2245</v>
      </c>
      <c r="B455" s="7" t="s">
        <v>2246</v>
      </c>
      <c r="C455" s="8">
        <v>45780</v>
      </c>
      <c r="D455" s="7" t="s">
        <v>2247</v>
      </c>
      <c r="E455" s="9">
        <v>45788</v>
      </c>
      <c r="F455" s="9" t="str">
        <f t="shared" si="111"/>
        <v>Valid</v>
      </c>
      <c r="G455" s="10">
        <f t="shared" si="112"/>
        <v>8</v>
      </c>
      <c r="H455" s="10" t="str">
        <f t="shared" si="113"/>
        <v>Valid</v>
      </c>
      <c r="I455" s="6" t="s">
        <v>2248</v>
      </c>
      <c r="J455" s="6" t="s">
        <v>200</v>
      </c>
      <c r="K455" s="6" t="s">
        <v>200</v>
      </c>
      <c r="L455" s="6" t="s">
        <v>61</v>
      </c>
      <c r="M455" s="7" t="str">
        <f t="shared" si="114"/>
        <v>Small Business</v>
      </c>
      <c r="N455" s="6" t="s">
        <v>93</v>
      </c>
      <c r="O455" s="7" t="str">
        <f t="shared" si="115"/>
        <v>West</v>
      </c>
      <c r="P455" s="6" t="s">
        <v>104</v>
      </c>
      <c r="Q455" s="6" t="s">
        <v>105</v>
      </c>
      <c r="R455" s="6" t="s">
        <v>50</v>
      </c>
      <c r="S455" s="7" t="str">
        <f t="shared" si="116"/>
        <v>Office Supplies</v>
      </c>
      <c r="T455" s="6" t="s">
        <v>129</v>
      </c>
      <c r="U455" s="6" t="s">
        <v>2249</v>
      </c>
      <c r="V455" s="6" t="s">
        <v>68</v>
      </c>
      <c r="W455" s="7" t="str">
        <f t="shared" si="117"/>
        <v>Same Day</v>
      </c>
      <c r="X455" s="6">
        <v>5</v>
      </c>
      <c r="Y455" s="6">
        <v>1483.52</v>
      </c>
      <c r="Z455" s="6">
        <v>0</v>
      </c>
      <c r="AA455" s="6">
        <f t="shared" si="119"/>
        <v>0</v>
      </c>
      <c r="AB455" s="6" t="str">
        <f t="shared" si="120"/>
        <v>Valid</v>
      </c>
      <c r="AC455" s="6">
        <v>7417.6</v>
      </c>
      <c r="AD455" s="6" t="str">
        <f>IF(OR(AO455="Cancelled",AM455="Failed"),"Exclude from Completed Sales","Include in Completed Sales")</f>
        <v>Include in Completed Sales</v>
      </c>
      <c r="AE455" s="6">
        <f t="shared" si="121"/>
        <v>7417.6</v>
      </c>
      <c r="AF455" s="6" t="str">
        <f t="shared" si="122"/>
        <v/>
      </c>
      <c r="AG455" s="6">
        <v>4955.8599999999997</v>
      </c>
      <c r="AH455" s="6">
        <v>2461.7399999999998</v>
      </c>
      <c r="AI455" s="6">
        <f t="shared" si="123"/>
        <v>2461.7400000000007</v>
      </c>
      <c r="AJ455" s="11">
        <f t="shared" si="124"/>
        <v>0.3318782355478862</v>
      </c>
      <c r="AK455" s="11" t="str">
        <f t="shared" si="125"/>
        <v>May</v>
      </c>
      <c r="AL455" s="12">
        <f t="shared" si="126"/>
        <v>2025</v>
      </c>
      <c r="AM455" s="6" t="s">
        <v>54</v>
      </c>
      <c r="AN455" s="6" t="s">
        <v>55</v>
      </c>
      <c r="AO455" s="6" t="str">
        <f t="shared" si="118"/>
        <v>Completed</v>
      </c>
    </row>
    <row r="456" spans="1:41">
      <c r="A456" s="6" t="s">
        <v>2250</v>
      </c>
      <c r="B456" s="7" t="s">
        <v>2251</v>
      </c>
      <c r="C456" s="8">
        <v>45739</v>
      </c>
      <c r="D456" s="7" t="s">
        <v>2252</v>
      </c>
      <c r="E456" s="9">
        <v>45744</v>
      </c>
      <c r="F456" s="9" t="str">
        <f t="shared" si="111"/>
        <v>Valid</v>
      </c>
      <c r="G456" s="10">
        <f t="shared" si="112"/>
        <v>5</v>
      </c>
      <c r="H456" s="10" t="str">
        <f t="shared" si="113"/>
        <v>Valid</v>
      </c>
      <c r="I456" s="6" t="s">
        <v>2253</v>
      </c>
      <c r="J456" s="6" t="s">
        <v>103</v>
      </c>
      <c r="K456" s="6" t="s">
        <v>103</v>
      </c>
      <c r="L456" s="6" t="s">
        <v>61</v>
      </c>
      <c r="M456" s="7" t="str">
        <f t="shared" si="114"/>
        <v>Small Business</v>
      </c>
      <c r="N456" s="6" t="s">
        <v>47</v>
      </c>
      <c r="O456" s="7" t="str">
        <f t="shared" si="115"/>
        <v>North</v>
      </c>
      <c r="P456" s="6" t="s">
        <v>48</v>
      </c>
      <c r="Q456" s="6" t="s">
        <v>49</v>
      </c>
      <c r="R456" s="6" t="s">
        <v>65</v>
      </c>
      <c r="S456" s="7" t="str">
        <f t="shared" si="116"/>
        <v>Furniture</v>
      </c>
      <c r="T456" s="6" t="s">
        <v>85</v>
      </c>
      <c r="U456" s="6" t="s">
        <v>2254</v>
      </c>
      <c r="V456" s="6" t="s">
        <v>87</v>
      </c>
      <c r="W456" s="7" t="str">
        <f t="shared" si="117"/>
        <v>Standard Class</v>
      </c>
      <c r="X456" s="6">
        <v>9</v>
      </c>
      <c r="Y456" s="6">
        <v>3298</v>
      </c>
      <c r="Z456" s="6">
        <v>0.15</v>
      </c>
      <c r="AA456" s="6">
        <f t="shared" si="119"/>
        <v>0.15</v>
      </c>
      <c r="AB456" s="6" t="str">
        <f t="shared" si="120"/>
        <v>Valid</v>
      </c>
      <c r="AC456" s="6">
        <v>25229.7</v>
      </c>
      <c r="AD456" s="6" t="str">
        <f>IF(OR(AO456="Cancelled",AM456="Failed"),"Exclude from Completed Sales","Include in Completed Sales")</f>
        <v>Include in Completed Sales</v>
      </c>
      <c r="AE456" s="6">
        <f t="shared" si="121"/>
        <v>25229.7</v>
      </c>
      <c r="AF456" s="6" t="str">
        <f t="shared" si="122"/>
        <v/>
      </c>
      <c r="AG456" s="6">
        <v>20170.43</v>
      </c>
      <c r="AH456" s="6">
        <v>5059.2700000000004</v>
      </c>
      <c r="AI456" s="6">
        <f t="shared" si="123"/>
        <v>5059.2700000000004</v>
      </c>
      <c r="AJ456" s="11">
        <f t="shared" si="124"/>
        <v>0.20052834556098567</v>
      </c>
      <c r="AK456" s="11" t="str">
        <f t="shared" si="125"/>
        <v>March</v>
      </c>
      <c r="AL456" s="12">
        <f t="shared" si="126"/>
        <v>2025</v>
      </c>
      <c r="AM456" s="6" t="s">
        <v>54</v>
      </c>
      <c r="AN456" s="6" t="s">
        <v>55</v>
      </c>
      <c r="AO456" s="6" t="str">
        <f t="shared" si="118"/>
        <v>Completed</v>
      </c>
    </row>
    <row r="457" spans="1:41">
      <c r="A457" s="6" t="s">
        <v>2255</v>
      </c>
      <c r="B457" s="7" t="s">
        <v>2256</v>
      </c>
      <c r="C457" s="8">
        <v>45491</v>
      </c>
      <c r="D457" s="7" t="s">
        <v>2257</v>
      </c>
      <c r="E457" s="9">
        <v>45495</v>
      </c>
      <c r="F457" s="9" t="str">
        <f t="shared" si="111"/>
        <v>Valid</v>
      </c>
      <c r="G457" s="10">
        <f t="shared" si="112"/>
        <v>4</v>
      </c>
      <c r="H457" s="10" t="str">
        <f t="shared" si="113"/>
        <v>Valid</v>
      </c>
      <c r="I457" s="6" t="s">
        <v>2258</v>
      </c>
      <c r="J457" s="6" t="s">
        <v>113</v>
      </c>
      <c r="K457" s="6" t="s">
        <v>113</v>
      </c>
      <c r="L457" s="6" t="s">
        <v>61</v>
      </c>
      <c r="M457" s="7" t="str">
        <f t="shared" si="114"/>
        <v>Small Business</v>
      </c>
      <c r="N457" s="6" t="s">
        <v>82</v>
      </c>
      <c r="O457" s="7" t="str">
        <f t="shared" si="115"/>
        <v>South</v>
      </c>
      <c r="P457" s="6" t="s">
        <v>83</v>
      </c>
      <c r="Q457" s="6" t="s">
        <v>84</v>
      </c>
      <c r="R457" s="6" t="s">
        <v>50</v>
      </c>
      <c r="S457" s="7" t="str">
        <f t="shared" si="116"/>
        <v>Office Supplies</v>
      </c>
      <c r="T457" s="6" t="s">
        <v>74</v>
      </c>
      <c r="U457" s="6" t="s">
        <v>2259</v>
      </c>
      <c r="V457" s="6" t="s">
        <v>87</v>
      </c>
      <c r="W457" s="7" t="str">
        <f t="shared" si="117"/>
        <v>Standard Class</v>
      </c>
      <c r="X457" s="6">
        <v>4</v>
      </c>
      <c r="Y457" s="6">
        <v>808.77</v>
      </c>
      <c r="Z457" s="6">
        <v>0</v>
      </c>
      <c r="AA457" s="6">
        <f t="shared" si="119"/>
        <v>0</v>
      </c>
      <c r="AB457" s="6" t="str">
        <f t="shared" si="120"/>
        <v>Valid</v>
      </c>
      <c r="AC457" s="6">
        <v>3235.08</v>
      </c>
      <c r="AD457" s="6" t="str">
        <f>IF(OR(AO457="Cancelled",AM457="Failed"),"Exclude from Completed Sales","Include in Completed Sales")</f>
        <v>Include in Completed Sales</v>
      </c>
      <c r="AE457" s="6">
        <f t="shared" si="121"/>
        <v>3235.08</v>
      </c>
      <c r="AF457" s="6" t="str">
        <f t="shared" si="122"/>
        <v/>
      </c>
      <c r="AG457" s="6">
        <v>1848.6</v>
      </c>
      <c r="AH457" s="6">
        <v>1386.48</v>
      </c>
      <c r="AI457" s="6">
        <f t="shared" si="123"/>
        <v>1386.48</v>
      </c>
      <c r="AJ457" s="11">
        <f t="shared" si="124"/>
        <v>0.42857672762342819</v>
      </c>
      <c r="AK457" s="11" t="str">
        <f t="shared" si="125"/>
        <v>July</v>
      </c>
      <c r="AL457" s="12">
        <f t="shared" si="126"/>
        <v>2024</v>
      </c>
      <c r="AM457" s="6" t="s">
        <v>54</v>
      </c>
      <c r="AN457" s="6" t="s">
        <v>55</v>
      </c>
      <c r="AO457" s="6" t="str">
        <f t="shared" si="118"/>
        <v>Completed</v>
      </c>
    </row>
    <row r="458" spans="1:41">
      <c r="A458" s="6" t="s">
        <v>2260</v>
      </c>
      <c r="B458" s="7" t="s">
        <v>2108</v>
      </c>
      <c r="C458" s="8">
        <v>45342</v>
      </c>
      <c r="D458" s="7" t="s">
        <v>2108</v>
      </c>
      <c r="E458" s="9">
        <v>45342</v>
      </c>
      <c r="F458" s="9" t="str">
        <f t="shared" si="111"/>
        <v>Valid</v>
      </c>
      <c r="G458" s="10">
        <f t="shared" si="112"/>
        <v>0</v>
      </c>
      <c r="H458" s="10" t="str">
        <f t="shared" si="113"/>
        <v>Valid</v>
      </c>
      <c r="I458" s="6" t="s">
        <v>2261</v>
      </c>
      <c r="J458" s="6" t="s">
        <v>113</v>
      </c>
      <c r="K458" s="6" t="s">
        <v>113</v>
      </c>
      <c r="L458" s="6" t="s">
        <v>128</v>
      </c>
      <c r="M458" s="7" t="str">
        <f t="shared" si="114"/>
        <v>Corporate</v>
      </c>
      <c r="N458" s="6" t="s">
        <v>47</v>
      </c>
      <c r="O458" s="7" t="str">
        <f t="shared" si="115"/>
        <v>North</v>
      </c>
      <c r="P458" s="6" t="s">
        <v>194</v>
      </c>
      <c r="Q458" s="6" t="s">
        <v>195</v>
      </c>
      <c r="R458" s="6" t="s">
        <v>106</v>
      </c>
      <c r="S458" s="7" t="str">
        <f t="shared" si="116"/>
        <v>Technology</v>
      </c>
      <c r="T458" s="6" t="s">
        <v>107</v>
      </c>
      <c r="U458" s="6" t="s">
        <v>2262</v>
      </c>
      <c r="V458" s="6" t="s">
        <v>68</v>
      </c>
      <c r="W458" s="7" t="str">
        <f t="shared" si="117"/>
        <v>Same Day</v>
      </c>
      <c r="X458" s="6">
        <v>5</v>
      </c>
      <c r="Y458" s="6">
        <v>2604.91</v>
      </c>
      <c r="Z458" s="6">
        <v>0.15</v>
      </c>
      <c r="AA458" s="6">
        <f t="shared" si="119"/>
        <v>0.15</v>
      </c>
      <c r="AB458" s="6" t="str">
        <f t="shared" si="120"/>
        <v>Valid</v>
      </c>
      <c r="AC458" s="6">
        <v>11070.87</v>
      </c>
      <c r="AD458" s="6" t="str">
        <f>IF(OR(AO458="Cancelled",AM458="Failed"),"Exclude from Completed Sales","Include in Completed Sales")</f>
        <v>Include in Completed Sales</v>
      </c>
      <c r="AE458" s="6">
        <f t="shared" si="121"/>
        <v>11070.867499999998</v>
      </c>
      <c r="AF458" s="6" t="str">
        <f t="shared" si="122"/>
        <v/>
      </c>
      <c r="AG458" s="6">
        <v>6623.61</v>
      </c>
      <c r="AH458" s="6">
        <v>4447.26</v>
      </c>
      <c r="AI458" s="6">
        <f t="shared" si="123"/>
        <v>4447.2574999999988</v>
      </c>
      <c r="AJ458" s="11">
        <f t="shared" si="124"/>
        <v>0.40170813172499803</v>
      </c>
      <c r="AK458" s="11" t="str">
        <f t="shared" si="125"/>
        <v>February</v>
      </c>
      <c r="AL458" s="12">
        <f t="shared" si="126"/>
        <v>2024</v>
      </c>
      <c r="AM458" s="6" t="s">
        <v>54</v>
      </c>
      <c r="AN458" s="6" t="s">
        <v>145</v>
      </c>
      <c r="AO458" s="6" t="str">
        <f t="shared" si="118"/>
        <v>Returned</v>
      </c>
    </row>
    <row r="459" spans="1:41">
      <c r="A459" s="6" t="s">
        <v>2263</v>
      </c>
      <c r="B459" s="7" t="s">
        <v>2264</v>
      </c>
      <c r="C459" s="8">
        <v>45416</v>
      </c>
      <c r="D459" s="7" t="s">
        <v>2265</v>
      </c>
      <c r="E459" s="9">
        <v>45416</v>
      </c>
      <c r="F459" s="9" t="str">
        <f t="shared" si="111"/>
        <v>Valid</v>
      </c>
      <c r="G459" s="10">
        <f t="shared" si="112"/>
        <v>0</v>
      </c>
      <c r="H459" s="10" t="str">
        <f t="shared" si="113"/>
        <v>Valid</v>
      </c>
      <c r="I459" s="6" t="s">
        <v>2266</v>
      </c>
      <c r="J459" s="6" t="s">
        <v>60</v>
      </c>
      <c r="K459" s="6" t="s">
        <v>60</v>
      </c>
      <c r="L459" s="6" t="s">
        <v>61</v>
      </c>
      <c r="M459" s="7" t="str">
        <f t="shared" si="114"/>
        <v>Small Business</v>
      </c>
      <c r="N459" s="6" t="s">
        <v>93</v>
      </c>
      <c r="O459" s="7" t="str">
        <f t="shared" si="115"/>
        <v>West</v>
      </c>
      <c r="P459" s="6" t="s">
        <v>269</v>
      </c>
      <c r="Q459" s="6" t="s">
        <v>270</v>
      </c>
      <c r="R459" s="6" t="s">
        <v>65</v>
      </c>
      <c r="S459" s="7" t="str">
        <f t="shared" si="116"/>
        <v>Furniture</v>
      </c>
      <c r="T459" s="6" t="s">
        <v>66</v>
      </c>
      <c r="U459" s="6" t="s">
        <v>2267</v>
      </c>
      <c r="V459" s="6" t="s">
        <v>87</v>
      </c>
      <c r="W459" s="7" t="str">
        <f t="shared" si="117"/>
        <v>Standard Class</v>
      </c>
      <c r="X459" s="6">
        <v>7</v>
      </c>
      <c r="Y459" s="6">
        <v>2851.51</v>
      </c>
      <c r="Z459" s="6">
        <v>0</v>
      </c>
      <c r="AA459" s="6">
        <f t="shared" si="119"/>
        <v>0</v>
      </c>
      <c r="AB459" s="6" t="str">
        <f t="shared" si="120"/>
        <v>Valid</v>
      </c>
      <c r="AC459" s="6">
        <v>19960.57</v>
      </c>
      <c r="AD459" s="6" t="str">
        <f>IF(OR(AO459="Cancelled",AM459="Failed"),"Exclude from Completed Sales","Include in Completed Sales")</f>
        <v>Include in Completed Sales</v>
      </c>
      <c r="AE459" s="6">
        <f t="shared" si="121"/>
        <v>19960.57</v>
      </c>
      <c r="AF459" s="6" t="str">
        <f t="shared" si="122"/>
        <v/>
      </c>
      <c r="AG459" s="6">
        <v>16603.599999999999</v>
      </c>
      <c r="AH459" s="6">
        <v>3356.97</v>
      </c>
      <c r="AI459" s="6">
        <f t="shared" si="123"/>
        <v>3356.9700000000012</v>
      </c>
      <c r="AJ459" s="11">
        <f t="shared" si="124"/>
        <v>0.1681800670020947</v>
      </c>
      <c r="AK459" s="11" t="str">
        <f t="shared" si="125"/>
        <v>May</v>
      </c>
      <c r="AL459" s="12">
        <f t="shared" si="126"/>
        <v>2024</v>
      </c>
      <c r="AM459" s="6" t="s">
        <v>54</v>
      </c>
      <c r="AN459" s="6" t="s">
        <v>55</v>
      </c>
      <c r="AO459" s="6" t="str">
        <f t="shared" si="118"/>
        <v>Completed</v>
      </c>
    </row>
    <row r="460" spans="1:41">
      <c r="A460" s="6" t="s">
        <v>2268</v>
      </c>
      <c r="B460" s="7" t="s">
        <v>2269</v>
      </c>
      <c r="C460" s="8">
        <v>45332</v>
      </c>
      <c r="D460" s="7" t="s">
        <v>880</v>
      </c>
      <c r="E460" s="9">
        <v>45333</v>
      </c>
      <c r="F460" s="9" t="str">
        <f t="shared" si="111"/>
        <v>Valid</v>
      </c>
      <c r="G460" s="10">
        <f t="shared" si="112"/>
        <v>1</v>
      </c>
      <c r="H460" s="10" t="str">
        <f t="shared" si="113"/>
        <v>Valid</v>
      </c>
      <c r="I460" s="6" t="s">
        <v>2270</v>
      </c>
      <c r="J460" s="6" t="s">
        <v>45</v>
      </c>
      <c r="K460" s="6" t="s">
        <v>45</v>
      </c>
      <c r="L460" s="6" t="s">
        <v>128</v>
      </c>
      <c r="M460" s="7" t="str">
        <f t="shared" si="114"/>
        <v>Corporate</v>
      </c>
      <c r="N460" s="6" t="s">
        <v>47</v>
      </c>
      <c r="O460" s="7" t="str">
        <f t="shared" si="115"/>
        <v>North</v>
      </c>
      <c r="P460" s="6" t="s">
        <v>48</v>
      </c>
      <c r="Q460" s="6" t="s">
        <v>49</v>
      </c>
      <c r="R460" s="6" t="s">
        <v>106</v>
      </c>
      <c r="S460" s="7" t="str">
        <f t="shared" si="116"/>
        <v>Technology</v>
      </c>
      <c r="T460" s="6" t="s">
        <v>243</v>
      </c>
      <c r="U460" s="6" t="s">
        <v>2271</v>
      </c>
      <c r="V460" s="6" t="s">
        <v>53</v>
      </c>
      <c r="W460" s="7" t="str">
        <f t="shared" si="117"/>
        <v>Second Class</v>
      </c>
      <c r="X460" s="6">
        <v>3</v>
      </c>
      <c r="Y460" s="6">
        <v>3183.72</v>
      </c>
      <c r="Z460" s="6">
        <v>0.1</v>
      </c>
      <c r="AA460" s="6">
        <f t="shared" si="119"/>
        <v>0.1</v>
      </c>
      <c r="AB460" s="6" t="str">
        <f t="shared" si="120"/>
        <v>Valid</v>
      </c>
      <c r="AC460" s="6">
        <v>8596.0400000000009</v>
      </c>
      <c r="AD460" s="6" t="str">
        <f>IF(OR(AO460="Cancelled",AM460="Failed"),"Exclude from Completed Sales","Include in Completed Sales")</f>
        <v>Include in Completed Sales</v>
      </c>
      <c r="AE460" s="6">
        <f t="shared" si="121"/>
        <v>8596.0439999999999</v>
      </c>
      <c r="AF460" s="6" t="str">
        <f t="shared" si="122"/>
        <v/>
      </c>
      <c r="AG460" s="6">
        <v>5378.16</v>
      </c>
      <c r="AH460" s="6">
        <v>3217.88</v>
      </c>
      <c r="AI460" s="6">
        <f t="shared" si="123"/>
        <v>3217.884</v>
      </c>
      <c r="AJ460" s="11">
        <f t="shared" si="124"/>
        <v>0.37434475672762962</v>
      </c>
      <c r="AK460" s="11" t="str">
        <f t="shared" si="125"/>
        <v>February</v>
      </c>
      <c r="AL460" s="12">
        <f t="shared" si="126"/>
        <v>2024</v>
      </c>
      <c r="AM460" s="6" t="s">
        <v>54</v>
      </c>
      <c r="AN460" s="6" t="s">
        <v>55</v>
      </c>
      <c r="AO460" s="6" t="str">
        <f t="shared" si="118"/>
        <v>Completed</v>
      </c>
    </row>
    <row r="461" spans="1:41">
      <c r="A461" s="6" t="s">
        <v>2272</v>
      </c>
      <c r="B461" s="7" t="s">
        <v>2273</v>
      </c>
      <c r="C461" s="8">
        <v>45379</v>
      </c>
      <c r="D461" s="7" t="s">
        <v>2203</v>
      </c>
      <c r="E461" s="9">
        <v>45386</v>
      </c>
      <c r="F461" s="9" t="str">
        <f t="shared" si="111"/>
        <v>Valid</v>
      </c>
      <c r="G461" s="10">
        <f t="shared" si="112"/>
        <v>7</v>
      </c>
      <c r="H461" s="10" t="str">
        <f t="shared" si="113"/>
        <v>Valid</v>
      </c>
      <c r="I461" s="6" t="s">
        <v>2274</v>
      </c>
      <c r="J461" s="6" t="s">
        <v>92</v>
      </c>
      <c r="K461" s="6" t="s">
        <v>92</v>
      </c>
      <c r="L461" s="6" t="s">
        <v>135</v>
      </c>
      <c r="M461" s="7" t="str">
        <f t="shared" si="114"/>
        <v>Home Office</v>
      </c>
      <c r="N461" s="6" t="s">
        <v>93</v>
      </c>
      <c r="O461" s="7" t="str">
        <f t="shared" si="115"/>
        <v>West</v>
      </c>
      <c r="P461" s="6" t="s">
        <v>269</v>
      </c>
      <c r="Q461" s="6" t="s">
        <v>270</v>
      </c>
      <c r="R461" s="6" t="s">
        <v>50</v>
      </c>
      <c r="S461" s="7" t="str">
        <f t="shared" si="116"/>
        <v>Office Supplies</v>
      </c>
      <c r="T461" s="6" t="s">
        <v>51</v>
      </c>
      <c r="U461" s="6" t="s">
        <v>2275</v>
      </c>
      <c r="V461" s="6" t="s">
        <v>76</v>
      </c>
      <c r="W461" s="7" t="str">
        <f t="shared" si="117"/>
        <v>First Class</v>
      </c>
      <c r="X461" s="6">
        <v>3</v>
      </c>
      <c r="Y461" s="6">
        <v>1150.92</v>
      </c>
      <c r="Z461" s="6">
        <v>0</v>
      </c>
      <c r="AA461" s="6">
        <f t="shared" si="119"/>
        <v>0</v>
      </c>
      <c r="AB461" s="6" t="str">
        <f t="shared" si="120"/>
        <v>Valid</v>
      </c>
      <c r="AC461" s="6">
        <v>3452.76</v>
      </c>
      <c r="AD461" s="6" t="str">
        <f>IF(OR(AO461="Cancelled",AM461="Failed"),"Exclude from Completed Sales","Include in Completed Sales")</f>
        <v>Include in Completed Sales</v>
      </c>
      <c r="AE461" s="6">
        <f t="shared" si="121"/>
        <v>3452.76</v>
      </c>
      <c r="AF461" s="6" t="str">
        <f t="shared" si="122"/>
        <v/>
      </c>
      <c r="AG461" s="6">
        <v>2077.96</v>
      </c>
      <c r="AH461" s="6">
        <v>1374.8</v>
      </c>
      <c r="AI461" s="6">
        <f t="shared" si="123"/>
        <v>1374.8000000000002</v>
      </c>
      <c r="AJ461" s="11">
        <f t="shared" si="124"/>
        <v>0.39817421425178701</v>
      </c>
      <c r="AK461" s="11" t="str">
        <f t="shared" si="125"/>
        <v>March</v>
      </c>
      <c r="AL461" s="12">
        <f t="shared" si="126"/>
        <v>2024</v>
      </c>
      <c r="AM461" s="6" t="s">
        <v>54</v>
      </c>
      <c r="AN461" s="6" t="s">
        <v>55</v>
      </c>
      <c r="AO461" s="6" t="str">
        <f t="shared" si="118"/>
        <v>Completed</v>
      </c>
    </row>
    <row r="462" spans="1:41">
      <c r="A462" s="6" t="s">
        <v>2276</v>
      </c>
      <c r="B462" s="7" t="s">
        <v>2277</v>
      </c>
      <c r="C462" s="8">
        <v>45930</v>
      </c>
      <c r="D462" s="7" t="s">
        <v>2278</v>
      </c>
      <c r="E462" s="9">
        <v>45936</v>
      </c>
      <c r="F462" s="9" t="str">
        <f t="shared" si="111"/>
        <v>Valid</v>
      </c>
      <c r="G462" s="10">
        <f t="shared" si="112"/>
        <v>6</v>
      </c>
      <c r="H462" s="10" t="str">
        <f t="shared" si="113"/>
        <v>Valid</v>
      </c>
      <c r="I462" s="6" t="s">
        <v>2279</v>
      </c>
      <c r="J462" s="6" t="s">
        <v>182</v>
      </c>
      <c r="K462" s="6" t="s">
        <v>182</v>
      </c>
      <c r="L462" s="6" t="s">
        <v>128</v>
      </c>
      <c r="M462" s="7" t="str">
        <f t="shared" si="114"/>
        <v>Corporate</v>
      </c>
      <c r="N462" s="6"/>
      <c r="O462" s="7" t="str">
        <f t="shared" si="115"/>
        <v>Unknown</v>
      </c>
      <c r="P462" s="6" t="s">
        <v>48</v>
      </c>
      <c r="Q462" s="6" t="s">
        <v>49</v>
      </c>
      <c r="R462" s="6" t="s">
        <v>106</v>
      </c>
      <c r="S462" s="7" t="str">
        <f t="shared" si="116"/>
        <v>Technology</v>
      </c>
      <c r="T462" s="6" t="s">
        <v>114</v>
      </c>
      <c r="U462" s="6" t="s">
        <v>2280</v>
      </c>
      <c r="V462" s="6" t="s">
        <v>53</v>
      </c>
      <c r="W462" s="7" t="str">
        <f t="shared" si="117"/>
        <v>Second Class</v>
      </c>
      <c r="X462" s="6">
        <v>9</v>
      </c>
      <c r="Y462" s="6">
        <v>1359.88</v>
      </c>
      <c r="Z462" s="6">
        <v>0.05</v>
      </c>
      <c r="AA462" s="6">
        <f t="shared" si="119"/>
        <v>0.05</v>
      </c>
      <c r="AB462" s="6" t="str">
        <f t="shared" si="120"/>
        <v>Valid</v>
      </c>
      <c r="AC462" s="6">
        <v>11626.97</v>
      </c>
      <c r="AD462" s="6" t="str">
        <f>IF(OR(AO462="Cancelled",AM462="Failed"),"Exclude from Completed Sales","Include in Completed Sales")</f>
        <v>Include in Completed Sales</v>
      </c>
      <c r="AE462" s="6">
        <f t="shared" si="121"/>
        <v>11626.974000000002</v>
      </c>
      <c r="AF462" s="6" t="str">
        <f t="shared" si="122"/>
        <v/>
      </c>
      <c r="AG462" s="6">
        <v>7394.07</v>
      </c>
      <c r="AH462" s="6">
        <v>4232.8999999999996</v>
      </c>
      <c r="AI462" s="6">
        <f t="shared" si="123"/>
        <v>4232.9040000000023</v>
      </c>
      <c r="AJ462" s="11">
        <f t="shared" si="124"/>
        <v>0.36405895463428417</v>
      </c>
      <c r="AK462" s="11" t="str">
        <f t="shared" si="125"/>
        <v>September</v>
      </c>
      <c r="AL462" s="12">
        <f t="shared" si="126"/>
        <v>2025</v>
      </c>
      <c r="AM462" s="6" t="s">
        <v>54</v>
      </c>
      <c r="AN462" s="6" t="s">
        <v>55</v>
      </c>
      <c r="AO462" s="6" t="str">
        <f t="shared" si="118"/>
        <v>Completed</v>
      </c>
    </row>
    <row r="463" spans="1:41">
      <c r="A463" s="6" t="s">
        <v>2281</v>
      </c>
      <c r="B463" s="7" t="s">
        <v>2282</v>
      </c>
      <c r="C463" s="8">
        <v>45802</v>
      </c>
      <c r="D463" s="7" t="s">
        <v>1542</v>
      </c>
      <c r="E463" s="9">
        <v>45803</v>
      </c>
      <c r="F463" s="9" t="str">
        <f t="shared" si="111"/>
        <v>Valid</v>
      </c>
      <c r="G463" s="10">
        <f t="shared" si="112"/>
        <v>1</v>
      </c>
      <c r="H463" s="10" t="str">
        <f t="shared" si="113"/>
        <v>Valid</v>
      </c>
      <c r="I463" s="6" t="s">
        <v>2283</v>
      </c>
      <c r="J463" s="6" t="s">
        <v>113</v>
      </c>
      <c r="K463" s="6" t="s">
        <v>113</v>
      </c>
      <c r="L463" s="6" t="s">
        <v>128</v>
      </c>
      <c r="M463" s="7" t="str">
        <f t="shared" si="114"/>
        <v>Corporate</v>
      </c>
      <c r="N463" s="6" t="s">
        <v>82</v>
      </c>
      <c r="O463" s="7" t="str">
        <f t="shared" si="115"/>
        <v>South</v>
      </c>
      <c r="P463" s="6" t="s">
        <v>120</v>
      </c>
      <c r="Q463" s="6" t="s">
        <v>121</v>
      </c>
      <c r="R463" s="6" t="s">
        <v>50</v>
      </c>
      <c r="S463" s="7" t="str">
        <f t="shared" si="116"/>
        <v>Office Supplies</v>
      </c>
      <c r="T463" s="6" t="s">
        <v>51</v>
      </c>
      <c r="U463" s="6" t="s">
        <v>2284</v>
      </c>
      <c r="V463" s="6" t="s">
        <v>87</v>
      </c>
      <c r="W463" s="7" t="str">
        <f t="shared" si="117"/>
        <v>Standard Class</v>
      </c>
      <c r="X463" s="6">
        <v>3</v>
      </c>
      <c r="Y463" s="6">
        <v>3378.15</v>
      </c>
      <c r="Z463" s="6">
        <v>0.15</v>
      </c>
      <c r="AA463" s="6">
        <f t="shared" si="119"/>
        <v>0.15</v>
      </c>
      <c r="AB463" s="6" t="str">
        <f t="shared" si="120"/>
        <v>Valid</v>
      </c>
      <c r="AC463" s="6">
        <v>8614.2800000000007</v>
      </c>
      <c r="AD463" s="6" t="str">
        <f>IF(OR(AO463="Cancelled",AM463="Failed"),"Exclude from Completed Sales","Include in Completed Sales")</f>
        <v>Include in Completed Sales</v>
      </c>
      <c r="AE463" s="6">
        <f t="shared" si="121"/>
        <v>8614.2825000000012</v>
      </c>
      <c r="AF463" s="6" t="str">
        <f t="shared" si="122"/>
        <v/>
      </c>
      <c r="AG463" s="6">
        <v>7052.08</v>
      </c>
      <c r="AH463" s="6">
        <v>1562.2</v>
      </c>
      <c r="AI463" s="6">
        <f t="shared" si="123"/>
        <v>1562.2025000000012</v>
      </c>
      <c r="AJ463" s="11">
        <f t="shared" si="124"/>
        <v>0.18135027496486225</v>
      </c>
      <c r="AK463" s="11" t="str">
        <f t="shared" si="125"/>
        <v>May</v>
      </c>
      <c r="AL463" s="12">
        <f t="shared" si="126"/>
        <v>2025</v>
      </c>
      <c r="AM463" s="6" t="s">
        <v>54</v>
      </c>
      <c r="AN463" s="6" t="s">
        <v>55</v>
      </c>
      <c r="AO463" s="6" t="str">
        <f t="shared" si="118"/>
        <v>Completed</v>
      </c>
    </row>
    <row r="464" spans="1:41">
      <c r="A464" s="6" t="s">
        <v>2285</v>
      </c>
      <c r="B464" s="7" t="s">
        <v>2028</v>
      </c>
      <c r="C464" s="8">
        <v>45558</v>
      </c>
      <c r="D464" s="7" t="s">
        <v>2286</v>
      </c>
      <c r="E464" s="9">
        <v>45560</v>
      </c>
      <c r="F464" s="9" t="str">
        <f t="shared" si="111"/>
        <v>Valid</v>
      </c>
      <c r="G464" s="10">
        <f t="shared" si="112"/>
        <v>2</v>
      </c>
      <c r="H464" s="10" t="str">
        <f t="shared" si="113"/>
        <v>Valid</v>
      </c>
      <c r="I464" s="6" t="s">
        <v>2287</v>
      </c>
      <c r="J464" s="6" t="s">
        <v>182</v>
      </c>
      <c r="K464" s="6" t="s">
        <v>182</v>
      </c>
      <c r="L464" s="6" t="s">
        <v>135</v>
      </c>
      <c r="M464" s="7" t="str">
        <f t="shared" si="114"/>
        <v>Home Office</v>
      </c>
      <c r="N464" s="6" t="s">
        <v>47</v>
      </c>
      <c r="O464" s="7" t="str">
        <f t="shared" si="115"/>
        <v>North</v>
      </c>
      <c r="P464" s="6" t="s">
        <v>526</v>
      </c>
      <c r="Q464" s="6" t="s">
        <v>527</v>
      </c>
      <c r="R464" s="6" t="s">
        <v>50</v>
      </c>
      <c r="S464" s="7" t="str">
        <f t="shared" si="116"/>
        <v>Office Supplies</v>
      </c>
      <c r="T464" s="6" t="s">
        <v>218</v>
      </c>
      <c r="U464" s="6" t="s">
        <v>2288</v>
      </c>
      <c r="V464" s="6" t="s">
        <v>76</v>
      </c>
      <c r="W464" s="7" t="str">
        <f t="shared" si="117"/>
        <v>First Class</v>
      </c>
      <c r="X464" s="6">
        <v>2</v>
      </c>
      <c r="Y464" s="6">
        <v>1275.1400000000001</v>
      </c>
      <c r="Z464" s="6">
        <v>0.2</v>
      </c>
      <c r="AA464" s="6">
        <f t="shared" si="119"/>
        <v>0.2</v>
      </c>
      <c r="AB464" s="6" t="str">
        <f t="shared" si="120"/>
        <v>Valid</v>
      </c>
      <c r="AC464" s="6">
        <v>2040.22</v>
      </c>
      <c r="AD464" s="6" t="str">
        <f>IF(OR(AO464="Cancelled",AM464="Failed"),"Exclude from Completed Sales","Include in Completed Sales")</f>
        <v>Include in Completed Sales</v>
      </c>
      <c r="AE464" s="6">
        <f t="shared" si="121"/>
        <v>2040.2240000000002</v>
      </c>
      <c r="AF464" s="6" t="str">
        <f t="shared" si="122"/>
        <v/>
      </c>
      <c r="AG464" s="6">
        <v>1395.71</v>
      </c>
      <c r="AH464" s="6">
        <v>644.51</v>
      </c>
      <c r="AI464" s="6">
        <f t="shared" si="123"/>
        <v>644.51400000000012</v>
      </c>
      <c r="AJ464" s="11">
        <f t="shared" si="124"/>
        <v>0.31590354784572677</v>
      </c>
      <c r="AK464" s="11" t="str">
        <f t="shared" si="125"/>
        <v>September</v>
      </c>
      <c r="AL464" s="12">
        <f t="shared" si="126"/>
        <v>2024</v>
      </c>
      <c r="AM464" s="6" t="s">
        <v>54</v>
      </c>
      <c r="AN464" s="6" t="s">
        <v>55</v>
      </c>
      <c r="AO464" s="6" t="str">
        <f t="shared" si="118"/>
        <v>Completed</v>
      </c>
    </row>
    <row r="465" spans="1:41">
      <c r="A465" s="6" t="s">
        <v>2289</v>
      </c>
      <c r="B465" s="7" t="s">
        <v>461</v>
      </c>
      <c r="C465" s="8">
        <v>45695</v>
      </c>
      <c r="D465" s="7" t="s">
        <v>2290</v>
      </c>
      <c r="E465" s="9">
        <v>45696</v>
      </c>
      <c r="F465" s="9" t="str">
        <f t="shared" si="111"/>
        <v>Valid</v>
      </c>
      <c r="G465" s="10">
        <f t="shared" si="112"/>
        <v>1</v>
      </c>
      <c r="H465" s="10" t="str">
        <f t="shared" si="113"/>
        <v>Valid</v>
      </c>
      <c r="I465" s="6" t="s">
        <v>2291</v>
      </c>
      <c r="J465" s="6" t="s">
        <v>81</v>
      </c>
      <c r="K465" s="6" t="s">
        <v>81</v>
      </c>
      <c r="L465" s="6" t="s">
        <v>128</v>
      </c>
      <c r="M465" s="7" t="str">
        <f t="shared" si="114"/>
        <v>Corporate</v>
      </c>
      <c r="N465" s="6" t="s">
        <v>93</v>
      </c>
      <c r="O465" s="7" t="str">
        <f t="shared" si="115"/>
        <v>West</v>
      </c>
      <c r="P465" s="6" t="s">
        <v>104</v>
      </c>
      <c r="Q465" s="6" t="s">
        <v>105</v>
      </c>
      <c r="R465" s="6" t="s">
        <v>106</v>
      </c>
      <c r="S465" s="7" t="str">
        <f t="shared" si="116"/>
        <v>Technology</v>
      </c>
      <c r="T465" s="6" t="s">
        <v>243</v>
      </c>
      <c r="U465" s="6" t="s">
        <v>2292</v>
      </c>
      <c r="V465" s="6" t="s">
        <v>87</v>
      </c>
      <c r="W465" s="7" t="str">
        <f t="shared" si="117"/>
        <v>Standard Class</v>
      </c>
      <c r="X465" s="6">
        <v>4</v>
      </c>
      <c r="Y465" s="6">
        <v>889.5</v>
      </c>
      <c r="Z465" s="6">
        <v>0.2</v>
      </c>
      <c r="AA465" s="6">
        <f t="shared" si="119"/>
        <v>0.2</v>
      </c>
      <c r="AB465" s="6" t="str">
        <f t="shared" si="120"/>
        <v>Valid</v>
      </c>
      <c r="AC465" s="6">
        <v>2846.4</v>
      </c>
      <c r="AD465" s="6" t="str">
        <f>IF(OR(AO465="Cancelled",AM465="Failed"),"Exclude from Completed Sales","Include in Completed Sales")</f>
        <v>Include in Completed Sales</v>
      </c>
      <c r="AE465" s="6">
        <f t="shared" si="121"/>
        <v>2846.4</v>
      </c>
      <c r="AF465" s="6" t="str">
        <f t="shared" si="122"/>
        <v/>
      </c>
      <c r="AG465" s="6">
        <v>2132.37</v>
      </c>
      <c r="AH465" s="6">
        <v>714.03</v>
      </c>
      <c r="AI465" s="6">
        <f t="shared" si="123"/>
        <v>714.0300000000002</v>
      </c>
      <c r="AJ465" s="11">
        <f t="shared" si="124"/>
        <v>0.25085370994940986</v>
      </c>
      <c r="AK465" s="11" t="str">
        <f t="shared" si="125"/>
        <v>February</v>
      </c>
      <c r="AL465" s="12">
        <f t="shared" si="126"/>
        <v>2025</v>
      </c>
      <c r="AM465" s="6" t="s">
        <v>54</v>
      </c>
      <c r="AN465" s="6" t="s">
        <v>55</v>
      </c>
      <c r="AO465" s="6" t="str">
        <f t="shared" si="118"/>
        <v>Completed</v>
      </c>
    </row>
    <row r="466" spans="1:41">
      <c r="A466" s="6" t="s">
        <v>2293</v>
      </c>
      <c r="B466" s="7" t="s">
        <v>2294</v>
      </c>
      <c r="C466" s="8">
        <v>45727</v>
      </c>
      <c r="D466" s="7" t="s">
        <v>2295</v>
      </c>
      <c r="E466" s="9">
        <v>45731</v>
      </c>
      <c r="F466" s="9" t="str">
        <f t="shared" si="111"/>
        <v>Valid</v>
      </c>
      <c r="G466" s="10">
        <f t="shared" si="112"/>
        <v>4</v>
      </c>
      <c r="H466" s="10" t="str">
        <f t="shared" si="113"/>
        <v>Valid</v>
      </c>
      <c r="I466" s="6" t="s">
        <v>2296</v>
      </c>
      <c r="J466" s="6" t="s">
        <v>81</v>
      </c>
      <c r="K466" s="6" t="s">
        <v>81</v>
      </c>
      <c r="L466" s="6" t="s">
        <v>128</v>
      </c>
      <c r="M466" s="7" t="str">
        <f t="shared" si="114"/>
        <v>Corporate</v>
      </c>
      <c r="N466" s="6" t="s">
        <v>62</v>
      </c>
      <c r="O466" s="7" t="str">
        <f t="shared" si="115"/>
        <v>East</v>
      </c>
      <c r="P466" s="6" t="s">
        <v>206</v>
      </c>
      <c r="Q466" s="6" t="s">
        <v>207</v>
      </c>
      <c r="R466" s="6" t="s">
        <v>50</v>
      </c>
      <c r="S466" s="7" t="str">
        <f t="shared" si="116"/>
        <v>Office Supplies</v>
      </c>
      <c r="T466" s="6" t="s">
        <v>51</v>
      </c>
      <c r="U466" s="6" t="s">
        <v>2297</v>
      </c>
      <c r="V466" s="6" t="s">
        <v>68</v>
      </c>
      <c r="W466" s="7" t="str">
        <f t="shared" si="117"/>
        <v>Same Day</v>
      </c>
      <c r="X466" s="6">
        <v>3</v>
      </c>
      <c r="Y466" s="6">
        <v>3625.08</v>
      </c>
      <c r="Z466" s="6">
        <v>0.05</v>
      </c>
      <c r="AA466" s="6">
        <f t="shared" si="119"/>
        <v>0.05</v>
      </c>
      <c r="AB466" s="6" t="str">
        <f t="shared" si="120"/>
        <v>Valid</v>
      </c>
      <c r="AC466" s="6">
        <v>10331.48</v>
      </c>
      <c r="AD466" s="6" t="str">
        <f>IF(OR(AO466="Cancelled",AM466="Failed"),"Exclude from Completed Sales","Include in Completed Sales")</f>
        <v>Exclude from Completed Sales</v>
      </c>
      <c r="AE466" s="6">
        <f t="shared" si="121"/>
        <v>10331.477999999999</v>
      </c>
      <c r="AF466" s="6" t="str">
        <f t="shared" si="122"/>
        <v/>
      </c>
      <c r="AG466" s="6">
        <v>7131.91</v>
      </c>
      <c r="AH466" s="6">
        <v>3199.57</v>
      </c>
      <c r="AI466" s="6">
        <f t="shared" si="123"/>
        <v>3199.5679999999993</v>
      </c>
      <c r="AJ466" s="11">
        <f t="shared" si="124"/>
        <v>0.30969121746181905</v>
      </c>
      <c r="AK466" s="11" t="str">
        <f t="shared" si="125"/>
        <v>March</v>
      </c>
      <c r="AL466" s="12">
        <f t="shared" si="126"/>
        <v>2025</v>
      </c>
      <c r="AM466" s="6" t="s">
        <v>157</v>
      </c>
      <c r="AN466" s="6" t="s">
        <v>98</v>
      </c>
      <c r="AO466" s="6" t="str">
        <f t="shared" si="118"/>
        <v>Cancelled</v>
      </c>
    </row>
    <row r="467" spans="1:41">
      <c r="A467" s="6" t="s">
        <v>2298</v>
      </c>
      <c r="B467" s="7" t="s">
        <v>2299</v>
      </c>
      <c r="C467" s="8">
        <v>45320</v>
      </c>
      <c r="D467" s="7" t="s">
        <v>2300</v>
      </c>
      <c r="E467" s="9">
        <v>45328</v>
      </c>
      <c r="F467" s="9" t="str">
        <f t="shared" si="111"/>
        <v>Valid</v>
      </c>
      <c r="G467" s="10">
        <f t="shared" si="112"/>
        <v>8</v>
      </c>
      <c r="H467" s="10" t="str">
        <f t="shared" si="113"/>
        <v>Valid</v>
      </c>
      <c r="I467" s="6" t="s">
        <v>2301</v>
      </c>
      <c r="J467" s="6" t="s">
        <v>182</v>
      </c>
      <c r="K467" s="6" t="s">
        <v>182</v>
      </c>
      <c r="L467" s="6" t="s">
        <v>61</v>
      </c>
      <c r="M467" s="7" t="str">
        <f t="shared" si="114"/>
        <v>Small Business</v>
      </c>
      <c r="N467" s="6" t="s">
        <v>93</v>
      </c>
      <c r="O467" s="7" t="str">
        <f t="shared" si="115"/>
        <v>West</v>
      </c>
      <c r="P467" s="6" t="s">
        <v>104</v>
      </c>
      <c r="Q467" s="6" t="s">
        <v>105</v>
      </c>
      <c r="R467" s="6" t="s">
        <v>50</v>
      </c>
      <c r="S467" s="7" t="str">
        <f t="shared" si="116"/>
        <v>Office Supplies</v>
      </c>
      <c r="T467" s="6" t="s">
        <v>129</v>
      </c>
      <c r="U467" s="6" t="s">
        <v>2302</v>
      </c>
      <c r="V467" s="6" t="s">
        <v>87</v>
      </c>
      <c r="W467" s="7" t="str">
        <f t="shared" si="117"/>
        <v>Standard Class</v>
      </c>
      <c r="X467" s="6">
        <v>2</v>
      </c>
      <c r="Y467" s="6">
        <v>1258.9000000000001</v>
      </c>
      <c r="Z467" s="6">
        <v>0</v>
      </c>
      <c r="AA467" s="6">
        <f t="shared" si="119"/>
        <v>0</v>
      </c>
      <c r="AB467" s="6" t="str">
        <f t="shared" si="120"/>
        <v>Valid</v>
      </c>
      <c r="AC467" s="6">
        <v>2517.8000000000002</v>
      </c>
      <c r="AD467" s="6" t="str">
        <f>IF(OR(AO467="Cancelled",AM467="Failed"),"Exclude from Completed Sales","Include in Completed Sales")</f>
        <v>Include in Completed Sales</v>
      </c>
      <c r="AE467" s="6">
        <f t="shared" si="121"/>
        <v>2517.8000000000002</v>
      </c>
      <c r="AF467" s="6" t="str">
        <f t="shared" si="122"/>
        <v/>
      </c>
      <c r="AG467" s="6">
        <v>1478.54</v>
      </c>
      <c r="AH467" s="6">
        <v>1039.26</v>
      </c>
      <c r="AI467" s="6">
        <f t="shared" si="123"/>
        <v>1039.2600000000002</v>
      </c>
      <c r="AJ467" s="11">
        <f t="shared" si="124"/>
        <v>0.41276511239971408</v>
      </c>
      <c r="AK467" s="11" t="str">
        <f t="shared" si="125"/>
        <v>January</v>
      </c>
      <c r="AL467" s="12">
        <f t="shared" si="126"/>
        <v>2024</v>
      </c>
      <c r="AM467" s="6" t="s">
        <v>54</v>
      </c>
      <c r="AN467" s="6" t="s">
        <v>55</v>
      </c>
      <c r="AO467" s="6" t="str">
        <f t="shared" si="118"/>
        <v>Completed</v>
      </c>
    </row>
    <row r="468" spans="1:41">
      <c r="A468" s="6" t="s">
        <v>2303</v>
      </c>
      <c r="B468" s="7" t="s">
        <v>2304</v>
      </c>
      <c r="C468" s="8">
        <v>45295</v>
      </c>
      <c r="D468" s="7" t="s">
        <v>2305</v>
      </c>
      <c r="E468" s="9">
        <v>45299</v>
      </c>
      <c r="F468" s="9" t="str">
        <f t="shared" si="111"/>
        <v>Valid</v>
      </c>
      <c r="G468" s="10">
        <f t="shared" si="112"/>
        <v>4</v>
      </c>
      <c r="H468" s="10" t="str">
        <f t="shared" si="113"/>
        <v>Valid</v>
      </c>
      <c r="I468" s="6" t="s">
        <v>2306</v>
      </c>
      <c r="J468" s="6" t="s">
        <v>60</v>
      </c>
      <c r="K468" s="6" t="s">
        <v>60</v>
      </c>
      <c r="L468" s="6" t="s">
        <v>61</v>
      </c>
      <c r="M468" s="7" t="str">
        <f t="shared" si="114"/>
        <v>Small Business</v>
      </c>
      <c r="N468" s="6" t="s">
        <v>62</v>
      </c>
      <c r="O468" s="7" t="str">
        <f t="shared" si="115"/>
        <v>East</v>
      </c>
      <c r="P468" s="6" t="s">
        <v>206</v>
      </c>
      <c r="Q468" s="6" t="s">
        <v>207</v>
      </c>
      <c r="R468" s="6" t="s">
        <v>106</v>
      </c>
      <c r="S468" s="7" t="str">
        <f t="shared" si="116"/>
        <v>Technology</v>
      </c>
      <c r="T468" s="6" t="s">
        <v>107</v>
      </c>
      <c r="U468" s="6" t="s">
        <v>2307</v>
      </c>
      <c r="V468" s="6" t="s">
        <v>68</v>
      </c>
      <c r="W468" s="7" t="str">
        <f t="shared" si="117"/>
        <v>Same Day</v>
      </c>
      <c r="X468" s="6">
        <v>9</v>
      </c>
      <c r="Y468" s="6">
        <v>1591.96</v>
      </c>
      <c r="Z468" s="6">
        <v>0.2</v>
      </c>
      <c r="AA468" s="6">
        <f t="shared" si="119"/>
        <v>0.2</v>
      </c>
      <c r="AB468" s="6" t="str">
        <f t="shared" si="120"/>
        <v>Valid</v>
      </c>
      <c r="AC468" s="6">
        <v>11462.11</v>
      </c>
      <c r="AD468" s="6" t="str">
        <f>IF(OR(AO468="Cancelled",AM468="Failed"),"Exclude from Completed Sales","Include in Completed Sales")</f>
        <v>Include in Completed Sales</v>
      </c>
      <c r="AE468" s="6">
        <f t="shared" si="121"/>
        <v>11462.112000000001</v>
      </c>
      <c r="AF468" s="6" t="str">
        <f t="shared" si="122"/>
        <v/>
      </c>
      <c r="AG468" s="6">
        <v>7105.48</v>
      </c>
      <c r="AH468" s="6">
        <v>4356.63</v>
      </c>
      <c r="AI468" s="6">
        <f t="shared" si="123"/>
        <v>4356.6320000000014</v>
      </c>
      <c r="AJ468" s="11">
        <f t="shared" si="124"/>
        <v>0.38008981241851425</v>
      </c>
      <c r="AK468" s="11" t="str">
        <f t="shared" si="125"/>
        <v>January</v>
      </c>
      <c r="AL468" s="12">
        <f t="shared" si="126"/>
        <v>2024</v>
      </c>
      <c r="AM468" s="6" t="s">
        <v>54</v>
      </c>
      <c r="AN468" s="6" t="s">
        <v>55</v>
      </c>
      <c r="AO468" s="6" t="str">
        <f t="shared" si="118"/>
        <v>Completed</v>
      </c>
    </row>
    <row r="469" spans="1:41">
      <c r="A469" s="6" t="s">
        <v>2308</v>
      </c>
      <c r="B469" s="7" t="s">
        <v>2309</v>
      </c>
      <c r="C469" s="8">
        <v>45524</v>
      </c>
      <c r="D469" s="7" t="s">
        <v>1646</v>
      </c>
      <c r="E469" s="9">
        <v>45525</v>
      </c>
      <c r="F469" s="9" t="str">
        <f t="shared" si="111"/>
        <v>Valid</v>
      </c>
      <c r="G469" s="10">
        <f t="shared" si="112"/>
        <v>1</v>
      </c>
      <c r="H469" s="10" t="str">
        <f t="shared" si="113"/>
        <v>Valid</v>
      </c>
      <c r="I469" s="6" t="s">
        <v>2310</v>
      </c>
      <c r="J469" s="6" t="s">
        <v>127</v>
      </c>
      <c r="K469" s="6" t="s">
        <v>127</v>
      </c>
      <c r="L469" s="6" t="s">
        <v>128</v>
      </c>
      <c r="M469" s="7" t="str">
        <f t="shared" si="114"/>
        <v>Corporate</v>
      </c>
      <c r="N469" s="6" t="s">
        <v>62</v>
      </c>
      <c r="O469" s="7" t="str">
        <f t="shared" si="115"/>
        <v>East</v>
      </c>
      <c r="P469" s="6" t="s">
        <v>63</v>
      </c>
      <c r="Q469" s="6" t="s">
        <v>64</v>
      </c>
      <c r="R469" s="6" t="s">
        <v>106</v>
      </c>
      <c r="S469" s="7" t="str">
        <f t="shared" si="116"/>
        <v>Technology</v>
      </c>
      <c r="T469" s="6" t="s">
        <v>114</v>
      </c>
      <c r="U469" s="6" t="s">
        <v>2311</v>
      </c>
      <c r="V469" s="6" t="s">
        <v>76</v>
      </c>
      <c r="W469" s="7" t="str">
        <f t="shared" si="117"/>
        <v>First Class</v>
      </c>
      <c r="X469" s="6">
        <v>5</v>
      </c>
      <c r="Y469" s="6">
        <v>4288.33</v>
      </c>
      <c r="Z469" s="6">
        <v>0.1</v>
      </c>
      <c r="AA469" s="6">
        <f t="shared" si="119"/>
        <v>0.1</v>
      </c>
      <c r="AB469" s="6" t="str">
        <f t="shared" si="120"/>
        <v>Valid</v>
      </c>
      <c r="AC469" s="6">
        <v>19297.490000000002</v>
      </c>
      <c r="AD469" s="6" t="str">
        <f>IF(OR(AO469="Cancelled",AM469="Failed"),"Exclude from Completed Sales","Include in Completed Sales")</f>
        <v>Exclude from Completed Sales</v>
      </c>
      <c r="AE469" s="6">
        <f t="shared" si="121"/>
        <v>19297.485000000001</v>
      </c>
      <c r="AF469" s="6" t="str">
        <f t="shared" si="122"/>
        <v>Refunded</v>
      </c>
      <c r="AG469" s="6">
        <v>15451.66</v>
      </c>
      <c r="AH469" s="6">
        <v>3845.83</v>
      </c>
      <c r="AI469" s="6">
        <f t="shared" si="123"/>
        <v>3845.8250000000007</v>
      </c>
      <c r="AJ469" s="11">
        <f t="shared" si="124"/>
        <v>0.1992915138941681</v>
      </c>
      <c r="AK469" s="11" t="str">
        <f t="shared" si="125"/>
        <v>August</v>
      </c>
      <c r="AL469" s="12">
        <f t="shared" si="126"/>
        <v>2024</v>
      </c>
      <c r="AM469" s="6" t="s">
        <v>144</v>
      </c>
      <c r="AN469" s="6" t="s">
        <v>98</v>
      </c>
      <c r="AO469" s="6" t="str">
        <f t="shared" si="118"/>
        <v>Cancelled</v>
      </c>
    </row>
    <row r="470" spans="1:41">
      <c r="A470" s="6" t="s">
        <v>2312</v>
      </c>
      <c r="B470" s="7" t="s">
        <v>2313</v>
      </c>
      <c r="C470" s="8">
        <v>45666</v>
      </c>
      <c r="D470" s="7" t="s">
        <v>2314</v>
      </c>
      <c r="E470" s="9">
        <v>45664</v>
      </c>
      <c r="F470" s="9" t="str">
        <f t="shared" si="111"/>
        <v>Invalid Shipping Record</v>
      </c>
      <c r="G470" s="10">
        <f t="shared" si="112"/>
        <v>-2</v>
      </c>
      <c r="H470" s="10" t="str">
        <f t="shared" si="113"/>
        <v>Invalid Shipping Record</v>
      </c>
      <c r="I470" s="6" t="s">
        <v>2315</v>
      </c>
      <c r="J470" s="6" t="s">
        <v>182</v>
      </c>
      <c r="K470" s="6" t="s">
        <v>182</v>
      </c>
      <c r="L470" s="6" t="s">
        <v>135</v>
      </c>
      <c r="M470" s="7" t="str">
        <f t="shared" si="114"/>
        <v>Home Office</v>
      </c>
      <c r="N470" s="6" t="s">
        <v>62</v>
      </c>
      <c r="O470" s="7" t="str">
        <f t="shared" si="115"/>
        <v>East</v>
      </c>
      <c r="P470" s="6" t="s">
        <v>141</v>
      </c>
      <c r="Q470" s="6" t="s">
        <v>142</v>
      </c>
      <c r="R470" s="6" t="s">
        <v>50</v>
      </c>
      <c r="S470" s="7" t="str">
        <f t="shared" si="116"/>
        <v>Office Supplies</v>
      </c>
      <c r="T470" s="6" t="s">
        <v>218</v>
      </c>
      <c r="U470" s="6" t="s">
        <v>2316</v>
      </c>
      <c r="V470" s="6" t="s">
        <v>53</v>
      </c>
      <c r="W470" s="7" t="str">
        <f t="shared" si="117"/>
        <v>Second Class</v>
      </c>
      <c r="X470" s="6">
        <v>3</v>
      </c>
      <c r="Y470" s="6">
        <v>2188.33</v>
      </c>
      <c r="Z470" s="6">
        <v>0</v>
      </c>
      <c r="AA470" s="6">
        <f t="shared" si="119"/>
        <v>0</v>
      </c>
      <c r="AB470" s="6" t="str">
        <f t="shared" si="120"/>
        <v>Valid</v>
      </c>
      <c r="AC470" s="6">
        <v>6564.99</v>
      </c>
      <c r="AD470" s="6" t="str">
        <f>IF(OR(AO470="Cancelled",AM470="Failed"),"Exclude from Completed Sales","Include in Completed Sales")</f>
        <v>Include in Completed Sales</v>
      </c>
      <c r="AE470" s="6">
        <f t="shared" si="121"/>
        <v>6564.99</v>
      </c>
      <c r="AF470" s="6" t="str">
        <f t="shared" si="122"/>
        <v/>
      </c>
      <c r="AG470" s="6">
        <v>5407.24</v>
      </c>
      <c r="AH470" s="6">
        <v>1157.75</v>
      </c>
      <c r="AI470" s="6">
        <f t="shared" si="123"/>
        <v>1157.75</v>
      </c>
      <c r="AJ470" s="11">
        <f t="shared" si="124"/>
        <v>0.17635213458055535</v>
      </c>
      <c r="AK470" s="11" t="str">
        <f t="shared" si="125"/>
        <v>January</v>
      </c>
      <c r="AL470" s="12">
        <f t="shared" si="126"/>
        <v>2025</v>
      </c>
      <c r="AM470" s="6" t="s">
        <v>54</v>
      </c>
      <c r="AN470" s="6" t="s">
        <v>55</v>
      </c>
      <c r="AO470" s="6" t="str">
        <f t="shared" si="118"/>
        <v>Completed</v>
      </c>
    </row>
    <row r="471" spans="1:41">
      <c r="A471" s="6" t="s">
        <v>2317</v>
      </c>
      <c r="B471" s="7" t="s">
        <v>2318</v>
      </c>
      <c r="C471" s="8">
        <v>45310</v>
      </c>
      <c r="D471" s="7" t="s">
        <v>2071</v>
      </c>
      <c r="E471" s="9">
        <v>45316</v>
      </c>
      <c r="F471" s="9" t="str">
        <f t="shared" si="111"/>
        <v>Valid</v>
      </c>
      <c r="G471" s="10">
        <f t="shared" si="112"/>
        <v>6</v>
      </c>
      <c r="H471" s="10" t="str">
        <f t="shared" si="113"/>
        <v>Valid</v>
      </c>
      <c r="I471" s="6" t="s">
        <v>2319</v>
      </c>
      <c r="J471" s="6" t="s">
        <v>127</v>
      </c>
      <c r="K471" s="6" t="s">
        <v>127</v>
      </c>
      <c r="L471" s="6" t="s">
        <v>128</v>
      </c>
      <c r="M471" s="7" t="str">
        <f t="shared" si="114"/>
        <v>Corporate</v>
      </c>
      <c r="N471" s="6" t="s">
        <v>93</v>
      </c>
      <c r="O471" s="7" t="str">
        <f t="shared" si="115"/>
        <v>West</v>
      </c>
      <c r="P471" s="6" t="s">
        <v>269</v>
      </c>
      <c r="Q471" s="6" t="s">
        <v>270</v>
      </c>
      <c r="R471" s="6" t="s">
        <v>106</v>
      </c>
      <c r="S471" s="7" t="str">
        <f t="shared" si="116"/>
        <v>Technology</v>
      </c>
      <c r="T471" s="6" t="s">
        <v>114</v>
      </c>
      <c r="U471" s="6" t="s">
        <v>2320</v>
      </c>
      <c r="V471" s="6" t="s">
        <v>76</v>
      </c>
      <c r="W471" s="7" t="str">
        <f t="shared" si="117"/>
        <v>First Class</v>
      </c>
      <c r="X471" s="6">
        <v>3</v>
      </c>
      <c r="Y471" s="6">
        <v>1041.6600000000001</v>
      </c>
      <c r="Z471" s="6">
        <v>0.1</v>
      </c>
      <c r="AA471" s="6">
        <f t="shared" si="119"/>
        <v>0.1</v>
      </c>
      <c r="AB471" s="6" t="str">
        <f t="shared" si="120"/>
        <v>Valid</v>
      </c>
      <c r="AC471" s="6">
        <v>2812.48</v>
      </c>
      <c r="AD471" s="6" t="str">
        <f>IF(OR(AO471="Cancelled",AM471="Failed"),"Exclude from Completed Sales","Include in Completed Sales")</f>
        <v>Include in Completed Sales</v>
      </c>
      <c r="AE471" s="6">
        <f t="shared" si="121"/>
        <v>2812.4820000000004</v>
      </c>
      <c r="AF471" s="6" t="str">
        <f t="shared" si="122"/>
        <v/>
      </c>
      <c r="AG471" s="6">
        <v>2282.12</v>
      </c>
      <c r="AH471" s="6">
        <v>530.36</v>
      </c>
      <c r="AI471" s="6">
        <f t="shared" si="123"/>
        <v>530.36200000000053</v>
      </c>
      <c r="AJ471" s="11">
        <f t="shared" si="124"/>
        <v>0.18857436243147527</v>
      </c>
      <c r="AK471" s="11" t="str">
        <f t="shared" si="125"/>
        <v>January</v>
      </c>
      <c r="AL471" s="12">
        <f t="shared" si="126"/>
        <v>2024</v>
      </c>
      <c r="AM471" s="6" t="s">
        <v>54</v>
      </c>
      <c r="AN471" s="6" t="s">
        <v>55</v>
      </c>
      <c r="AO471" s="6" t="str">
        <f t="shared" si="118"/>
        <v>Completed</v>
      </c>
    </row>
    <row r="472" spans="1:41">
      <c r="A472" s="6" t="s">
        <v>2321</v>
      </c>
      <c r="B472" s="7" t="s">
        <v>2322</v>
      </c>
      <c r="C472" s="8">
        <v>45501</v>
      </c>
      <c r="D472" s="7" t="s">
        <v>1614</v>
      </c>
      <c r="E472" s="9">
        <v>45504</v>
      </c>
      <c r="F472" s="9" t="str">
        <f t="shared" si="111"/>
        <v>Valid</v>
      </c>
      <c r="G472" s="10">
        <f t="shared" si="112"/>
        <v>3</v>
      </c>
      <c r="H472" s="10" t="str">
        <f t="shared" si="113"/>
        <v>Valid</v>
      </c>
      <c r="I472" s="6" t="s">
        <v>2323</v>
      </c>
      <c r="J472" s="6" t="s">
        <v>127</v>
      </c>
      <c r="K472" s="6" t="s">
        <v>127</v>
      </c>
      <c r="L472" s="6" t="s">
        <v>46</v>
      </c>
      <c r="M472" s="7" t="str">
        <f t="shared" si="114"/>
        <v>Consumer</v>
      </c>
      <c r="N472" s="6" t="s">
        <v>47</v>
      </c>
      <c r="O472" s="7" t="str">
        <f t="shared" si="115"/>
        <v>North</v>
      </c>
      <c r="P472" s="6" t="s">
        <v>48</v>
      </c>
      <c r="Q472" s="6" t="s">
        <v>49</v>
      </c>
      <c r="R472" s="6" t="s">
        <v>65</v>
      </c>
      <c r="S472" s="7" t="str">
        <f t="shared" si="116"/>
        <v>Furniture</v>
      </c>
      <c r="T472" s="6" t="s">
        <v>66</v>
      </c>
      <c r="U472" s="6" t="s">
        <v>2324</v>
      </c>
      <c r="V472" s="6" t="s">
        <v>68</v>
      </c>
      <c r="W472" s="7" t="str">
        <f t="shared" si="117"/>
        <v>Same Day</v>
      </c>
      <c r="X472" s="6">
        <v>2</v>
      </c>
      <c r="Y472" s="6">
        <v>4424.78</v>
      </c>
      <c r="Z472" s="6">
        <v>0.2</v>
      </c>
      <c r="AA472" s="6">
        <f t="shared" si="119"/>
        <v>0.2</v>
      </c>
      <c r="AB472" s="6" t="str">
        <f t="shared" si="120"/>
        <v>Valid</v>
      </c>
      <c r="AC472" s="6">
        <v>7079.65</v>
      </c>
      <c r="AD472" s="6" t="str">
        <f>IF(OR(AO472="Cancelled",AM472="Failed"),"Exclude from Completed Sales","Include in Completed Sales")</f>
        <v>Include in Completed Sales</v>
      </c>
      <c r="AE472" s="6">
        <f t="shared" si="121"/>
        <v>7079.6480000000001</v>
      </c>
      <c r="AF472" s="6" t="str">
        <f t="shared" si="122"/>
        <v/>
      </c>
      <c r="AG472" s="6">
        <v>4465.91</v>
      </c>
      <c r="AH472" s="6">
        <v>2613.7399999999998</v>
      </c>
      <c r="AI472" s="6">
        <f t="shared" si="123"/>
        <v>2613.7380000000003</v>
      </c>
      <c r="AJ472" s="11">
        <f t="shared" si="124"/>
        <v>0.36919038912669105</v>
      </c>
      <c r="AK472" s="11" t="str">
        <f t="shared" si="125"/>
        <v>July</v>
      </c>
      <c r="AL472" s="12">
        <f t="shared" si="126"/>
        <v>2024</v>
      </c>
      <c r="AM472" s="6" t="s">
        <v>54</v>
      </c>
      <c r="AN472" s="6" t="s">
        <v>55</v>
      </c>
      <c r="AO472" s="6" t="str">
        <f t="shared" si="118"/>
        <v>Completed</v>
      </c>
    </row>
    <row r="473" spans="1:41">
      <c r="A473" s="6" t="s">
        <v>2325</v>
      </c>
      <c r="B473" s="7" t="s">
        <v>2326</v>
      </c>
      <c r="C473" s="8">
        <v>45333</v>
      </c>
      <c r="D473" s="7" t="s">
        <v>2327</v>
      </c>
      <c r="E473" s="9">
        <v>45337</v>
      </c>
      <c r="F473" s="9" t="str">
        <f t="shared" si="111"/>
        <v>Valid</v>
      </c>
      <c r="G473" s="10">
        <f t="shared" si="112"/>
        <v>4</v>
      </c>
      <c r="H473" s="10" t="str">
        <f t="shared" si="113"/>
        <v>Valid</v>
      </c>
      <c r="I473" s="6" t="s">
        <v>2328</v>
      </c>
      <c r="J473" s="6" t="s">
        <v>386</v>
      </c>
      <c r="K473" s="6" t="s">
        <v>386</v>
      </c>
      <c r="L473" s="6" t="s">
        <v>46</v>
      </c>
      <c r="M473" s="7" t="str">
        <f t="shared" si="114"/>
        <v>Consumer</v>
      </c>
      <c r="N473" s="6" t="s">
        <v>82</v>
      </c>
      <c r="O473" s="7" t="str">
        <f t="shared" si="115"/>
        <v>South</v>
      </c>
      <c r="P473" s="6" t="s">
        <v>83</v>
      </c>
      <c r="Q473" s="6" t="s">
        <v>84</v>
      </c>
      <c r="R473" s="6" t="s">
        <v>50</v>
      </c>
      <c r="S473" s="7" t="str">
        <f t="shared" si="116"/>
        <v>Office Supplies</v>
      </c>
      <c r="T473" s="6" t="s">
        <v>218</v>
      </c>
      <c r="U473" s="6" t="s">
        <v>2329</v>
      </c>
      <c r="V473" s="6" t="s">
        <v>87</v>
      </c>
      <c r="W473" s="7" t="str">
        <f t="shared" si="117"/>
        <v>Standard Class</v>
      </c>
      <c r="X473" s="6">
        <v>3</v>
      </c>
      <c r="Y473" s="6">
        <v>3019.14</v>
      </c>
      <c r="Z473" s="6">
        <v>0.25</v>
      </c>
      <c r="AA473" s="6">
        <f t="shared" si="119"/>
        <v>0.25</v>
      </c>
      <c r="AB473" s="6" t="str">
        <f t="shared" si="120"/>
        <v>Valid</v>
      </c>
      <c r="AC473" s="6">
        <v>6793.07</v>
      </c>
      <c r="AD473" s="6" t="str">
        <f>IF(OR(AO473="Cancelled",AM473="Failed"),"Exclude from Completed Sales","Include in Completed Sales")</f>
        <v>Include in Completed Sales</v>
      </c>
      <c r="AE473" s="6">
        <f t="shared" si="121"/>
        <v>6793.0650000000005</v>
      </c>
      <c r="AF473" s="6" t="str">
        <f t="shared" si="122"/>
        <v/>
      </c>
      <c r="AG473" s="6">
        <v>4985.22</v>
      </c>
      <c r="AH473" s="6">
        <v>1807.85</v>
      </c>
      <c r="AI473" s="6">
        <f t="shared" si="123"/>
        <v>1807.8450000000003</v>
      </c>
      <c r="AJ473" s="11">
        <f t="shared" si="124"/>
        <v>0.26613097327936652</v>
      </c>
      <c r="AK473" s="11" t="str">
        <f t="shared" si="125"/>
        <v>February</v>
      </c>
      <c r="AL473" s="12">
        <f t="shared" si="126"/>
        <v>2024</v>
      </c>
      <c r="AM473" s="6" t="s">
        <v>54</v>
      </c>
      <c r="AN473" s="6" t="s">
        <v>55</v>
      </c>
      <c r="AO473" s="6" t="str">
        <f t="shared" si="118"/>
        <v>Completed</v>
      </c>
    </row>
    <row r="474" spans="1:41">
      <c r="A474" s="6" t="s">
        <v>2330</v>
      </c>
      <c r="B474" s="7" t="s">
        <v>2331</v>
      </c>
      <c r="C474" s="8">
        <v>45353</v>
      </c>
      <c r="D474" s="7" t="s">
        <v>1526</v>
      </c>
      <c r="E474" s="9">
        <v>45358</v>
      </c>
      <c r="F474" s="9" t="str">
        <f t="shared" si="111"/>
        <v>Valid</v>
      </c>
      <c r="G474" s="10">
        <f t="shared" si="112"/>
        <v>5</v>
      </c>
      <c r="H474" s="10" t="str">
        <f t="shared" si="113"/>
        <v>Valid</v>
      </c>
      <c r="I474" s="6" t="s">
        <v>2332</v>
      </c>
      <c r="J474" s="6" t="s">
        <v>200</v>
      </c>
      <c r="K474" s="6" t="s">
        <v>200</v>
      </c>
      <c r="L474" s="6" t="s">
        <v>128</v>
      </c>
      <c r="M474" s="7" t="str">
        <f t="shared" si="114"/>
        <v>Corporate</v>
      </c>
      <c r="N474" s="6" t="s">
        <v>62</v>
      </c>
      <c r="O474" s="7" t="str">
        <f t="shared" si="115"/>
        <v>East</v>
      </c>
      <c r="P474" s="6" t="s">
        <v>63</v>
      </c>
      <c r="Q474" s="6" t="s">
        <v>64</v>
      </c>
      <c r="R474" s="6" t="s">
        <v>50</v>
      </c>
      <c r="S474" s="7" t="str">
        <f t="shared" si="116"/>
        <v>Office Supplies</v>
      </c>
      <c r="T474" s="6" t="s">
        <v>176</v>
      </c>
      <c r="U474" s="6" t="s">
        <v>2333</v>
      </c>
      <c r="V474" s="6" t="s">
        <v>87</v>
      </c>
      <c r="W474" s="7" t="str">
        <f t="shared" si="117"/>
        <v>Standard Class</v>
      </c>
      <c r="X474" s="6">
        <v>7</v>
      </c>
      <c r="Y474" s="6">
        <v>263.45999999999998</v>
      </c>
      <c r="Z474" s="6">
        <v>0</v>
      </c>
      <c r="AA474" s="6">
        <f t="shared" si="119"/>
        <v>0</v>
      </c>
      <c r="AB474" s="6" t="str">
        <f t="shared" si="120"/>
        <v>Valid</v>
      </c>
      <c r="AC474" s="6">
        <v>1844.22</v>
      </c>
      <c r="AD474" s="6" t="str">
        <f>IF(OR(AO474="Cancelled",AM474="Failed"),"Exclude from Completed Sales","Include in Completed Sales")</f>
        <v>Include in Completed Sales</v>
      </c>
      <c r="AE474" s="6">
        <f t="shared" si="121"/>
        <v>1844.2199999999998</v>
      </c>
      <c r="AF474" s="6" t="str">
        <f t="shared" si="122"/>
        <v/>
      </c>
      <c r="AG474" s="6">
        <v>1094.21</v>
      </c>
      <c r="AH474" s="6">
        <v>750.01</v>
      </c>
      <c r="AI474" s="6">
        <f t="shared" si="123"/>
        <v>750.00999999999976</v>
      </c>
      <c r="AJ474" s="11">
        <f t="shared" si="124"/>
        <v>0.40668141544934977</v>
      </c>
      <c r="AK474" s="11" t="str">
        <f t="shared" si="125"/>
        <v>March</v>
      </c>
      <c r="AL474" s="12">
        <f t="shared" si="126"/>
        <v>2024</v>
      </c>
      <c r="AM474" s="6" t="s">
        <v>54</v>
      </c>
      <c r="AN474" s="6" t="s">
        <v>55</v>
      </c>
      <c r="AO474" s="6" t="str">
        <f t="shared" si="118"/>
        <v>Completed</v>
      </c>
    </row>
    <row r="475" spans="1:41">
      <c r="A475" s="6" t="s">
        <v>2334</v>
      </c>
      <c r="B475" s="7" t="s">
        <v>2335</v>
      </c>
      <c r="C475" s="8">
        <v>45609</v>
      </c>
      <c r="D475" s="7" t="s">
        <v>465</v>
      </c>
      <c r="E475" s="9">
        <v>45609</v>
      </c>
      <c r="F475" s="9" t="str">
        <f t="shared" si="111"/>
        <v>Valid</v>
      </c>
      <c r="G475" s="10">
        <f t="shared" si="112"/>
        <v>0</v>
      </c>
      <c r="H475" s="10" t="str">
        <f t="shared" si="113"/>
        <v>Valid</v>
      </c>
      <c r="I475" s="6" t="s">
        <v>2336</v>
      </c>
      <c r="J475" s="6" t="s">
        <v>162</v>
      </c>
      <c r="K475" s="6" t="s">
        <v>162</v>
      </c>
      <c r="L475" s="6" t="s">
        <v>46</v>
      </c>
      <c r="M475" s="7" t="str">
        <f t="shared" si="114"/>
        <v>Consumer</v>
      </c>
      <c r="N475" s="6" t="s">
        <v>93</v>
      </c>
      <c r="O475" s="7" t="str">
        <f t="shared" si="115"/>
        <v>West</v>
      </c>
      <c r="P475" s="6" t="s">
        <v>269</v>
      </c>
      <c r="Q475" s="6" t="s">
        <v>270</v>
      </c>
      <c r="R475" s="6" t="s">
        <v>106</v>
      </c>
      <c r="S475" s="7" t="str">
        <f t="shared" si="116"/>
        <v>Technology</v>
      </c>
      <c r="T475" s="6" t="s">
        <v>114</v>
      </c>
      <c r="U475" s="6" t="s">
        <v>2337</v>
      </c>
      <c r="V475" s="6" t="s">
        <v>87</v>
      </c>
      <c r="W475" s="7" t="str">
        <f t="shared" si="117"/>
        <v>Standard Class</v>
      </c>
      <c r="X475" s="6">
        <v>6</v>
      </c>
      <c r="Y475" s="6">
        <v>191.45</v>
      </c>
      <c r="Z475" s="6">
        <v>0.2</v>
      </c>
      <c r="AA475" s="6">
        <f t="shared" si="119"/>
        <v>0.2</v>
      </c>
      <c r="AB475" s="6" t="str">
        <f t="shared" si="120"/>
        <v>Valid</v>
      </c>
      <c r="AC475" s="6">
        <v>918.96</v>
      </c>
      <c r="AD475" s="6" t="str">
        <f>IF(OR(AO475="Cancelled",AM475="Failed"),"Exclude from Completed Sales","Include in Completed Sales")</f>
        <v>Include in Completed Sales</v>
      </c>
      <c r="AE475" s="6">
        <f t="shared" si="121"/>
        <v>918.95999999999992</v>
      </c>
      <c r="AF475" s="6" t="str">
        <f t="shared" si="122"/>
        <v/>
      </c>
      <c r="AG475" s="6">
        <v>554.17999999999995</v>
      </c>
      <c r="AH475" s="6">
        <v>364.78</v>
      </c>
      <c r="AI475" s="6">
        <f t="shared" si="123"/>
        <v>364.78</v>
      </c>
      <c r="AJ475" s="11">
        <f t="shared" si="124"/>
        <v>0.39694872464525116</v>
      </c>
      <c r="AK475" s="11" t="str">
        <f t="shared" si="125"/>
        <v>November</v>
      </c>
      <c r="AL475" s="12">
        <f t="shared" si="126"/>
        <v>2024</v>
      </c>
      <c r="AM475" s="6" t="s">
        <v>54</v>
      </c>
      <c r="AN475" s="6" t="s">
        <v>55</v>
      </c>
      <c r="AO475" s="6" t="str">
        <f t="shared" si="118"/>
        <v>Completed</v>
      </c>
    </row>
    <row r="476" spans="1:41">
      <c r="A476" s="6" t="s">
        <v>2338</v>
      </c>
      <c r="B476" s="7" t="s">
        <v>1240</v>
      </c>
      <c r="C476" s="8">
        <v>45446</v>
      </c>
      <c r="D476" s="7" t="s">
        <v>2339</v>
      </c>
      <c r="E476" s="9">
        <v>45453</v>
      </c>
      <c r="F476" s="9" t="str">
        <f t="shared" si="111"/>
        <v>Valid</v>
      </c>
      <c r="G476" s="10">
        <f t="shared" si="112"/>
        <v>7</v>
      </c>
      <c r="H476" s="10" t="str">
        <f t="shared" si="113"/>
        <v>Valid</v>
      </c>
      <c r="I476" s="6" t="s">
        <v>2340</v>
      </c>
      <c r="J476" s="6" t="s">
        <v>230</v>
      </c>
      <c r="K476" s="6" t="s">
        <v>230</v>
      </c>
      <c r="L476" s="6" t="s">
        <v>128</v>
      </c>
      <c r="M476" s="7" t="str">
        <f t="shared" si="114"/>
        <v>Corporate</v>
      </c>
      <c r="N476" s="6" t="s">
        <v>47</v>
      </c>
      <c r="O476" s="7" t="str">
        <f t="shared" si="115"/>
        <v>North</v>
      </c>
      <c r="P476" s="6" t="s">
        <v>174</v>
      </c>
      <c r="Q476" s="6" t="s">
        <v>175</v>
      </c>
      <c r="R476" s="6" t="s">
        <v>65</v>
      </c>
      <c r="S476" s="7" t="str">
        <f t="shared" si="116"/>
        <v>Furniture</v>
      </c>
      <c r="T476" s="6" t="s">
        <v>85</v>
      </c>
      <c r="U476" s="6" t="s">
        <v>2341</v>
      </c>
      <c r="V476" s="6" t="s">
        <v>87</v>
      </c>
      <c r="W476" s="7" t="str">
        <f t="shared" si="117"/>
        <v>Standard Class</v>
      </c>
      <c r="X476" s="6">
        <v>3</v>
      </c>
      <c r="Y476" s="6">
        <v>1633.57</v>
      </c>
      <c r="Z476" s="6">
        <v>0</v>
      </c>
      <c r="AA476" s="6">
        <f t="shared" si="119"/>
        <v>0</v>
      </c>
      <c r="AB476" s="6" t="str">
        <f t="shared" si="120"/>
        <v>Valid</v>
      </c>
      <c r="AC476" s="6">
        <v>4900.71</v>
      </c>
      <c r="AD476" s="6" t="str">
        <f>IF(OR(AO476="Cancelled",AM476="Failed"),"Exclude from Completed Sales","Include in Completed Sales")</f>
        <v>Include in Completed Sales</v>
      </c>
      <c r="AE476" s="6">
        <f t="shared" si="121"/>
        <v>4900.71</v>
      </c>
      <c r="AF476" s="6" t="str">
        <f t="shared" si="122"/>
        <v/>
      </c>
      <c r="AG476" s="6">
        <v>2713.9</v>
      </c>
      <c r="AH476" s="6">
        <v>2186.81</v>
      </c>
      <c r="AI476" s="6">
        <f t="shared" si="123"/>
        <v>2186.81</v>
      </c>
      <c r="AJ476" s="11">
        <f t="shared" si="124"/>
        <v>0.44622309828575857</v>
      </c>
      <c r="AK476" s="11" t="str">
        <f t="shared" si="125"/>
        <v>June</v>
      </c>
      <c r="AL476" s="12">
        <f t="shared" si="126"/>
        <v>2024</v>
      </c>
      <c r="AM476" s="6" t="s">
        <v>54</v>
      </c>
      <c r="AN476" s="6" t="s">
        <v>55</v>
      </c>
      <c r="AO476" s="6" t="str">
        <f t="shared" si="118"/>
        <v>Completed</v>
      </c>
    </row>
    <row r="477" spans="1:41">
      <c r="A477" s="6" t="s">
        <v>2342</v>
      </c>
      <c r="B477" s="7" t="s">
        <v>2343</v>
      </c>
      <c r="C477" s="8">
        <v>45717</v>
      </c>
      <c r="D477" s="7" t="s">
        <v>2344</v>
      </c>
      <c r="E477" s="9">
        <v>45724</v>
      </c>
      <c r="F477" s="9" t="str">
        <f t="shared" si="111"/>
        <v>Valid</v>
      </c>
      <c r="G477" s="10">
        <f t="shared" si="112"/>
        <v>7</v>
      </c>
      <c r="H477" s="10" t="str">
        <f t="shared" si="113"/>
        <v>Valid</v>
      </c>
      <c r="I477" s="6" t="s">
        <v>2345</v>
      </c>
      <c r="J477" s="6" t="s">
        <v>103</v>
      </c>
      <c r="K477" s="6" t="s">
        <v>103</v>
      </c>
      <c r="L477" s="6" t="s">
        <v>46</v>
      </c>
      <c r="M477" s="7" t="str">
        <f t="shared" si="114"/>
        <v>Consumer</v>
      </c>
      <c r="N477" s="6" t="s">
        <v>62</v>
      </c>
      <c r="O477" s="7" t="str">
        <f t="shared" si="115"/>
        <v>East</v>
      </c>
      <c r="P477" s="6" t="s">
        <v>141</v>
      </c>
      <c r="Q477" s="6" t="s">
        <v>142</v>
      </c>
      <c r="R477" s="6" t="s">
        <v>65</v>
      </c>
      <c r="S477" s="7" t="str">
        <f t="shared" si="116"/>
        <v>Furniture</v>
      </c>
      <c r="T477" s="6" t="s">
        <v>96</v>
      </c>
      <c r="U477" s="6" t="s">
        <v>2346</v>
      </c>
      <c r="V477" s="6" t="s">
        <v>68</v>
      </c>
      <c r="W477" s="7" t="str">
        <f t="shared" si="117"/>
        <v>Same Day</v>
      </c>
      <c r="X477" s="6">
        <v>8</v>
      </c>
      <c r="Y477" s="6">
        <v>3378.82</v>
      </c>
      <c r="Z477" s="6">
        <v>0.25</v>
      </c>
      <c r="AA477" s="6">
        <f t="shared" si="119"/>
        <v>0.25</v>
      </c>
      <c r="AB477" s="6" t="str">
        <f t="shared" si="120"/>
        <v>Valid</v>
      </c>
      <c r="AC477" s="6">
        <v>20272.919999999998</v>
      </c>
      <c r="AD477" s="6" t="str">
        <f>IF(OR(AO477="Cancelled",AM477="Failed"),"Exclude from Completed Sales","Include in Completed Sales")</f>
        <v>Include in Completed Sales</v>
      </c>
      <c r="AE477" s="6">
        <f t="shared" si="121"/>
        <v>20272.920000000002</v>
      </c>
      <c r="AF477" s="6" t="str">
        <f t="shared" si="122"/>
        <v/>
      </c>
      <c r="AG477" s="6">
        <v>15873.38</v>
      </c>
      <c r="AH477" s="6">
        <v>4399.54</v>
      </c>
      <c r="AI477" s="6">
        <f t="shared" si="123"/>
        <v>4399.5400000000027</v>
      </c>
      <c r="AJ477" s="11">
        <f t="shared" si="124"/>
        <v>0.21701560505344086</v>
      </c>
      <c r="AK477" s="11" t="str">
        <f t="shared" si="125"/>
        <v>March</v>
      </c>
      <c r="AL477" s="12">
        <f t="shared" si="126"/>
        <v>2025</v>
      </c>
      <c r="AM477" s="6" t="s">
        <v>157</v>
      </c>
      <c r="AN477" s="6" t="s">
        <v>145</v>
      </c>
      <c r="AO477" s="6" t="str">
        <f t="shared" si="118"/>
        <v>Returned</v>
      </c>
    </row>
    <row r="478" spans="1:41">
      <c r="A478" s="6" t="s">
        <v>2347</v>
      </c>
      <c r="B478" s="7" t="s">
        <v>2348</v>
      </c>
      <c r="C478" s="8">
        <v>45419</v>
      </c>
      <c r="D478" s="7" t="s">
        <v>2349</v>
      </c>
      <c r="E478" s="9">
        <v>45426</v>
      </c>
      <c r="F478" s="9" t="str">
        <f t="shared" si="111"/>
        <v>Valid</v>
      </c>
      <c r="G478" s="10">
        <f t="shared" si="112"/>
        <v>7</v>
      </c>
      <c r="H478" s="10" t="str">
        <f t="shared" si="113"/>
        <v>Valid</v>
      </c>
      <c r="I478" s="6" t="s">
        <v>2350</v>
      </c>
      <c r="J478" s="6" t="s">
        <v>188</v>
      </c>
      <c r="K478" s="6" t="s">
        <v>188</v>
      </c>
      <c r="L478" s="6" t="s">
        <v>61</v>
      </c>
      <c r="M478" s="7" t="str">
        <f t="shared" si="114"/>
        <v>Small Business</v>
      </c>
      <c r="N478" s="6" t="s">
        <v>47</v>
      </c>
      <c r="O478" s="7" t="str">
        <f t="shared" si="115"/>
        <v>North</v>
      </c>
      <c r="P478" s="6" t="s">
        <v>48</v>
      </c>
      <c r="Q478" s="6" t="s">
        <v>49</v>
      </c>
      <c r="R478" s="6" t="s">
        <v>50</v>
      </c>
      <c r="S478" s="7" t="str">
        <f t="shared" si="116"/>
        <v>Office Supplies</v>
      </c>
      <c r="T478" s="6" t="s">
        <v>176</v>
      </c>
      <c r="U478" s="6" t="s">
        <v>2351</v>
      </c>
      <c r="V478" s="6" t="s">
        <v>76</v>
      </c>
      <c r="W478" s="7" t="str">
        <f t="shared" si="117"/>
        <v>First Class</v>
      </c>
      <c r="X478" s="6">
        <v>3</v>
      </c>
      <c r="Y478" s="6">
        <v>383.58</v>
      </c>
      <c r="Z478" s="6">
        <v>0.1</v>
      </c>
      <c r="AA478" s="6">
        <f t="shared" si="119"/>
        <v>0.1</v>
      </c>
      <c r="AB478" s="6" t="str">
        <f t="shared" si="120"/>
        <v>Valid</v>
      </c>
      <c r="AC478" s="6">
        <v>1035.67</v>
      </c>
      <c r="AD478" s="6" t="str">
        <f>IF(OR(AO478="Cancelled",AM478="Failed"),"Exclude from Completed Sales","Include in Completed Sales")</f>
        <v>Include in Completed Sales</v>
      </c>
      <c r="AE478" s="6">
        <f t="shared" si="121"/>
        <v>1035.6659999999999</v>
      </c>
      <c r="AF478" s="6" t="str">
        <f t="shared" si="122"/>
        <v/>
      </c>
      <c r="AG478" s="6">
        <v>595.41999999999996</v>
      </c>
      <c r="AH478" s="6">
        <v>440.25</v>
      </c>
      <c r="AI478" s="6">
        <f t="shared" si="123"/>
        <v>440.24599999999998</v>
      </c>
      <c r="AJ478" s="11">
        <f t="shared" si="124"/>
        <v>0.42508492120046426</v>
      </c>
      <c r="AK478" s="11" t="str">
        <f t="shared" si="125"/>
        <v>May</v>
      </c>
      <c r="AL478" s="12">
        <f t="shared" si="126"/>
        <v>2024</v>
      </c>
      <c r="AM478" s="6" t="s">
        <v>54</v>
      </c>
      <c r="AN478" s="6" t="s">
        <v>55</v>
      </c>
      <c r="AO478" s="6" t="str">
        <f t="shared" si="118"/>
        <v>Completed</v>
      </c>
    </row>
    <row r="479" spans="1:41">
      <c r="A479" s="6" t="s">
        <v>2352</v>
      </c>
      <c r="B479" s="7" t="s">
        <v>2353</v>
      </c>
      <c r="C479" s="8">
        <v>45892</v>
      </c>
      <c r="D479" s="7" t="s">
        <v>2354</v>
      </c>
      <c r="E479" s="9">
        <v>45897</v>
      </c>
      <c r="F479" s="9" t="str">
        <f t="shared" si="111"/>
        <v>Valid</v>
      </c>
      <c r="G479" s="10">
        <f t="shared" si="112"/>
        <v>5</v>
      </c>
      <c r="H479" s="10" t="str">
        <f t="shared" si="113"/>
        <v>Valid</v>
      </c>
      <c r="I479" s="6" t="s">
        <v>2355</v>
      </c>
      <c r="J479" s="6" t="s">
        <v>103</v>
      </c>
      <c r="K479" s="6" t="s">
        <v>103</v>
      </c>
      <c r="L479" s="6" t="s">
        <v>128</v>
      </c>
      <c r="M479" s="7" t="str">
        <f t="shared" si="114"/>
        <v>Corporate</v>
      </c>
      <c r="N479" s="6" t="s">
        <v>93</v>
      </c>
      <c r="O479" s="7" t="str">
        <f t="shared" si="115"/>
        <v>West</v>
      </c>
      <c r="P479" s="6" t="s">
        <v>255</v>
      </c>
      <c r="Q479" s="6" t="s">
        <v>256</v>
      </c>
      <c r="R479" s="6" t="s">
        <v>65</v>
      </c>
      <c r="S479" s="7" t="str">
        <f t="shared" si="116"/>
        <v>Furniture</v>
      </c>
      <c r="T479" s="6" t="s">
        <v>96</v>
      </c>
      <c r="U479" s="6" t="s">
        <v>2356</v>
      </c>
      <c r="V479" s="6" t="s">
        <v>87</v>
      </c>
      <c r="W479" s="7" t="str">
        <f t="shared" si="117"/>
        <v>Standard Class</v>
      </c>
      <c r="X479" s="6">
        <v>6</v>
      </c>
      <c r="Y479" s="6">
        <v>2193.23</v>
      </c>
      <c r="Z479" s="6">
        <v>0.1</v>
      </c>
      <c r="AA479" s="6">
        <f t="shared" si="119"/>
        <v>0.1</v>
      </c>
      <c r="AB479" s="6" t="str">
        <f t="shared" si="120"/>
        <v>Valid</v>
      </c>
      <c r="AC479" s="6">
        <v>11843.44</v>
      </c>
      <c r="AD479" s="6" t="str">
        <f>IF(OR(AO479="Cancelled",AM479="Failed"),"Exclude from Completed Sales","Include in Completed Sales")</f>
        <v>Exclude from Completed Sales</v>
      </c>
      <c r="AE479" s="6">
        <f t="shared" si="121"/>
        <v>11843.442000000001</v>
      </c>
      <c r="AF479" s="6" t="str">
        <f t="shared" si="122"/>
        <v/>
      </c>
      <c r="AG479" s="6">
        <v>9356.8799999999992</v>
      </c>
      <c r="AH479" s="6">
        <v>2486.56</v>
      </c>
      <c r="AI479" s="6">
        <f t="shared" si="123"/>
        <v>2486.5620000000017</v>
      </c>
      <c r="AJ479" s="11">
        <f t="shared" si="124"/>
        <v>0.20995264721184953</v>
      </c>
      <c r="AK479" s="11" t="str">
        <f t="shared" si="125"/>
        <v>August</v>
      </c>
      <c r="AL479" s="12">
        <f t="shared" si="126"/>
        <v>2025</v>
      </c>
      <c r="AM479" s="6" t="s">
        <v>54</v>
      </c>
      <c r="AN479" s="6" t="s">
        <v>98</v>
      </c>
      <c r="AO479" s="6" t="str">
        <f t="shared" si="118"/>
        <v>Cancelled</v>
      </c>
    </row>
    <row r="480" spans="1:41">
      <c r="A480" s="6" t="s">
        <v>2357</v>
      </c>
      <c r="B480" s="7" t="s">
        <v>2358</v>
      </c>
      <c r="C480" s="8">
        <v>45452</v>
      </c>
      <c r="D480" s="7" t="s">
        <v>2359</v>
      </c>
      <c r="E480" s="9">
        <v>45456</v>
      </c>
      <c r="F480" s="9" t="str">
        <f t="shared" si="111"/>
        <v>Valid</v>
      </c>
      <c r="G480" s="10">
        <f t="shared" si="112"/>
        <v>4</v>
      </c>
      <c r="H480" s="10" t="str">
        <f t="shared" si="113"/>
        <v>Valid</v>
      </c>
      <c r="I480" s="6" t="s">
        <v>2360</v>
      </c>
      <c r="J480" s="6" t="s">
        <v>60</v>
      </c>
      <c r="K480" s="6" t="s">
        <v>60</v>
      </c>
      <c r="L480" s="6" t="s">
        <v>135</v>
      </c>
      <c r="M480" s="7" t="str">
        <f t="shared" si="114"/>
        <v>Home Office</v>
      </c>
      <c r="N480" s="6"/>
      <c r="O480" s="7" t="str">
        <f t="shared" si="115"/>
        <v>Unknown</v>
      </c>
      <c r="P480" s="6" t="s">
        <v>194</v>
      </c>
      <c r="Q480" s="6" t="s">
        <v>195</v>
      </c>
      <c r="R480" s="6" t="s">
        <v>106</v>
      </c>
      <c r="S480" s="7" t="str">
        <f t="shared" si="116"/>
        <v>Technology</v>
      </c>
      <c r="T480" s="6" t="s">
        <v>402</v>
      </c>
      <c r="U480" s="6" t="s">
        <v>2361</v>
      </c>
      <c r="V480" s="6" t="s">
        <v>68</v>
      </c>
      <c r="W480" s="7" t="str">
        <f t="shared" si="117"/>
        <v>Same Day</v>
      </c>
      <c r="X480" s="6">
        <v>7</v>
      </c>
      <c r="Y480" s="6">
        <v>4079.71</v>
      </c>
      <c r="Z480" s="6">
        <v>0.1</v>
      </c>
      <c r="AA480" s="6">
        <f t="shared" si="119"/>
        <v>0.1</v>
      </c>
      <c r="AB480" s="6" t="str">
        <f t="shared" si="120"/>
        <v>Valid</v>
      </c>
      <c r="AC480" s="6">
        <v>25702.17</v>
      </c>
      <c r="AD480" s="6" t="str">
        <f>IF(OR(AO480="Cancelled",AM480="Failed"),"Exclude from Completed Sales","Include in Completed Sales")</f>
        <v>Include in Completed Sales</v>
      </c>
      <c r="AE480" s="6">
        <f t="shared" si="121"/>
        <v>25702.173000000003</v>
      </c>
      <c r="AF480" s="6" t="str">
        <f t="shared" si="122"/>
        <v>Refunded</v>
      </c>
      <c r="AG480" s="6">
        <v>14571.48</v>
      </c>
      <c r="AH480" s="6">
        <v>11130.69</v>
      </c>
      <c r="AI480" s="6">
        <f t="shared" si="123"/>
        <v>11130.693000000003</v>
      </c>
      <c r="AJ480" s="11">
        <f t="shared" si="124"/>
        <v>0.43306427826160854</v>
      </c>
      <c r="AK480" s="11" t="str">
        <f t="shared" si="125"/>
        <v>June</v>
      </c>
      <c r="AL480" s="12">
        <f t="shared" si="126"/>
        <v>2024</v>
      </c>
      <c r="AM480" s="6" t="s">
        <v>144</v>
      </c>
      <c r="AN480" s="6" t="s">
        <v>145</v>
      </c>
      <c r="AO480" s="6" t="str">
        <f t="shared" si="118"/>
        <v>Returned</v>
      </c>
    </row>
    <row r="481" spans="1:41">
      <c r="A481" s="6" t="s">
        <v>2362</v>
      </c>
      <c r="B481" s="7" t="s">
        <v>2363</v>
      </c>
      <c r="C481" s="8">
        <v>45345</v>
      </c>
      <c r="D481" s="7" t="s">
        <v>2108</v>
      </c>
      <c r="E481" s="9">
        <v>45342</v>
      </c>
      <c r="F481" s="9" t="str">
        <f t="shared" si="111"/>
        <v>Invalid Shipping Record</v>
      </c>
      <c r="G481" s="10">
        <f t="shared" si="112"/>
        <v>-3</v>
      </c>
      <c r="H481" s="10" t="str">
        <f t="shared" si="113"/>
        <v>Invalid Shipping Record</v>
      </c>
      <c r="I481" s="6" t="s">
        <v>2364</v>
      </c>
      <c r="J481" s="6" t="s">
        <v>81</v>
      </c>
      <c r="K481" s="6" t="s">
        <v>81</v>
      </c>
      <c r="L481" s="6" t="s">
        <v>128</v>
      </c>
      <c r="M481" s="7" t="str">
        <f t="shared" si="114"/>
        <v>Corporate</v>
      </c>
      <c r="N481" s="6" t="s">
        <v>62</v>
      </c>
      <c r="O481" s="7" t="str">
        <f t="shared" si="115"/>
        <v>East</v>
      </c>
      <c r="P481" s="6" t="s">
        <v>63</v>
      </c>
      <c r="Q481" s="6" t="s">
        <v>64</v>
      </c>
      <c r="R481" s="6" t="s">
        <v>65</v>
      </c>
      <c r="S481" s="7" t="str">
        <f t="shared" si="116"/>
        <v>Furniture</v>
      </c>
      <c r="T481" s="6" t="s">
        <v>96</v>
      </c>
      <c r="U481" s="6" t="s">
        <v>2365</v>
      </c>
      <c r="V481" s="6" t="s">
        <v>53</v>
      </c>
      <c r="W481" s="7" t="str">
        <f t="shared" si="117"/>
        <v>Second Class</v>
      </c>
      <c r="X481" s="6">
        <v>1</v>
      </c>
      <c r="Y481" s="6">
        <v>2202.5500000000002</v>
      </c>
      <c r="Z481" s="6"/>
      <c r="AA481" s="6">
        <f t="shared" si="119"/>
        <v>0</v>
      </c>
      <c r="AB481" s="6" t="str">
        <f t="shared" si="120"/>
        <v>Valid</v>
      </c>
      <c r="AC481" s="6">
        <v>1651.91</v>
      </c>
      <c r="AD481" s="6" t="str">
        <f>IF(OR(AO481="Cancelled",AM481="Failed"),"Exclude from Completed Sales","Include in Completed Sales")</f>
        <v>Include in Completed Sales</v>
      </c>
      <c r="AE481" s="6">
        <f t="shared" si="121"/>
        <v>2202.5500000000002</v>
      </c>
      <c r="AF481" s="6" t="str">
        <f t="shared" si="122"/>
        <v/>
      </c>
      <c r="AG481" s="6">
        <v>1034.57</v>
      </c>
      <c r="AH481" s="6">
        <v>617.34</v>
      </c>
      <c r="AI481" s="6">
        <f t="shared" si="123"/>
        <v>1167.9800000000002</v>
      </c>
      <c r="AJ481" s="11">
        <f t="shared" si="124"/>
        <v>0.53028535107035035</v>
      </c>
      <c r="AK481" s="11" t="str">
        <f t="shared" si="125"/>
        <v>February</v>
      </c>
      <c r="AL481" s="12">
        <f t="shared" si="126"/>
        <v>2024</v>
      </c>
      <c r="AM481" s="6" t="s">
        <v>54</v>
      </c>
      <c r="AN481" s="6" t="s">
        <v>55</v>
      </c>
      <c r="AO481" s="6" t="str">
        <f t="shared" si="118"/>
        <v>Completed</v>
      </c>
    </row>
    <row r="482" spans="1:41">
      <c r="A482" s="6" t="s">
        <v>2366</v>
      </c>
      <c r="B482" s="7" t="s">
        <v>405</v>
      </c>
      <c r="C482" s="8">
        <v>45662</v>
      </c>
      <c r="D482" s="7" t="s">
        <v>2313</v>
      </c>
      <c r="E482" s="9">
        <v>45666</v>
      </c>
      <c r="F482" s="9" t="str">
        <f t="shared" si="111"/>
        <v>Valid</v>
      </c>
      <c r="G482" s="10">
        <f t="shared" si="112"/>
        <v>4</v>
      </c>
      <c r="H482" s="10" t="str">
        <f t="shared" si="113"/>
        <v>Valid</v>
      </c>
      <c r="I482" s="6" t="s">
        <v>2367</v>
      </c>
      <c r="J482" s="6" t="s">
        <v>113</v>
      </c>
      <c r="K482" s="6" t="s">
        <v>113</v>
      </c>
      <c r="L482" s="6" t="s">
        <v>61</v>
      </c>
      <c r="M482" s="7" t="str">
        <f t="shared" si="114"/>
        <v>Small Business</v>
      </c>
      <c r="N482" s="6" t="s">
        <v>82</v>
      </c>
      <c r="O482" s="7" t="str">
        <f t="shared" si="115"/>
        <v>South</v>
      </c>
      <c r="P482" s="6" t="s">
        <v>359</v>
      </c>
      <c r="Q482" s="6" t="s">
        <v>360</v>
      </c>
      <c r="R482" s="6" t="s">
        <v>50</v>
      </c>
      <c r="S482" s="7" t="str">
        <f t="shared" si="116"/>
        <v>Office Supplies</v>
      </c>
      <c r="T482" s="6" t="s">
        <v>176</v>
      </c>
      <c r="U482" s="6" t="s">
        <v>2368</v>
      </c>
      <c r="V482" s="6"/>
      <c r="W482" s="7" t="str">
        <f t="shared" si="117"/>
        <v>Unknown</v>
      </c>
      <c r="X482" s="6">
        <v>5</v>
      </c>
      <c r="Y482" s="6">
        <v>905.16</v>
      </c>
      <c r="Z482" s="6">
        <v>0</v>
      </c>
      <c r="AA482" s="6">
        <f t="shared" si="119"/>
        <v>0</v>
      </c>
      <c r="AB482" s="6" t="str">
        <f t="shared" si="120"/>
        <v>Valid</v>
      </c>
      <c r="AC482" s="6">
        <v>4525.8</v>
      </c>
      <c r="AD482" s="6" t="str">
        <f>IF(OR(AO482="Cancelled",AM482="Failed"),"Exclude from Completed Sales","Include in Completed Sales")</f>
        <v>Include in Completed Sales</v>
      </c>
      <c r="AE482" s="6">
        <f t="shared" si="121"/>
        <v>4525.8</v>
      </c>
      <c r="AF482" s="6" t="str">
        <f t="shared" si="122"/>
        <v/>
      </c>
      <c r="AG482" s="6">
        <v>2714.51</v>
      </c>
      <c r="AH482" s="6">
        <v>1811.29</v>
      </c>
      <c r="AI482" s="6">
        <f t="shared" si="123"/>
        <v>1811.29</v>
      </c>
      <c r="AJ482" s="11">
        <f t="shared" si="124"/>
        <v>0.40021432674886204</v>
      </c>
      <c r="AK482" s="11" t="str">
        <f t="shared" si="125"/>
        <v>January</v>
      </c>
      <c r="AL482" s="12">
        <f t="shared" si="126"/>
        <v>2025</v>
      </c>
      <c r="AM482" s="6" t="s">
        <v>54</v>
      </c>
      <c r="AN482" s="6" t="s">
        <v>55</v>
      </c>
      <c r="AO482" s="6" t="str">
        <f t="shared" si="118"/>
        <v>Completed</v>
      </c>
    </row>
    <row r="483" spans="1:41">
      <c r="A483" s="6" t="s">
        <v>2369</v>
      </c>
      <c r="B483" s="7" t="s">
        <v>2370</v>
      </c>
      <c r="C483" s="8">
        <v>45813</v>
      </c>
      <c r="D483" s="7" t="s">
        <v>2371</v>
      </c>
      <c r="E483" s="9">
        <v>45821</v>
      </c>
      <c r="F483" s="9" t="str">
        <f t="shared" si="111"/>
        <v>Valid</v>
      </c>
      <c r="G483" s="10">
        <f t="shared" si="112"/>
        <v>8</v>
      </c>
      <c r="H483" s="10" t="str">
        <f t="shared" si="113"/>
        <v>Valid</v>
      </c>
      <c r="I483" s="6" t="s">
        <v>2372</v>
      </c>
      <c r="J483" s="6" t="s">
        <v>73</v>
      </c>
      <c r="K483" s="6" t="s">
        <v>73</v>
      </c>
      <c r="L483" s="6" t="s">
        <v>46</v>
      </c>
      <c r="M483" s="7" t="str">
        <f t="shared" si="114"/>
        <v>Consumer</v>
      </c>
      <c r="N483" s="6" t="s">
        <v>47</v>
      </c>
      <c r="O483" s="7" t="str">
        <f t="shared" si="115"/>
        <v>North</v>
      </c>
      <c r="P483" s="6" t="s">
        <v>194</v>
      </c>
      <c r="Q483" s="6" t="s">
        <v>195</v>
      </c>
      <c r="R483" s="6" t="s">
        <v>106</v>
      </c>
      <c r="S483" s="7" t="str">
        <f t="shared" si="116"/>
        <v>Technology</v>
      </c>
      <c r="T483" s="6" t="s">
        <v>402</v>
      </c>
      <c r="U483" s="6" t="s">
        <v>2373</v>
      </c>
      <c r="V483" s="6" t="s">
        <v>68</v>
      </c>
      <c r="W483" s="7" t="str">
        <f t="shared" si="117"/>
        <v>Same Day</v>
      </c>
      <c r="X483" s="6">
        <v>4</v>
      </c>
      <c r="Y483" s="6">
        <v>2793.88</v>
      </c>
      <c r="Z483" s="6" t="s">
        <v>1190</v>
      </c>
      <c r="AA483" s="6" t="str">
        <f t="shared" si="119"/>
        <v>85%</v>
      </c>
      <c r="AB483" s="6" t="str">
        <f t="shared" si="120"/>
        <v>Invalid - Discount Above Limit</v>
      </c>
      <c r="AC483" s="6">
        <v>10616.74</v>
      </c>
      <c r="AD483" s="6" t="str">
        <f>IF(OR(AO483="Cancelled",AM483="Failed"),"Exclude from Completed Sales","Include in Completed Sales")</f>
        <v>Include in Completed Sales</v>
      </c>
      <c r="AE483" s="6">
        <f t="shared" si="121"/>
        <v>1676.3280000000002</v>
      </c>
      <c r="AF483" s="6" t="str">
        <f t="shared" si="122"/>
        <v/>
      </c>
      <c r="AG483" s="6">
        <v>6353.59</v>
      </c>
      <c r="AH483" s="6">
        <v>4263.1499999999996</v>
      </c>
      <c r="AI483" s="6">
        <f t="shared" si="123"/>
        <v>-4677.2619999999997</v>
      </c>
      <c r="AJ483" s="11">
        <f t="shared" si="124"/>
        <v>-2.7901830667983827</v>
      </c>
      <c r="AK483" s="11" t="str">
        <f t="shared" si="125"/>
        <v>June</v>
      </c>
      <c r="AL483" s="12">
        <f t="shared" si="126"/>
        <v>2025</v>
      </c>
      <c r="AM483" s="6" t="s">
        <v>54</v>
      </c>
      <c r="AN483" s="6" t="s">
        <v>55</v>
      </c>
      <c r="AO483" s="6" t="str">
        <f t="shared" si="118"/>
        <v>Completed</v>
      </c>
    </row>
    <row r="484" spans="1:41">
      <c r="A484" s="6" t="s">
        <v>2374</v>
      </c>
      <c r="B484" s="7" t="s">
        <v>283</v>
      </c>
      <c r="C484" s="8">
        <v>45495</v>
      </c>
      <c r="D484" s="7" t="s">
        <v>283</v>
      </c>
      <c r="E484" s="9">
        <v>45495</v>
      </c>
      <c r="F484" s="9" t="str">
        <f t="shared" si="111"/>
        <v>Valid</v>
      </c>
      <c r="G484" s="10">
        <f t="shared" si="112"/>
        <v>0</v>
      </c>
      <c r="H484" s="10" t="str">
        <f t="shared" si="113"/>
        <v>Valid</v>
      </c>
      <c r="I484" s="6" t="s">
        <v>2375</v>
      </c>
      <c r="J484" s="6" t="s">
        <v>162</v>
      </c>
      <c r="K484" s="6" t="s">
        <v>162</v>
      </c>
      <c r="L484" s="6" t="s">
        <v>46</v>
      </c>
      <c r="M484" s="7" t="str">
        <f t="shared" si="114"/>
        <v>Consumer</v>
      </c>
      <c r="N484" s="6" t="s">
        <v>82</v>
      </c>
      <c r="O484" s="7" t="str">
        <f t="shared" si="115"/>
        <v>South</v>
      </c>
      <c r="P484" s="6" t="s">
        <v>249</v>
      </c>
      <c r="Q484" s="6" t="s">
        <v>250</v>
      </c>
      <c r="R484" s="6" t="s">
        <v>106</v>
      </c>
      <c r="S484" s="7" t="str">
        <f t="shared" si="116"/>
        <v>Technology</v>
      </c>
      <c r="T484" s="6" t="s">
        <v>107</v>
      </c>
      <c r="U484" s="6" t="s">
        <v>2376</v>
      </c>
      <c r="V484" s="6" t="s">
        <v>53</v>
      </c>
      <c r="W484" s="7" t="str">
        <f t="shared" si="117"/>
        <v>Second Class</v>
      </c>
      <c r="X484" s="6">
        <v>3</v>
      </c>
      <c r="Y484" s="6">
        <v>1286.22</v>
      </c>
      <c r="Z484" s="6">
        <v>0.25</v>
      </c>
      <c r="AA484" s="6">
        <f t="shared" si="119"/>
        <v>0.25</v>
      </c>
      <c r="AB484" s="6" t="str">
        <f t="shared" si="120"/>
        <v>Valid</v>
      </c>
      <c r="AC484" s="6">
        <v>2893.99</v>
      </c>
      <c r="AD484" s="6" t="str">
        <f>IF(OR(AO484="Cancelled",AM484="Failed"),"Exclude from Completed Sales","Include in Completed Sales")</f>
        <v>Include in Completed Sales</v>
      </c>
      <c r="AE484" s="6">
        <f t="shared" si="121"/>
        <v>2893.9949999999999</v>
      </c>
      <c r="AF484" s="6" t="str">
        <f t="shared" si="122"/>
        <v/>
      </c>
      <c r="AG484" s="6">
        <v>1856.03</v>
      </c>
      <c r="AH484" s="6">
        <v>1037.96</v>
      </c>
      <c r="AI484" s="6">
        <f t="shared" si="123"/>
        <v>1037.9649999999999</v>
      </c>
      <c r="AJ484" s="11">
        <f t="shared" si="124"/>
        <v>0.35866164247001114</v>
      </c>
      <c r="AK484" s="11" t="str">
        <f t="shared" si="125"/>
        <v>July</v>
      </c>
      <c r="AL484" s="12">
        <f t="shared" si="126"/>
        <v>2024</v>
      </c>
      <c r="AM484" s="6" t="s">
        <v>54</v>
      </c>
      <c r="AN484" s="6" t="s">
        <v>55</v>
      </c>
      <c r="AO484" s="6" t="str">
        <f t="shared" si="118"/>
        <v>Completed</v>
      </c>
    </row>
    <row r="485" spans="1:41">
      <c r="A485" s="6" t="s">
        <v>2377</v>
      </c>
      <c r="B485" s="7" t="s">
        <v>1425</v>
      </c>
      <c r="C485" s="8">
        <v>45651</v>
      </c>
      <c r="D485" s="7" t="s">
        <v>2378</v>
      </c>
      <c r="E485" s="9">
        <v>45651</v>
      </c>
      <c r="F485" s="9" t="str">
        <f t="shared" si="111"/>
        <v>Valid</v>
      </c>
      <c r="G485" s="10">
        <f t="shared" si="112"/>
        <v>0</v>
      </c>
      <c r="H485" s="10" t="str">
        <f t="shared" si="113"/>
        <v>Valid</v>
      </c>
      <c r="I485" s="6" t="s">
        <v>2379</v>
      </c>
      <c r="J485" s="6" t="s">
        <v>60</v>
      </c>
      <c r="K485" s="6" t="s">
        <v>60</v>
      </c>
      <c r="L485" s="6" t="s">
        <v>128</v>
      </c>
      <c r="M485" s="7" t="str">
        <f t="shared" si="114"/>
        <v>Corporate</v>
      </c>
      <c r="N485" s="6" t="s">
        <v>62</v>
      </c>
      <c r="O485" s="7" t="str">
        <f t="shared" si="115"/>
        <v>East</v>
      </c>
      <c r="P485" s="6" t="s">
        <v>206</v>
      </c>
      <c r="Q485" s="6" t="s">
        <v>207</v>
      </c>
      <c r="R485" s="6" t="s">
        <v>106</v>
      </c>
      <c r="S485" s="7" t="str">
        <f t="shared" si="116"/>
        <v>Technology</v>
      </c>
      <c r="T485" s="6" t="s">
        <v>114</v>
      </c>
      <c r="U485" s="6" t="s">
        <v>2380</v>
      </c>
      <c r="V485" s="6" t="s">
        <v>87</v>
      </c>
      <c r="W485" s="7" t="str">
        <f t="shared" si="117"/>
        <v>Standard Class</v>
      </c>
      <c r="X485" s="6">
        <v>1</v>
      </c>
      <c r="Y485" s="6">
        <v>829.66</v>
      </c>
      <c r="Z485" s="6">
        <v>0.15</v>
      </c>
      <c r="AA485" s="6">
        <f t="shared" si="119"/>
        <v>0.15</v>
      </c>
      <c r="AB485" s="6" t="str">
        <f t="shared" si="120"/>
        <v>Valid</v>
      </c>
      <c r="AC485" s="6">
        <v>705.21</v>
      </c>
      <c r="AD485" s="6" t="str">
        <f>IF(OR(AO485="Cancelled",AM485="Failed"),"Exclude from Completed Sales","Include in Completed Sales")</f>
        <v>Include in Completed Sales</v>
      </c>
      <c r="AE485" s="6">
        <f t="shared" si="121"/>
        <v>705.2109999999999</v>
      </c>
      <c r="AF485" s="6" t="str">
        <f t="shared" si="122"/>
        <v/>
      </c>
      <c r="AG485" s="6">
        <v>438.32</v>
      </c>
      <c r="AH485" s="6">
        <v>266.89</v>
      </c>
      <c r="AI485" s="6">
        <f t="shared" si="123"/>
        <v>266.89099999999991</v>
      </c>
      <c r="AJ485" s="11">
        <f t="shared" si="124"/>
        <v>0.37845552607659261</v>
      </c>
      <c r="AK485" s="11" t="str">
        <f t="shared" si="125"/>
        <v>December</v>
      </c>
      <c r="AL485" s="12">
        <f t="shared" si="126"/>
        <v>2024</v>
      </c>
      <c r="AM485" s="6" t="s">
        <v>54</v>
      </c>
      <c r="AN485" s="6" t="s">
        <v>55</v>
      </c>
      <c r="AO485" s="6" t="str">
        <f t="shared" si="118"/>
        <v>Completed</v>
      </c>
    </row>
    <row r="486" spans="1:41">
      <c r="A486" s="6" t="s">
        <v>2381</v>
      </c>
      <c r="B486" s="7" t="s">
        <v>2382</v>
      </c>
      <c r="C486" s="8">
        <v>45654</v>
      </c>
      <c r="D486" s="7" t="s">
        <v>2383</v>
      </c>
      <c r="E486" s="9">
        <v>45657</v>
      </c>
      <c r="F486" s="9" t="str">
        <f t="shared" si="111"/>
        <v>Valid</v>
      </c>
      <c r="G486" s="10">
        <f t="shared" si="112"/>
        <v>3</v>
      </c>
      <c r="H486" s="10" t="str">
        <f t="shared" si="113"/>
        <v>Valid</v>
      </c>
      <c r="I486" s="6" t="s">
        <v>2384</v>
      </c>
      <c r="J486" s="6" t="s">
        <v>60</v>
      </c>
      <c r="K486" s="6" t="s">
        <v>60</v>
      </c>
      <c r="L486" s="6" t="s">
        <v>61</v>
      </c>
      <c r="M486" s="7" t="str">
        <f t="shared" si="114"/>
        <v>Small Business</v>
      </c>
      <c r="N486" s="6" t="s">
        <v>82</v>
      </c>
      <c r="O486" s="7" t="str">
        <f t="shared" si="115"/>
        <v>South</v>
      </c>
      <c r="P486" s="6" t="s">
        <v>120</v>
      </c>
      <c r="Q486" s="6" t="s">
        <v>121</v>
      </c>
      <c r="R486" s="6" t="s">
        <v>65</v>
      </c>
      <c r="S486" s="7" t="str">
        <f t="shared" si="116"/>
        <v>Furniture</v>
      </c>
      <c r="T486" s="6" t="s">
        <v>85</v>
      </c>
      <c r="U486" s="6" t="s">
        <v>2385</v>
      </c>
      <c r="V486" s="6" t="s">
        <v>76</v>
      </c>
      <c r="W486" s="7" t="str">
        <f t="shared" si="117"/>
        <v>First Class</v>
      </c>
      <c r="X486" s="6">
        <v>6</v>
      </c>
      <c r="Y486" s="6">
        <v>3641.22</v>
      </c>
      <c r="Z486" s="6">
        <v>0.25</v>
      </c>
      <c r="AA486" s="6">
        <f t="shared" si="119"/>
        <v>0.25</v>
      </c>
      <c r="AB486" s="6" t="str">
        <f t="shared" si="120"/>
        <v>Valid</v>
      </c>
      <c r="AC486" s="6">
        <v>16385.490000000002</v>
      </c>
      <c r="AD486" s="6" t="str">
        <f>IF(OR(AO486="Cancelled",AM486="Failed"),"Exclude from Completed Sales","Include in Completed Sales")</f>
        <v>Include in Completed Sales</v>
      </c>
      <c r="AE486" s="6">
        <f t="shared" si="121"/>
        <v>16385.489999999998</v>
      </c>
      <c r="AF486" s="6" t="str">
        <f t="shared" si="122"/>
        <v/>
      </c>
      <c r="AG486" s="6">
        <v>13679.24</v>
      </c>
      <c r="AH486" s="6">
        <v>2706.25</v>
      </c>
      <c r="AI486" s="6">
        <f t="shared" si="123"/>
        <v>2706.2499999999982</v>
      </c>
      <c r="AJ486" s="11">
        <f t="shared" si="124"/>
        <v>0.16516137143289572</v>
      </c>
      <c r="AK486" s="11" t="str">
        <f t="shared" si="125"/>
        <v>December</v>
      </c>
      <c r="AL486" s="12">
        <f t="shared" si="126"/>
        <v>2024</v>
      </c>
      <c r="AM486" s="6" t="s">
        <v>54</v>
      </c>
      <c r="AN486" s="6" t="s">
        <v>55</v>
      </c>
      <c r="AO486" s="6" t="str">
        <f t="shared" si="118"/>
        <v>Completed</v>
      </c>
    </row>
    <row r="487" spans="1:41">
      <c r="A487" s="6" t="s">
        <v>2386</v>
      </c>
      <c r="B487" s="7" t="s">
        <v>1857</v>
      </c>
      <c r="C487" s="8">
        <v>45679</v>
      </c>
      <c r="D487" s="7" t="s">
        <v>204</v>
      </c>
      <c r="E487" s="9">
        <v>45680</v>
      </c>
      <c r="F487" s="9" t="str">
        <f t="shared" si="111"/>
        <v>Valid</v>
      </c>
      <c r="G487" s="10">
        <f t="shared" si="112"/>
        <v>1</v>
      </c>
      <c r="H487" s="10" t="str">
        <f t="shared" si="113"/>
        <v>Valid</v>
      </c>
      <c r="I487" s="6" t="s">
        <v>2387</v>
      </c>
      <c r="J487" s="6" t="s">
        <v>168</v>
      </c>
      <c r="K487" s="6" t="s">
        <v>168</v>
      </c>
      <c r="L487" s="6" t="s">
        <v>128</v>
      </c>
      <c r="M487" s="7" t="str">
        <f t="shared" si="114"/>
        <v>Corporate</v>
      </c>
      <c r="N487" s="6" t="s">
        <v>93</v>
      </c>
      <c r="O487" s="7" t="str">
        <f t="shared" si="115"/>
        <v>West</v>
      </c>
      <c r="P487" s="6" t="s">
        <v>269</v>
      </c>
      <c r="Q487" s="6" t="s">
        <v>270</v>
      </c>
      <c r="R487" s="6" t="s">
        <v>65</v>
      </c>
      <c r="S487" s="7" t="str">
        <f t="shared" si="116"/>
        <v>Furniture</v>
      </c>
      <c r="T487" s="6" t="s">
        <v>224</v>
      </c>
      <c r="U487" s="6" t="s">
        <v>2388</v>
      </c>
      <c r="V487" s="6" t="s">
        <v>87</v>
      </c>
      <c r="W487" s="7" t="str">
        <f t="shared" si="117"/>
        <v>Standard Class</v>
      </c>
      <c r="X487" s="6">
        <v>4</v>
      </c>
      <c r="Y487" s="6">
        <v>2555.19</v>
      </c>
      <c r="Z487" s="6">
        <v>0.25</v>
      </c>
      <c r="AA487" s="6">
        <f t="shared" si="119"/>
        <v>0.25</v>
      </c>
      <c r="AB487" s="6" t="str">
        <f t="shared" si="120"/>
        <v>Valid</v>
      </c>
      <c r="AC487" s="6">
        <v>7665.57</v>
      </c>
      <c r="AD487" s="6" t="str">
        <f>IF(OR(AO487="Cancelled",AM487="Failed"),"Exclude from Completed Sales","Include in Completed Sales")</f>
        <v>Include in Completed Sales</v>
      </c>
      <c r="AE487" s="6">
        <f t="shared" si="121"/>
        <v>7665.57</v>
      </c>
      <c r="AF487" s="6" t="str">
        <f t="shared" si="122"/>
        <v/>
      </c>
      <c r="AG487" s="6">
        <v>5595.6</v>
      </c>
      <c r="AH487" s="6">
        <v>2069.9699999999998</v>
      </c>
      <c r="AI487" s="6">
        <f t="shared" si="123"/>
        <v>2069.9699999999993</v>
      </c>
      <c r="AJ487" s="11">
        <f t="shared" si="124"/>
        <v>0.27003471366121495</v>
      </c>
      <c r="AK487" s="11" t="str">
        <f t="shared" si="125"/>
        <v>January</v>
      </c>
      <c r="AL487" s="12">
        <f t="shared" si="126"/>
        <v>2025</v>
      </c>
      <c r="AM487" s="6" t="s">
        <v>54</v>
      </c>
      <c r="AN487" s="6" t="s">
        <v>55</v>
      </c>
      <c r="AO487" s="6" t="str">
        <f t="shared" si="118"/>
        <v>Completed</v>
      </c>
    </row>
    <row r="488" spans="1:41">
      <c r="A488" s="6" t="s">
        <v>2389</v>
      </c>
      <c r="B488" s="7" t="s">
        <v>2390</v>
      </c>
      <c r="C488" s="8">
        <v>45830</v>
      </c>
      <c r="D488" s="7" t="s">
        <v>2391</v>
      </c>
      <c r="E488" s="9">
        <v>45834</v>
      </c>
      <c r="F488" s="9" t="str">
        <f t="shared" si="111"/>
        <v>Valid</v>
      </c>
      <c r="G488" s="10">
        <f t="shared" si="112"/>
        <v>4</v>
      </c>
      <c r="H488" s="10" t="str">
        <f t="shared" si="113"/>
        <v>Valid</v>
      </c>
      <c r="I488" s="6" t="s">
        <v>2392</v>
      </c>
      <c r="J488" s="6" t="s">
        <v>168</v>
      </c>
      <c r="K488" s="6" t="s">
        <v>168</v>
      </c>
      <c r="L488" s="6" t="s">
        <v>128</v>
      </c>
      <c r="M488" s="7" t="str">
        <f t="shared" si="114"/>
        <v>Corporate</v>
      </c>
      <c r="N488" s="6" t="s">
        <v>93</v>
      </c>
      <c r="O488" s="7" t="str">
        <f t="shared" si="115"/>
        <v>West</v>
      </c>
      <c r="P488" s="6" t="s">
        <v>269</v>
      </c>
      <c r="Q488" s="6" t="s">
        <v>270</v>
      </c>
      <c r="R488" s="6" t="s">
        <v>65</v>
      </c>
      <c r="S488" s="7" t="str">
        <f t="shared" si="116"/>
        <v>Furniture</v>
      </c>
      <c r="T488" s="6" t="s">
        <v>66</v>
      </c>
      <c r="U488" s="6" t="s">
        <v>2393</v>
      </c>
      <c r="V488" s="6" t="s">
        <v>87</v>
      </c>
      <c r="W488" s="7" t="str">
        <f t="shared" si="117"/>
        <v>Standard Class</v>
      </c>
      <c r="X488" s="6">
        <v>3</v>
      </c>
      <c r="Y488" s="6">
        <v>1946.18</v>
      </c>
      <c r="Z488" s="6">
        <v>0.2</v>
      </c>
      <c r="AA488" s="6">
        <f t="shared" si="119"/>
        <v>0.2</v>
      </c>
      <c r="AB488" s="6" t="str">
        <f t="shared" si="120"/>
        <v>Valid</v>
      </c>
      <c r="AC488" s="6">
        <v>4670.83</v>
      </c>
      <c r="AD488" s="6" t="str">
        <f>IF(OR(AO488="Cancelled",AM488="Failed"),"Exclude from Completed Sales","Include in Completed Sales")</f>
        <v>Include in Completed Sales</v>
      </c>
      <c r="AE488" s="6">
        <f t="shared" si="121"/>
        <v>4670.8320000000003</v>
      </c>
      <c r="AF488" s="6" t="str">
        <f t="shared" si="122"/>
        <v/>
      </c>
      <c r="AG488" s="6">
        <v>3166.49</v>
      </c>
      <c r="AH488" s="6">
        <v>1504.34</v>
      </c>
      <c r="AI488" s="6">
        <f t="shared" si="123"/>
        <v>1504.3420000000006</v>
      </c>
      <c r="AJ488" s="11">
        <f t="shared" si="124"/>
        <v>0.3220715281560117</v>
      </c>
      <c r="AK488" s="11" t="str">
        <f t="shared" si="125"/>
        <v>June</v>
      </c>
      <c r="AL488" s="12">
        <f t="shared" si="126"/>
        <v>2025</v>
      </c>
      <c r="AM488" s="6" t="s">
        <v>54</v>
      </c>
      <c r="AN488" s="6" t="s">
        <v>55</v>
      </c>
      <c r="AO488" s="6" t="str">
        <f t="shared" si="118"/>
        <v>Completed</v>
      </c>
    </row>
    <row r="489" spans="1:41">
      <c r="A489" s="6" t="s">
        <v>2394</v>
      </c>
      <c r="B489" s="7" t="s">
        <v>1988</v>
      </c>
      <c r="C489" s="8">
        <v>45818</v>
      </c>
      <c r="D489" s="7" t="s">
        <v>2395</v>
      </c>
      <c r="E489" s="9">
        <v>45825</v>
      </c>
      <c r="F489" s="9" t="str">
        <f t="shared" si="111"/>
        <v>Valid</v>
      </c>
      <c r="G489" s="10">
        <f t="shared" si="112"/>
        <v>7</v>
      </c>
      <c r="H489" s="10" t="str">
        <f t="shared" si="113"/>
        <v>Valid</v>
      </c>
      <c r="I489" s="6" t="s">
        <v>2396</v>
      </c>
      <c r="J489" s="6" t="s">
        <v>168</v>
      </c>
      <c r="K489" s="6" t="s">
        <v>168</v>
      </c>
      <c r="L489" s="6" t="s">
        <v>128</v>
      </c>
      <c r="M489" s="7" t="str">
        <f t="shared" si="114"/>
        <v>Corporate</v>
      </c>
      <c r="N489" s="6" t="s">
        <v>82</v>
      </c>
      <c r="O489" s="7" t="str">
        <f t="shared" si="115"/>
        <v>South</v>
      </c>
      <c r="P489" s="6" t="s">
        <v>83</v>
      </c>
      <c r="Q489" s="6" t="s">
        <v>84</v>
      </c>
      <c r="R489" s="6" t="s">
        <v>65</v>
      </c>
      <c r="S489" s="7" t="str">
        <f t="shared" si="116"/>
        <v>Furniture</v>
      </c>
      <c r="T489" s="6" t="s">
        <v>85</v>
      </c>
      <c r="U489" s="6" t="s">
        <v>2397</v>
      </c>
      <c r="V489" s="6" t="s">
        <v>87</v>
      </c>
      <c r="W489" s="7" t="str">
        <f t="shared" si="117"/>
        <v>Standard Class</v>
      </c>
      <c r="X489" s="6">
        <v>5</v>
      </c>
      <c r="Y489" s="6">
        <v>1231.0999999999999</v>
      </c>
      <c r="Z489" s="6">
        <v>0</v>
      </c>
      <c r="AA489" s="6">
        <f t="shared" si="119"/>
        <v>0</v>
      </c>
      <c r="AB489" s="6" t="str">
        <f t="shared" si="120"/>
        <v>Valid</v>
      </c>
      <c r="AC489" s="6">
        <v>6155.5</v>
      </c>
      <c r="AD489" s="6" t="str">
        <f>IF(OR(AO489="Cancelled",AM489="Failed"),"Exclude from Completed Sales","Include in Completed Sales")</f>
        <v>Include in Completed Sales</v>
      </c>
      <c r="AE489" s="6">
        <f t="shared" si="121"/>
        <v>6155.5</v>
      </c>
      <c r="AF489" s="6" t="str">
        <f t="shared" si="122"/>
        <v>Refunded</v>
      </c>
      <c r="AG489" s="6">
        <v>4282.09</v>
      </c>
      <c r="AH489" s="6">
        <v>1873.41</v>
      </c>
      <c r="AI489" s="6">
        <f t="shared" si="123"/>
        <v>1873.4099999999999</v>
      </c>
      <c r="AJ489" s="11">
        <f t="shared" si="124"/>
        <v>0.3043473316546178</v>
      </c>
      <c r="AK489" s="11" t="str">
        <f t="shared" si="125"/>
        <v>June</v>
      </c>
      <c r="AL489" s="12">
        <f t="shared" si="126"/>
        <v>2025</v>
      </c>
      <c r="AM489" s="6" t="s">
        <v>144</v>
      </c>
      <c r="AN489" s="6" t="s">
        <v>145</v>
      </c>
      <c r="AO489" s="6" t="str">
        <f t="shared" si="118"/>
        <v>Returned</v>
      </c>
    </row>
    <row r="490" spans="1:41">
      <c r="A490" s="6" t="s">
        <v>2398</v>
      </c>
      <c r="B490" s="7" t="s">
        <v>2399</v>
      </c>
      <c r="C490" s="8">
        <v>45579</v>
      </c>
      <c r="D490" s="7" t="s">
        <v>2400</v>
      </c>
      <c r="E490" s="9">
        <v>45585</v>
      </c>
      <c r="F490" s="9" t="str">
        <f t="shared" si="111"/>
        <v>Valid</v>
      </c>
      <c r="G490" s="10">
        <f t="shared" si="112"/>
        <v>6</v>
      </c>
      <c r="H490" s="10" t="str">
        <f t="shared" si="113"/>
        <v>Valid</v>
      </c>
      <c r="I490" s="6" t="s">
        <v>2401</v>
      </c>
      <c r="J490" s="6" t="s">
        <v>127</v>
      </c>
      <c r="K490" s="6" t="s">
        <v>127</v>
      </c>
      <c r="L490" s="6" t="s">
        <v>61</v>
      </c>
      <c r="M490" s="7" t="str">
        <f t="shared" si="114"/>
        <v>Small Business</v>
      </c>
      <c r="N490" s="6" t="s">
        <v>47</v>
      </c>
      <c r="O490" s="7" t="str">
        <f t="shared" si="115"/>
        <v>North</v>
      </c>
      <c r="P490" s="6" t="s">
        <v>48</v>
      </c>
      <c r="Q490" s="6" t="s">
        <v>49</v>
      </c>
      <c r="R490" s="6" t="s">
        <v>65</v>
      </c>
      <c r="S490" s="7" t="str">
        <f t="shared" si="116"/>
        <v>Furniture</v>
      </c>
      <c r="T490" s="6" t="s">
        <v>66</v>
      </c>
      <c r="U490" s="6" t="s">
        <v>2402</v>
      </c>
      <c r="V490" s="6" t="s">
        <v>68</v>
      </c>
      <c r="W490" s="7" t="str">
        <f t="shared" si="117"/>
        <v>Same Day</v>
      </c>
      <c r="X490" s="6">
        <v>7</v>
      </c>
      <c r="Y490" s="6">
        <v>1547.6</v>
      </c>
      <c r="Z490" s="6">
        <v>0.2</v>
      </c>
      <c r="AA490" s="6">
        <f t="shared" si="119"/>
        <v>0.2</v>
      </c>
      <c r="AB490" s="6" t="str">
        <f t="shared" si="120"/>
        <v>Valid</v>
      </c>
      <c r="AC490" s="6">
        <v>8666.56</v>
      </c>
      <c r="AD490" s="6" t="str">
        <f>IF(OR(AO490="Cancelled",AM490="Failed"),"Exclude from Completed Sales","Include in Completed Sales")</f>
        <v>Include in Completed Sales</v>
      </c>
      <c r="AE490" s="6">
        <f t="shared" si="121"/>
        <v>8666.56</v>
      </c>
      <c r="AF490" s="6" t="str">
        <f t="shared" si="122"/>
        <v/>
      </c>
      <c r="AG490" s="6">
        <v>5967.44</v>
      </c>
      <c r="AH490" s="6">
        <v>2699.12</v>
      </c>
      <c r="AI490" s="6">
        <f t="shared" si="123"/>
        <v>2699.12</v>
      </c>
      <c r="AJ490" s="11">
        <f t="shared" si="124"/>
        <v>0.31144075619392242</v>
      </c>
      <c r="AK490" s="11" t="str">
        <f t="shared" si="125"/>
        <v>October</v>
      </c>
      <c r="AL490" s="12">
        <f t="shared" si="126"/>
        <v>2024</v>
      </c>
      <c r="AM490" s="6" t="s">
        <v>54</v>
      </c>
      <c r="AN490" s="6" t="s">
        <v>55</v>
      </c>
      <c r="AO490" s="6" t="str">
        <f t="shared" si="118"/>
        <v>Completed</v>
      </c>
    </row>
    <row r="491" spans="1:41">
      <c r="A491" s="6" t="s">
        <v>2403</v>
      </c>
      <c r="B491" s="7" t="s">
        <v>410</v>
      </c>
      <c r="C491" s="8">
        <v>45329</v>
      </c>
      <c r="D491" s="7" t="s">
        <v>2404</v>
      </c>
      <c r="E491" s="9">
        <v>45334</v>
      </c>
      <c r="F491" s="9" t="str">
        <f t="shared" si="111"/>
        <v>Valid</v>
      </c>
      <c r="G491" s="10">
        <f t="shared" si="112"/>
        <v>5</v>
      </c>
      <c r="H491" s="10" t="str">
        <f t="shared" si="113"/>
        <v>Valid</v>
      </c>
      <c r="I491" s="6" t="s">
        <v>2405</v>
      </c>
      <c r="J491" s="6" t="s">
        <v>81</v>
      </c>
      <c r="K491" s="6" t="s">
        <v>81</v>
      </c>
      <c r="L491" s="6" t="s">
        <v>135</v>
      </c>
      <c r="M491" s="7" t="str">
        <f t="shared" si="114"/>
        <v>Home Office</v>
      </c>
      <c r="N491" s="6" t="s">
        <v>62</v>
      </c>
      <c r="O491" s="7" t="str">
        <f t="shared" si="115"/>
        <v>East</v>
      </c>
      <c r="P491" s="6" t="s">
        <v>141</v>
      </c>
      <c r="Q491" s="6" t="s">
        <v>142</v>
      </c>
      <c r="R491" s="6" t="s">
        <v>106</v>
      </c>
      <c r="S491" s="7" t="str">
        <f t="shared" si="116"/>
        <v>Technology</v>
      </c>
      <c r="T491" s="6" t="s">
        <v>107</v>
      </c>
      <c r="U491" s="6" t="s">
        <v>2406</v>
      </c>
      <c r="V491" s="6" t="s">
        <v>53</v>
      </c>
      <c r="W491" s="7" t="str">
        <f t="shared" si="117"/>
        <v>Second Class</v>
      </c>
      <c r="X491" s="6">
        <v>1</v>
      </c>
      <c r="Y491" s="6">
        <v>452.19</v>
      </c>
      <c r="Z491" s="6">
        <v>0.2</v>
      </c>
      <c r="AA491" s="6">
        <f t="shared" si="119"/>
        <v>0.2</v>
      </c>
      <c r="AB491" s="6" t="str">
        <f t="shared" si="120"/>
        <v>Valid</v>
      </c>
      <c r="AC491" s="6">
        <v>361.75</v>
      </c>
      <c r="AD491" s="6" t="str">
        <f>IF(OR(AO491="Cancelled",AM491="Failed"),"Exclude from Completed Sales","Include in Completed Sales")</f>
        <v>Include in Completed Sales</v>
      </c>
      <c r="AE491" s="6">
        <f t="shared" si="121"/>
        <v>361.75200000000001</v>
      </c>
      <c r="AF491" s="6" t="str">
        <f t="shared" si="122"/>
        <v/>
      </c>
      <c r="AG491" s="6">
        <v>262.52999999999997</v>
      </c>
      <c r="AH491" s="6">
        <v>99.22</v>
      </c>
      <c r="AI491" s="6">
        <f t="shared" si="123"/>
        <v>99.222000000000037</v>
      </c>
      <c r="AJ491" s="11">
        <f t="shared" si="124"/>
        <v>0.27428182843495003</v>
      </c>
      <c r="AK491" s="11" t="str">
        <f t="shared" si="125"/>
        <v>February</v>
      </c>
      <c r="AL491" s="12">
        <f t="shared" si="126"/>
        <v>2024</v>
      </c>
      <c r="AM491" s="6" t="s">
        <v>54</v>
      </c>
      <c r="AN491" s="6" t="s">
        <v>55</v>
      </c>
      <c r="AO491" s="6" t="str">
        <f t="shared" si="118"/>
        <v>Completed</v>
      </c>
    </row>
    <row r="492" spans="1:41">
      <c r="A492" s="6" t="s">
        <v>2407</v>
      </c>
      <c r="B492" s="7" t="s">
        <v>2408</v>
      </c>
      <c r="C492" s="8">
        <v>45551</v>
      </c>
      <c r="D492" s="7" t="s">
        <v>1909</v>
      </c>
      <c r="E492" s="9">
        <v>45554</v>
      </c>
      <c r="F492" s="9" t="str">
        <f t="shared" si="111"/>
        <v>Valid</v>
      </c>
      <c r="G492" s="10">
        <f t="shared" si="112"/>
        <v>3</v>
      </c>
      <c r="H492" s="10" t="str">
        <f t="shared" si="113"/>
        <v>Valid</v>
      </c>
      <c r="I492" s="6" t="s">
        <v>2409</v>
      </c>
      <c r="J492" s="6" t="s">
        <v>127</v>
      </c>
      <c r="K492" s="6" t="s">
        <v>127</v>
      </c>
      <c r="L492" s="6" t="s">
        <v>46</v>
      </c>
      <c r="M492" s="7" t="str">
        <f t="shared" si="114"/>
        <v>Consumer</v>
      </c>
      <c r="N492" s="6" t="s">
        <v>93</v>
      </c>
      <c r="O492" s="7" t="str">
        <f t="shared" si="115"/>
        <v>West</v>
      </c>
      <c r="P492" s="6" t="s">
        <v>48</v>
      </c>
      <c r="Q492" s="6" t="s">
        <v>155</v>
      </c>
      <c r="R492" s="6" t="s">
        <v>50</v>
      </c>
      <c r="S492" s="7" t="str">
        <f t="shared" si="116"/>
        <v>Office Supplies</v>
      </c>
      <c r="T492" s="6" t="s">
        <v>218</v>
      </c>
      <c r="U492" s="6" t="s">
        <v>2410</v>
      </c>
      <c r="V492" s="6" t="s">
        <v>76</v>
      </c>
      <c r="W492" s="7" t="str">
        <f t="shared" si="117"/>
        <v>First Class</v>
      </c>
      <c r="X492" s="6">
        <v>7</v>
      </c>
      <c r="Y492" s="6">
        <v>406.42</v>
      </c>
      <c r="Z492" s="6">
        <v>0.15</v>
      </c>
      <c r="AA492" s="6">
        <f t="shared" si="119"/>
        <v>0.15</v>
      </c>
      <c r="AB492" s="6" t="str">
        <f t="shared" si="120"/>
        <v>Valid</v>
      </c>
      <c r="AC492" s="6">
        <v>2418.1999999999998</v>
      </c>
      <c r="AD492" s="6" t="str">
        <f>IF(OR(AO492="Cancelled",AM492="Failed"),"Exclude from Completed Sales","Include in Completed Sales")</f>
        <v>Include in Completed Sales</v>
      </c>
      <c r="AE492" s="6">
        <f t="shared" si="121"/>
        <v>2418.1990000000001</v>
      </c>
      <c r="AF492" s="6" t="str">
        <f t="shared" si="122"/>
        <v/>
      </c>
      <c r="AG492" s="6">
        <v>1613.82</v>
      </c>
      <c r="AH492" s="6">
        <v>804.38</v>
      </c>
      <c r="AI492" s="6">
        <f t="shared" si="123"/>
        <v>804.37900000000013</v>
      </c>
      <c r="AJ492" s="11">
        <f t="shared" si="124"/>
        <v>0.33263556886757462</v>
      </c>
      <c r="AK492" s="11" t="str">
        <f t="shared" si="125"/>
        <v>September</v>
      </c>
      <c r="AL492" s="12">
        <f t="shared" si="126"/>
        <v>2024</v>
      </c>
      <c r="AM492" s="6" t="s">
        <v>54</v>
      </c>
      <c r="AN492" s="6" t="s">
        <v>55</v>
      </c>
      <c r="AO492" s="6" t="str">
        <f t="shared" si="118"/>
        <v>Completed</v>
      </c>
    </row>
    <row r="493" spans="1:41">
      <c r="A493" s="6" t="s">
        <v>2411</v>
      </c>
      <c r="B493" s="7" t="s">
        <v>1998</v>
      </c>
      <c r="C493" s="8">
        <v>45776</v>
      </c>
      <c r="D493" s="7" t="s">
        <v>2412</v>
      </c>
      <c r="E493" s="9">
        <v>45777</v>
      </c>
      <c r="F493" s="9" t="str">
        <f t="shared" si="111"/>
        <v>Valid</v>
      </c>
      <c r="G493" s="10">
        <f t="shared" si="112"/>
        <v>1</v>
      </c>
      <c r="H493" s="10" t="str">
        <f t="shared" si="113"/>
        <v>Valid</v>
      </c>
      <c r="I493" s="6" t="s">
        <v>2413</v>
      </c>
      <c r="J493" s="6" t="s">
        <v>60</v>
      </c>
      <c r="K493" s="6" t="s">
        <v>60</v>
      </c>
      <c r="L493" s="6" t="s">
        <v>128</v>
      </c>
      <c r="M493" s="7" t="str">
        <f t="shared" si="114"/>
        <v>Corporate</v>
      </c>
      <c r="N493" s="6" t="s">
        <v>82</v>
      </c>
      <c r="O493" s="7" t="str">
        <f t="shared" si="115"/>
        <v>South</v>
      </c>
      <c r="P493" s="6" t="s">
        <v>262</v>
      </c>
      <c r="Q493" s="6" t="s">
        <v>263</v>
      </c>
      <c r="R493" s="6" t="s">
        <v>106</v>
      </c>
      <c r="S493" s="7" t="str">
        <f t="shared" si="116"/>
        <v>Technology</v>
      </c>
      <c r="T493" s="6" t="s">
        <v>107</v>
      </c>
      <c r="U493" s="6" t="s">
        <v>2414</v>
      </c>
      <c r="V493" s="6" t="s">
        <v>87</v>
      </c>
      <c r="W493" s="7" t="str">
        <f t="shared" si="117"/>
        <v>Standard Class</v>
      </c>
      <c r="X493" s="6">
        <v>4</v>
      </c>
      <c r="Y493" s="6">
        <v>606.58000000000004</v>
      </c>
      <c r="Z493" s="6">
        <v>0.2</v>
      </c>
      <c r="AA493" s="6">
        <f t="shared" si="119"/>
        <v>0.2</v>
      </c>
      <c r="AB493" s="6" t="str">
        <f t="shared" si="120"/>
        <v>Valid</v>
      </c>
      <c r="AC493" s="6">
        <v>1941.06</v>
      </c>
      <c r="AD493" s="6" t="str">
        <f>IF(OR(AO493="Cancelled",AM493="Failed"),"Exclude from Completed Sales","Include in Completed Sales")</f>
        <v>Include in Completed Sales</v>
      </c>
      <c r="AE493" s="6">
        <f t="shared" si="121"/>
        <v>1941.0560000000003</v>
      </c>
      <c r="AF493" s="6" t="str">
        <f t="shared" si="122"/>
        <v/>
      </c>
      <c r="AG493" s="6">
        <v>1207.42</v>
      </c>
      <c r="AH493" s="6">
        <v>733.64</v>
      </c>
      <c r="AI493" s="6">
        <f t="shared" si="123"/>
        <v>733.63600000000019</v>
      </c>
      <c r="AJ493" s="11">
        <f t="shared" si="124"/>
        <v>0.37795715321969076</v>
      </c>
      <c r="AK493" s="11" t="str">
        <f t="shared" si="125"/>
        <v>April</v>
      </c>
      <c r="AL493" s="12">
        <f t="shared" si="126"/>
        <v>2025</v>
      </c>
      <c r="AM493" s="6" t="s">
        <v>54</v>
      </c>
      <c r="AN493" s="6" t="s">
        <v>55</v>
      </c>
      <c r="AO493" s="6" t="str">
        <f t="shared" si="118"/>
        <v>Completed</v>
      </c>
    </row>
    <row r="494" spans="1:41">
      <c r="A494" s="6" t="s">
        <v>2415</v>
      </c>
      <c r="B494" s="7" t="s">
        <v>2416</v>
      </c>
      <c r="C494" s="8">
        <v>45836</v>
      </c>
      <c r="D494" s="7" t="s">
        <v>2417</v>
      </c>
      <c r="E494" s="9">
        <v>45840</v>
      </c>
      <c r="F494" s="9" t="str">
        <f t="shared" si="111"/>
        <v>Valid</v>
      </c>
      <c r="G494" s="10">
        <f t="shared" si="112"/>
        <v>4</v>
      </c>
      <c r="H494" s="10" t="str">
        <f t="shared" si="113"/>
        <v>Valid</v>
      </c>
      <c r="I494" s="6" t="s">
        <v>2418</v>
      </c>
      <c r="J494" s="6" t="s">
        <v>92</v>
      </c>
      <c r="K494" s="6" t="s">
        <v>92</v>
      </c>
      <c r="L494" s="6" t="s">
        <v>128</v>
      </c>
      <c r="M494" s="7" t="str">
        <f t="shared" si="114"/>
        <v>Corporate</v>
      </c>
      <c r="N494" s="6" t="s">
        <v>82</v>
      </c>
      <c r="O494" s="7" t="str">
        <f t="shared" si="115"/>
        <v>South</v>
      </c>
      <c r="P494" s="6" t="s">
        <v>120</v>
      </c>
      <c r="Q494" s="6" t="s">
        <v>121</v>
      </c>
      <c r="R494" s="6" t="s">
        <v>50</v>
      </c>
      <c r="S494" s="7" t="str">
        <f t="shared" si="116"/>
        <v>Office Supplies</v>
      </c>
      <c r="T494" s="6" t="s">
        <v>176</v>
      </c>
      <c r="U494" s="6" t="s">
        <v>2419</v>
      </c>
      <c r="V494" s="6" t="s">
        <v>53</v>
      </c>
      <c r="W494" s="7" t="str">
        <f t="shared" si="117"/>
        <v>Second Class</v>
      </c>
      <c r="X494" s="6">
        <v>2</v>
      </c>
      <c r="Y494" s="6">
        <v>2725.44</v>
      </c>
      <c r="Z494" s="6">
        <v>0.25</v>
      </c>
      <c r="AA494" s="6">
        <f t="shared" si="119"/>
        <v>0.25</v>
      </c>
      <c r="AB494" s="6" t="str">
        <f t="shared" si="120"/>
        <v>Valid</v>
      </c>
      <c r="AC494" s="6">
        <v>4088.16</v>
      </c>
      <c r="AD494" s="6" t="str">
        <f>IF(OR(AO494="Cancelled",AM494="Failed"),"Exclude from Completed Sales","Include in Completed Sales")</f>
        <v>Include in Completed Sales</v>
      </c>
      <c r="AE494" s="6">
        <f t="shared" si="121"/>
        <v>4088.16</v>
      </c>
      <c r="AF494" s="6" t="str">
        <f t="shared" si="122"/>
        <v/>
      </c>
      <c r="AG494" s="6">
        <v>3205.68</v>
      </c>
      <c r="AH494" s="6">
        <v>882.48</v>
      </c>
      <c r="AI494" s="6">
        <f t="shared" si="123"/>
        <v>882.48</v>
      </c>
      <c r="AJ494" s="11">
        <f t="shared" si="124"/>
        <v>0.21586239286133616</v>
      </c>
      <c r="AK494" s="11" t="str">
        <f t="shared" si="125"/>
        <v>June</v>
      </c>
      <c r="AL494" s="12">
        <f t="shared" si="126"/>
        <v>2025</v>
      </c>
      <c r="AM494" s="6" t="s">
        <v>54</v>
      </c>
      <c r="AN494" s="6" t="s">
        <v>55</v>
      </c>
      <c r="AO494" s="6" t="str">
        <f t="shared" si="118"/>
        <v>Completed</v>
      </c>
    </row>
    <row r="495" spans="1:41">
      <c r="A495" s="6" t="s">
        <v>2420</v>
      </c>
      <c r="B495" s="7" t="s">
        <v>1435</v>
      </c>
      <c r="C495" s="8">
        <v>45701</v>
      </c>
      <c r="D495" s="7" t="s">
        <v>2421</v>
      </c>
      <c r="E495" s="9">
        <v>45701</v>
      </c>
      <c r="F495" s="9" t="str">
        <f t="shared" si="111"/>
        <v>Valid</v>
      </c>
      <c r="G495" s="10">
        <f t="shared" si="112"/>
        <v>0</v>
      </c>
      <c r="H495" s="10" t="str">
        <f t="shared" si="113"/>
        <v>Valid</v>
      </c>
      <c r="I495" s="6" t="s">
        <v>2422</v>
      </c>
      <c r="J495" s="6" t="s">
        <v>386</v>
      </c>
      <c r="K495" s="6" t="s">
        <v>386</v>
      </c>
      <c r="L495" s="6" t="s">
        <v>128</v>
      </c>
      <c r="M495" s="7" t="str">
        <f t="shared" si="114"/>
        <v>Corporate</v>
      </c>
      <c r="N495" s="6" t="s">
        <v>62</v>
      </c>
      <c r="O495" s="7" t="str">
        <f t="shared" si="115"/>
        <v>East</v>
      </c>
      <c r="P495" s="6" t="s">
        <v>63</v>
      </c>
      <c r="Q495" s="6" t="s">
        <v>64</v>
      </c>
      <c r="R495" s="6" t="s">
        <v>50</v>
      </c>
      <c r="S495" s="7" t="str">
        <f t="shared" si="116"/>
        <v>Office Supplies</v>
      </c>
      <c r="T495" s="6" t="s">
        <v>51</v>
      </c>
      <c r="U495" s="6" t="s">
        <v>2423</v>
      </c>
      <c r="V495" s="6" t="s">
        <v>53</v>
      </c>
      <c r="W495" s="7" t="str">
        <f t="shared" si="117"/>
        <v>Second Class</v>
      </c>
      <c r="X495" s="6">
        <v>7</v>
      </c>
      <c r="Y495" s="6">
        <v>2296.6999999999998</v>
      </c>
      <c r="Z495" s="6">
        <v>0.05</v>
      </c>
      <c r="AA495" s="6">
        <f t="shared" si="119"/>
        <v>0.05</v>
      </c>
      <c r="AB495" s="6" t="str">
        <f t="shared" si="120"/>
        <v>Valid</v>
      </c>
      <c r="AC495" s="6">
        <v>15273.05</v>
      </c>
      <c r="AD495" s="6" t="str">
        <f>IF(OR(AO495="Cancelled",AM495="Failed"),"Exclude from Completed Sales","Include in Completed Sales")</f>
        <v>Include in Completed Sales</v>
      </c>
      <c r="AE495" s="6">
        <f t="shared" si="121"/>
        <v>15273.054999999997</v>
      </c>
      <c r="AF495" s="6" t="str">
        <f t="shared" si="122"/>
        <v/>
      </c>
      <c r="AG495" s="6">
        <v>11088.76</v>
      </c>
      <c r="AH495" s="6">
        <v>4184.29</v>
      </c>
      <c r="AI495" s="6">
        <f t="shared" si="123"/>
        <v>4184.2949999999964</v>
      </c>
      <c r="AJ495" s="11">
        <f t="shared" si="124"/>
        <v>0.27396581757873573</v>
      </c>
      <c r="AK495" s="11" t="str">
        <f t="shared" si="125"/>
        <v>February</v>
      </c>
      <c r="AL495" s="12">
        <f t="shared" si="126"/>
        <v>2025</v>
      </c>
      <c r="AM495" s="6" t="s">
        <v>54</v>
      </c>
      <c r="AN495" s="6" t="s">
        <v>2424</v>
      </c>
      <c r="AO495" s="6" t="str">
        <f t="shared" si="118"/>
        <v>Completed</v>
      </c>
    </row>
    <row r="496" spans="1:41">
      <c r="A496" s="6" t="s">
        <v>2425</v>
      </c>
      <c r="B496" s="7" t="s">
        <v>2426</v>
      </c>
      <c r="C496" s="8">
        <v>45610</v>
      </c>
      <c r="D496" s="7" t="s">
        <v>2427</v>
      </c>
      <c r="E496" s="9">
        <v>45618</v>
      </c>
      <c r="F496" s="9" t="str">
        <f t="shared" si="111"/>
        <v>Valid</v>
      </c>
      <c r="G496" s="10">
        <f t="shared" si="112"/>
        <v>8</v>
      </c>
      <c r="H496" s="10" t="str">
        <f t="shared" si="113"/>
        <v>Valid</v>
      </c>
      <c r="I496" s="6" t="s">
        <v>2428</v>
      </c>
      <c r="J496" s="6" t="s">
        <v>73</v>
      </c>
      <c r="K496" s="6" t="s">
        <v>73</v>
      </c>
      <c r="L496" s="6" t="s">
        <v>46</v>
      </c>
      <c r="M496" s="7" t="str">
        <f t="shared" si="114"/>
        <v>Consumer</v>
      </c>
      <c r="N496" s="6" t="s">
        <v>93</v>
      </c>
      <c r="O496" s="7" t="str">
        <f t="shared" si="115"/>
        <v>West</v>
      </c>
      <c r="P496" s="6" t="s">
        <v>104</v>
      </c>
      <c r="Q496" s="6" t="s">
        <v>105</v>
      </c>
      <c r="R496" s="6" t="s">
        <v>106</v>
      </c>
      <c r="S496" s="7" t="str">
        <f t="shared" si="116"/>
        <v>Technology</v>
      </c>
      <c r="T496" s="6" t="s">
        <v>243</v>
      </c>
      <c r="U496" s="6" t="s">
        <v>2429</v>
      </c>
      <c r="V496" s="6" t="s">
        <v>87</v>
      </c>
      <c r="W496" s="7" t="str">
        <f t="shared" si="117"/>
        <v>Standard Class</v>
      </c>
      <c r="X496" s="6">
        <v>3</v>
      </c>
      <c r="Y496" s="6">
        <v>671.68</v>
      </c>
      <c r="Z496" s="6">
        <v>-0.13</v>
      </c>
      <c r="AA496" s="6">
        <f t="shared" si="119"/>
        <v>-0.13</v>
      </c>
      <c r="AB496" s="6" t="str">
        <f t="shared" si="120"/>
        <v>Invalid - Negative Discount</v>
      </c>
      <c r="AC496" s="6">
        <v>1712.78</v>
      </c>
      <c r="AD496" s="6" t="str">
        <f>IF(OR(AO496="Cancelled",AM496="Failed"),"Exclude from Completed Sales","Include in Completed Sales")</f>
        <v>Exclude from Completed Sales</v>
      </c>
      <c r="AE496" s="6">
        <f t="shared" si="121"/>
        <v>2276.9951999999998</v>
      </c>
      <c r="AF496" s="6" t="str">
        <f t="shared" si="122"/>
        <v/>
      </c>
      <c r="AG496" s="6">
        <v>1569.38</v>
      </c>
      <c r="AH496" s="6">
        <v>360.66</v>
      </c>
      <c r="AI496" s="6">
        <f t="shared" si="123"/>
        <v>707.61519999999973</v>
      </c>
      <c r="AJ496" s="11">
        <f t="shared" si="124"/>
        <v>0.31076710218800629</v>
      </c>
      <c r="AK496" s="11" t="str">
        <f t="shared" si="125"/>
        <v>November</v>
      </c>
      <c r="AL496" s="12">
        <f t="shared" si="126"/>
        <v>2024</v>
      </c>
      <c r="AM496" s="6" t="s">
        <v>220</v>
      </c>
      <c r="AN496" s="6" t="s">
        <v>98</v>
      </c>
      <c r="AO496" s="6" t="str">
        <f t="shared" si="118"/>
        <v>Cancelled</v>
      </c>
    </row>
    <row r="497" spans="1:41">
      <c r="A497" s="6" t="s">
        <v>2430</v>
      </c>
      <c r="B497" s="7" t="s">
        <v>2211</v>
      </c>
      <c r="C497" s="8">
        <v>45421</v>
      </c>
      <c r="D497" s="7" t="s">
        <v>2431</v>
      </c>
      <c r="E497" s="9">
        <v>45427</v>
      </c>
      <c r="F497" s="9" t="str">
        <f t="shared" si="111"/>
        <v>Valid</v>
      </c>
      <c r="G497" s="10">
        <f t="shared" si="112"/>
        <v>6</v>
      </c>
      <c r="H497" s="10" t="str">
        <f t="shared" si="113"/>
        <v>Valid</v>
      </c>
      <c r="I497" s="6" t="s">
        <v>2432</v>
      </c>
      <c r="J497" s="6" t="s">
        <v>60</v>
      </c>
      <c r="K497" s="6" t="s">
        <v>60</v>
      </c>
      <c r="L497" s="6" t="s">
        <v>61</v>
      </c>
      <c r="M497" s="7" t="str">
        <f t="shared" si="114"/>
        <v>Small Business</v>
      </c>
      <c r="N497" s="6" t="s">
        <v>62</v>
      </c>
      <c r="O497" s="7" t="str">
        <f t="shared" si="115"/>
        <v>East</v>
      </c>
      <c r="P497" s="6" t="s">
        <v>236</v>
      </c>
      <c r="Q497" s="6" t="s">
        <v>237</v>
      </c>
      <c r="R497" s="6" t="s">
        <v>106</v>
      </c>
      <c r="S497" s="7" t="str">
        <f t="shared" si="116"/>
        <v>Technology</v>
      </c>
      <c r="T497" s="6" t="s">
        <v>243</v>
      </c>
      <c r="U497" s="6" t="s">
        <v>2433</v>
      </c>
      <c r="V497" s="6" t="s">
        <v>53</v>
      </c>
      <c r="W497" s="7" t="str">
        <f t="shared" si="117"/>
        <v>Second Class</v>
      </c>
      <c r="X497" s="6">
        <v>4</v>
      </c>
      <c r="Y497" s="6">
        <v>995.98</v>
      </c>
      <c r="Z497" s="6">
        <v>0.05</v>
      </c>
      <c r="AA497" s="6">
        <f t="shared" si="119"/>
        <v>0.05</v>
      </c>
      <c r="AB497" s="6" t="str">
        <f t="shared" si="120"/>
        <v>Valid</v>
      </c>
      <c r="AC497" s="6">
        <v>3784.72</v>
      </c>
      <c r="AD497" s="6" t="str">
        <f>IF(OR(AO497="Cancelled",AM497="Failed"),"Exclude from Completed Sales","Include in Completed Sales")</f>
        <v>Include in Completed Sales</v>
      </c>
      <c r="AE497" s="6">
        <f t="shared" si="121"/>
        <v>3784.7239999999997</v>
      </c>
      <c r="AF497" s="6" t="str">
        <f t="shared" si="122"/>
        <v>Refunded</v>
      </c>
      <c r="AG497" s="6">
        <v>2419.2399999999998</v>
      </c>
      <c r="AH497" s="6">
        <v>1365.48</v>
      </c>
      <c r="AI497" s="6">
        <f t="shared" si="123"/>
        <v>1365.4839999999999</v>
      </c>
      <c r="AJ497" s="11">
        <f t="shared" si="124"/>
        <v>0.36078826355633858</v>
      </c>
      <c r="AK497" s="11" t="str">
        <f t="shared" si="125"/>
        <v>May</v>
      </c>
      <c r="AL497" s="12">
        <f t="shared" si="126"/>
        <v>2024</v>
      </c>
      <c r="AM497" s="6" t="s">
        <v>144</v>
      </c>
      <c r="AN497" s="6" t="s">
        <v>145</v>
      </c>
      <c r="AO497" s="6" t="str">
        <f t="shared" si="118"/>
        <v>Returned</v>
      </c>
    </row>
    <row r="498" spans="1:41">
      <c r="A498" s="6" t="s">
        <v>2434</v>
      </c>
      <c r="B498" s="7" t="s">
        <v>2435</v>
      </c>
      <c r="C498" s="8">
        <v>45842</v>
      </c>
      <c r="D498" s="7" t="s">
        <v>2436</v>
      </c>
      <c r="E498" s="9">
        <v>45844</v>
      </c>
      <c r="F498" s="9" t="str">
        <f t="shared" si="111"/>
        <v>Valid</v>
      </c>
      <c r="G498" s="10">
        <f t="shared" si="112"/>
        <v>2</v>
      </c>
      <c r="H498" s="10" t="str">
        <f t="shared" si="113"/>
        <v>Valid</v>
      </c>
      <c r="I498" s="6" t="s">
        <v>2437</v>
      </c>
      <c r="J498" s="6" t="s">
        <v>386</v>
      </c>
      <c r="K498" s="6" t="s">
        <v>386</v>
      </c>
      <c r="L498" s="6" t="s">
        <v>61</v>
      </c>
      <c r="M498" s="7" t="str">
        <f t="shared" si="114"/>
        <v>Small Business</v>
      </c>
      <c r="N498" s="6" t="s">
        <v>62</v>
      </c>
      <c r="O498" s="7" t="str">
        <f t="shared" si="115"/>
        <v>East</v>
      </c>
      <c r="P498" s="6" t="s">
        <v>331</v>
      </c>
      <c r="Q498" s="6" t="s">
        <v>332</v>
      </c>
      <c r="R498" s="6" t="s">
        <v>65</v>
      </c>
      <c r="S498" s="7" t="str">
        <f t="shared" si="116"/>
        <v>Furniture</v>
      </c>
      <c r="T498" s="6" t="s">
        <v>96</v>
      </c>
      <c r="U498" s="6" t="s">
        <v>2438</v>
      </c>
      <c r="V498" s="6" t="s">
        <v>53</v>
      </c>
      <c r="W498" s="7" t="str">
        <f t="shared" si="117"/>
        <v>Second Class</v>
      </c>
      <c r="X498" s="6">
        <v>2</v>
      </c>
      <c r="Y498" s="6">
        <v>3686.42</v>
      </c>
      <c r="Z498" s="6">
        <v>0.1</v>
      </c>
      <c r="AA498" s="6">
        <f t="shared" si="119"/>
        <v>0.1</v>
      </c>
      <c r="AB498" s="6" t="str">
        <f t="shared" si="120"/>
        <v>Valid</v>
      </c>
      <c r="AC498" s="6">
        <v>6635.56</v>
      </c>
      <c r="AD498" s="6" t="str">
        <f>IF(OR(AO498="Cancelled",AM498="Failed"),"Exclude from Completed Sales","Include in Completed Sales")</f>
        <v>Include in Completed Sales</v>
      </c>
      <c r="AE498" s="6">
        <f t="shared" si="121"/>
        <v>6635.5560000000005</v>
      </c>
      <c r="AF498" s="6" t="str">
        <f t="shared" si="122"/>
        <v/>
      </c>
      <c r="AG498" s="6">
        <v>3652.91</v>
      </c>
      <c r="AH498" s="6">
        <v>2982.65</v>
      </c>
      <c r="AI498" s="6">
        <f t="shared" si="123"/>
        <v>2982.6460000000006</v>
      </c>
      <c r="AJ498" s="11">
        <f t="shared" si="124"/>
        <v>0.44949451108543131</v>
      </c>
      <c r="AK498" s="11" t="str">
        <f t="shared" si="125"/>
        <v>July</v>
      </c>
      <c r="AL498" s="12">
        <f t="shared" si="126"/>
        <v>2025</v>
      </c>
      <c r="AM498" s="6" t="s">
        <v>54</v>
      </c>
      <c r="AN498" s="6" t="s">
        <v>55</v>
      </c>
      <c r="AO498" s="6" t="str">
        <f t="shared" si="118"/>
        <v>Completed</v>
      </c>
    </row>
    <row r="499" spans="1:41">
      <c r="A499" s="6" t="s">
        <v>2439</v>
      </c>
      <c r="B499" s="7" t="s">
        <v>2440</v>
      </c>
      <c r="C499" s="8">
        <v>45533</v>
      </c>
      <c r="D499" s="7" t="s">
        <v>2440</v>
      </c>
      <c r="E499" s="9">
        <v>45533</v>
      </c>
      <c r="F499" s="9" t="str">
        <f t="shared" si="111"/>
        <v>Valid</v>
      </c>
      <c r="G499" s="10">
        <f t="shared" si="112"/>
        <v>0</v>
      </c>
      <c r="H499" s="10" t="str">
        <f t="shared" si="113"/>
        <v>Valid</v>
      </c>
      <c r="I499" s="6" t="s">
        <v>2441</v>
      </c>
      <c r="J499" s="6" t="s">
        <v>188</v>
      </c>
      <c r="K499" s="6" t="s">
        <v>188</v>
      </c>
      <c r="L499" s="6" t="s">
        <v>61</v>
      </c>
      <c r="M499" s="7" t="str">
        <f t="shared" si="114"/>
        <v>Small Business</v>
      </c>
      <c r="N499" s="6" t="s">
        <v>732</v>
      </c>
      <c r="O499" s="7" t="str">
        <f t="shared" si="115"/>
        <v>North</v>
      </c>
      <c r="P499" s="6" t="s">
        <v>194</v>
      </c>
      <c r="Q499" s="6" t="s">
        <v>195</v>
      </c>
      <c r="R499" s="6" t="s">
        <v>106</v>
      </c>
      <c r="S499" s="7" t="str">
        <f t="shared" si="116"/>
        <v>Technology</v>
      </c>
      <c r="T499" s="6" t="s">
        <v>107</v>
      </c>
      <c r="U499" s="6" t="s">
        <v>2442</v>
      </c>
      <c r="V499" s="6" t="s">
        <v>53</v>
      </c>
      <c r="W499" s="7" t="str">
        <f t="shared" si="117"/>
        <v>Second Class</v>
      </c>
      <c r="X499" s="6">
        <v>1</v>
      </c>
      <c r="Y499" s="6">
        <v>3106.88</v>
      </c>
      <c r="Z499" s="6">
        <v>0.2</v>
      </c>
      <c r="AA499" s="6">
        <f t="shared" si="119"/>
        <v>0.2</v>
      </c>
      <c r="AB499" s="6" t="str">
        <f t="shared" si="120"/>
        <v>Valid</v>
      </c>
      <c r="AC499" s="6">
        <v>2485.5</v>
      </c>
      <c r="AD499" s="6" t="str">
        <f>IF(OR(AO499="Cancelled",AM499="Failed"),"Exclude from Completed Sales","Include in Completed Sales")</f>
        <v>Exclude from Completed Sales</v>
      </c>
      <c r="AE499" s="6">
        <f t="shared" si="121"/>
        <v>2485.5040000000004</v>
      </c>
      <c r="AF499" s="6" t="str">
        <f t="shared" si="122"/>
        <v/>
      </c>
      <c r="AG499" s="6">
        <v>2028.43</v>
      </c>
      <c r="AH499" s="6">
        <v>457.07</v>
      </c>
      <c r="AI499" s="6">
        <f t="shared" si="123"/>
        <v>457.0740000000003</v>
      </c>
      <c r="AJ499" s="11">
        <f t="shared" si="124"/>
        <v>0.18389590199814615</v>
      </c>
      <c r="AK499" s="11" t="str">
        <f t="shared" si="125"/>
        <v>August</v>
      </c>
      <c r="AL499" s="12">
        <f t="shared" si="126"/>
        <v>2024</v>
      </c>
      <c r="AM499" s="6" t="s">
        <v>54</v>
      </c>
      <c r="AN499" s="6" t="s">
        <v>98</v>
      </c>
      <c r="AO499" s="6" t="str">
        <f t="shared" si="118"/>
        <v>Cancelled</v>
      </c>
    </row>
    <row r="500" spans="1:41">
      <c r="A500" s="6" t="s">
        <v>2443</v>
      </c>
      <c r="B500" s="7" t="s">
        <v>2444</v>
      </c>
      <c r="C500" s="8">
        <v>45907</v>
      </c>
      <c r="D500" s="7" t="s">
        <v>2445</v>
      </c>
      <c r="E500" s="9">
        <v>45910</v>
      </c>
      <c r="F500" s="9" t="str">
        <f t="shared" si="111"/>
        <v>Valid</v>
      </c>
      <c r="G500" s="10">
        <f t="shared" si="112"/>
        <v>3</v>
      </c>
      <c r="H500" s="10" t="str">
        <f t="shared" si="113"/>
        <v>Valid</v>
      </c>
      <c r="I500" s="6" t="s">
        <v>2446</v>
      </c>
      <c r="J500" s="6" t="s">
        <v>45</v>
      </c>
      <c r="K500" s="6" t="s">
        <v>45</v>
      </c>
      <c r="L500" s="6" t="s">
        <v>46</v>
      </c>
      <c r="M500" s="7" t="str">
        <f t="shared" si="114"/>
        <v>Consumer</v>
      </c>
      <c r="N500" s="6" t="s">
        <v>47</v>
      </c>
      <c r="O500" s="7" t="str">
        <f t="shared" si="115"/>
        <v>North</v>
      </c>
      <c r="P500" s="6" t="s">
        <v>174</v>
      </c>
      <c r="Q500" s="6" t="s">
        <v>175</v>
      </c>
      <c r="R500" s="6" t="s">
        <v>65</v>
      </c>
      <c r="S500" s="7" t="str">
        <f t="shared" si="116"/>
        <v>Furniture</v>
      </c>
      <c r="T500" s="6" t="s">
        <v>96</v>
      </c>
      <c r="U500" s="6" t="s">
        <v>2447</v>
      </c>
      <c r="V500" s="6" t="s">
        <v>68</v>
      </c>
      <c r="W500" s="7" t="str">
        <f t="shared" si="117"/>
        <v>Same Day</v>
      </c>
      <c r="X500" s="6">
        <v>2</v>
      </c>
      <c r="Y500" s="6">
        <v>447.55</v>
      </c>
      <c r="Z500" s="6">
        <v>0.05</v>
      </c>
      <c r="AA500" s="6">
        <f t="shared" si="119"/>
        <v>0.05</v>
      </c>
      <c r="AB500" s="6" t="str">
        <f t="shared" si="120"/>
        <v>Valid</v>
      </c>
      <c r="AC500" s="6">
        <v>850.35</v>
      </c>
      <c r="AD500" s="6" t="str">
        <f>IF(OR(AO500="Cancelled",AM500="Failed"),"Exclude from Completed Sales","Include in Completed Sales")</f>
        <v>Exclude from Completed Sales</v>
      </c>
      <c r="AE500" s="6">
        <f t="shared" si="121"/>
        <v>850.34500000000003</v>
      </c>
      <c r="AF500" s="6" t="str">
        <f t="shared" si="122"/>
        <v>Refunded</v>
      </c>
      <c r="AG500" s="6">
        <v>600.98</v>
      </c>
      <c r="AH500" s="6">
        <v>249.37</v>
      </c>
      <c r="AI500" s="6">
        <f t="shared" si="123"/>
        <v>249.36500000000001</v>
      </c>
      <c r="AJ500" s="11">
        <f t="shared" si="124"/>
        <v>0.29325156260106194</v>
      </c>
      <c r="AK500" s="11" t="str">
        <f t="shared" si="125"/>
        <v>September</v>
      </c>
      <c r="AL500" s="12">
        <f t="shared" si="126"/>
        <v>2025</v>
      </c>
      <c r="AM500" s="6" t="s">
        <v>144</v>
      </c>
      <c r="AN500" s="6" t="s">
        <v>2448</v>
      </c>
      <c r="AO500" s="6" t="str">
        <f t="shared" si="118"/>
        <v>Cancelled</v>
      </c>
    </row>
    <row r="501" spans="1:41">
      <c r="A501" s="6" t="s">
        <v>2449</v>
      </c>
      <c r="B501" s="7" t="s">
        <v>2450</v>
      </c>
      <c r="C501" s="8">
        <v>45648</v>
      </c>
      <c r="D501" s="7" t="s">
        <v>1465</v>
      </c>
      <c r="E501" s="9">
        <v>45652</v>
      </c>
      <c r="F501" s="9" t="str">
        <f t="shared" si="111"/>
        <v>Valid</v>
      </c>
      <c r="G501" s="10">
        <f t="shared" si="112"/>
        <v>4</v>
      </c>
      <c r="H501" s="10" t="str">
        <f t="shared" si="113"/>
        <v>Valid</v>
      </c>
      <c r="I501" s="6" t="s">
        <v>2451</v>
      </c>
      <c r="J501" s="6" t="s">
        <v>168</v>
      </c>
      <c r="K501" s="6" t="s">
        <v>168</v>
      </c>
      <c r="L501" s="6" t="s">
        <v>135</v>
      </c>
      <c r="M501" s="7" t="str">
        <f t="shared" si="114"/>
        <v>Home Office</v>
      </c>
      <c r="N501" s="6" t="s">
        <v>47</v>
      </c>
      <c r="O501" s="7" t="str">
        <f t="shared" si="115"/>
        <v>North</v>
      </c>
      <c r="P501" s="6" t="s">
        <v>194</v>
      </c>
      <c r="Q501" s="6" t="s">
        <v>195</v>
      </c>
      <c r="R501" s="6" t="s">
        <v>65</v>
      </c>
      <c r="S501" s="7" t="str">
        <f t="shared" si="116"/>
        <v>Furniture</v>
      </c>
      <c r="T501" s="6" t="s">
        <v>96</v>
      </c>
      <c r="U501" s="6" t="s">
        <v>2452</v>
      </c>
      <c r="V501" s="6" t="s">
        <v>87</v>
      </c>
      <c r="W501" s="7" t="str">
        <f t="shared" si="117"/>
        <v>Standard Class</v>
      </c>
      <c r="X501" s="6">
        <v>9</v>
      </c>
      <c r="Y501" s="6">
        <v>1110.8699999999999</v>
      </c>
      <c r="Z501" s="6"/>
      <c r="AA501" s="6">
        <f t="shared" si="119"/>
        <v>0</v>
      </c>
      <c r="AB501" s="6" t="str">
        <f t="shared" si="120"/>
        <v>Valid</v>
      </c>
      <c r="AC501" s="6">
        <v>7498.37</v>
      </c>
      <c r="AD501" s="6" t="str">
        <f>IF(OR(AO501="Cancelled",AM501="Failed"),"Exclude from Completed Sales","Include in Completed Sales")</f>
        <v>Exclude from Completed Sales</v>
      </c>
      <c r="AE501" s="6">
        <f t="shared" si="121"/>
        <v>9997.8299999999981</v>
      </c>
      <c r="AF501" s="6" t="str">
        <f t="shared" si="122"/>
        <v/>
      </c>
      <c r="AG501" s="6">
        <v>6059.07</v>
      </c>
      <c r="AH501" s="6">
        <v>1439.3</v>
      </c>
      <c r="AI501" s="6">
        <f t="shared" si="123"/>
        <v>3938.7599999999984</v>
      </c>
      <c r="AJ501" s="11">
        <f t="shared" si="124"/>
        <v>0.3939614896432525</v>
      </c>
      <c r="AK501" s="11" t="str">
        <f t="shared" si="125"/>
        <v>December</v>
      </c>
      <c r="AL501" s="12">
        <f t="shared" si="126"/>
        <v>2024</v>
      </c>
      <c r="AM501" s="6" t="s">
        <v>54</v>
      </c>
      <c r="AN501" s="6" t="s">
        <v>98</v>
      </c>
      <c r="AO501" s="6" t="str">
        <f t="shared" si="118"/>
        <v>Cancelled</v>
      </c>
    </row>
    <row r="502" spans="1:41">
      <c r="A502" s="6" t="s">
        <v>2453</v>
      </c>
      <c r="B502" s="7" t="s">
        <v>1149</v>
      </c>
      <c r="C502" s="8">
        <v>45429</v>
      </c>
      <c r="D502" s="7" t="s">
        <v>2454</v>
      </c>
      <c r="E502" s="9">
        <v>45434</v>
      </c>
      <c r="F502" s="9" t="str">
        <f t="shared" si="111"/>
        <v>Valid</v>
      </c>
      <c r="G502" s="10">
        <f t="shared" si="112"/>
        <v>5</v>
      </c>
      <c r="H502" s="10" t="str">
        <f t="shared" si="113"/>
        <v>Valid</v>
      </c>
      <c r="I502" s="6" t="s">
        <v>2455</v>
      </c>
      <c r="J502" s="6" t="s">
        <v>188</v>
      </c>
      <c r="K502" s="6" t="s">
        <v>188</v>
      </c>
      <c r="L502" s="6" t="s">
        <v>46</v>
      </c>
      <c r="M502" s="7" t="str">
        <f t="shared" si="114"/>
        <v>Consumer</v>
      </c>
      <c r="N502" s="6" t="s">
        <v>82</v>
      </c>
      <c r="O502" s="7" t="str">
        <f t="shared" si="115"/>
        <v>South</v>
      </c>
      <c r="P502" s="6" t="s">
        <v>262</v>
      </c>
      <c r="Q502" s="6" t="s">
        <v>263</v>
      </c>
      <c r="R502" s="6" t="s">
        <v>106</v>
      </c>
      <c r="S502" s="7" t="str">
        <f t="shared" si="116"/>
        <v>Technology</v>
      </c>
      <c r="T502" s="6" t="s">
        <v>243</v>
      </c>
      <c r="U502" s="6" t="s">
        <v>2456</v>
      </c>
      <c r="V502" s="6" t="s">
        <v>68</v>
      </c>
      <c r="W502" s="7" t="str">
        <f t="shared" si="117"/>
        <v>Same Day</v>
      </c>
      <c r="X502" s="6">
        <v>9</v>
      </c>
      <c r="Y502" s="6">
        <v>3795.99</v>
      </c>
      <c r="Z502" s="6" t="s">
        <v>1190</v>
      </c>
      <c r="AA502" s="6" t="str">
        <f t="shared" si="119"/>
        <v>85%</v>
      </c>
      <c r="AB502" s="6" t="str">
        <f t="shared" si="120"/>
        <v>Invalid - Discount Above Limit</v>
      </c>
      <c r="AC502" s="6">
        <v>34163.910000000003</v>
      </c>
      <c r="AD502" s="6" t="str">
        <f>IF(OR(AO502="Cancelled",AM502="Failed"),"Exclude from Completed Sales","Include in Completed Sales")</f>
        <v>Include in Completed Sales</v>
      </c>
      <c r="AE502" s="6">
        <f t="shared" si="121"/>
        <v>5124.5865000000003</v>
      </c>
      <c r="AF502" s="6" t="str">
        <f t="shared" si="122"/>
        <v/>
      </c>
      <c r="AG502" s="6">
        <v>28577.15</v>
      </c>
      <c r="AH502" s="6">
        <v>5586.76</v>
      </c>
      <c r="AI502" s="6">
        <f t="shared" si="123"/>
        <v>-23452.5635</v>
      </c>
      <c r="AJ502" s="11">
        <f t="shared" si="124"/>
        <v>-4.5764791949555343</v>
      </c>
      <c r="AK502" s="11" t="str">
        <f t="shared" si="125"/>
        <v>May</v>
      </c>
      <c r="AL502" s="12">
        <f t="shared" si="126"/>
        <v>2024</v>
      </c>
      <c r="AM502" s="6" t="s">
        <v>54</v>
      </c>
      <c r="AN502" s="6" t="s">
        <v>55</v>
      </c>
      <c r="AO502" s="6" t="str">
        <f t="shared" si="118"/>
        <v>Completed</v>
      </c>
    </row>
    <row r="503" spans="1:41">
      <c r="A503" s="6" t="s">
        <v>2457</v>
      </c>
      <c r="B503" s="7" t="s">
        <v>2458</v>
      </c>
      <c r="C503" s="8">
        <v>45515</v>
      </c>
      <c r="D503" s="7" t="s">
        <v>2459</v>
      </c>
      <c r="E503" s="9">
        <v>45521</v>
      </c>
      <c r="F503" s="9" t="str">
        <f t="shared" si="111"/>
        <v>Valid</v>
      </c>
      <c r="G503" s="10">
        <f t="shared" si="112"/>
        <v>6</v>
      </c>
      <c r="H503" s="10" t="str">
        <f t="shared" si="113"/>
        <v>Valid</v>
      </c>
      <c r="I503" s="6" t="s">
        <v>1257</v>
      </c>
      <c r="J503" s="6" t="s">
        <v>113</v>
      </c>
      <c r="K503" s="6" t="s">
        <v>113</v>
      </c>
      <c r="L503" s="6" t="s">
        <v>46</v>
      </c>
      <c r="M503" s="7" t="str">
        <f t="shared" si="114"/>
        <v>Consumer</v>
      </c>
      <c r="N503" s="6" t="s">
        <v>62</v>
      </c>
      <c r="O503" s="7" t="str">
        <f t="shared" si="115"/>
        <v>East</v>
      </c>
      <c r="P503" s="6" t="s">
        <v>331</v>
      </c>
      <c r="Q503" s="6" t="s">
        <v>332</v>
      </c>
      <c r="R503" s="6" t="s">
        <v>50</v>
      </c>
      <c r="S503" s="7" t="str">
        <f t="shared" si="116"/>
        <v>Office Supplies</v>
      </c>
      <c r="T503" s="6" t="s">
        <v>74</v>
      </c>
      <c r="U503" s="6" t="s">
        <v>2460</v>
      </c>
      <c r="V503" s="6" t="s">
        <v>53</v>
      </c>
      <c r="W503" s="7" t="str">
        <f t="shared" si="117"/>
        <v>Second Class</v>
      </c>
      <c r="X503" s="6">
        <v>6</v>
      </c>
      <c r="Y503" s="6">
        <v>3497.54</v>
      </c>
      <c r="Z503" s="6">
        <v>0.15</v>
      </c>
      <c r="AA503" s="6">
        <f t="shared" si="119"/>
        <v>0.15</v>
      </c>
      <c r="AB503" s="6" t="str">
        <f t="shared" si="120"/>
        <v>Valid</v>
      </c>
      <c r="AC503" s="6">
        <v>17837.45</v>
      </c>
      <c r="AD503" s="6" t="str">
        <f>IF(OR(AO503="Cancelled",AM503="Failed"),"Exclude from Completed Sales","Include in Completed Sales")</f>
        <v>Include in Completed Sales</v>
      </c>
      <c r="AE503" s="6">
        <f t="shared" si="121"/>
        <v>17837.453999999998</v>
      </c>
      <c r="AF503" s="6" t="str">
        <f t="shared" si="122"/>
        <v/>
      </c>
      <c r="AG503" s="6">
        <v>13627.02</v>
      </c>
      <c r="AH503" s="6">
        <v>4210.43</v>
      </c>
      <c r="AI503" s="6">
        <f t="shared" si="123"/>
        <v>4210.4339999999975</v>
      </c>
      <c r="AJ503" s="11">
        <f t="shared" si="124"/>
        <v>0.23604456106796395</v>
      </c>
      <c r="AK503" s="11" t="str">
        <f t="shared" si="125"/>
        <v>August</v>
      </c>
      <c r="AL503" s="12">
        <f t="shared" si="126"/>
        <v>2024</v>
      </c>
      <c r="AM503" s="6" t="s">
        <v>54</v>
      </c>
      <c r="AN503" s="6" t="s">
        <v>55</v>
      </c>
      <c r="AO503" s="6" t="str">
        <f t="shared" si="118"/>
        <v>Completed</v>
      </c>
    </row>
    <row r="504" spans="1:41">
      <c r="A504" s="6" t="s">
        <v>2461</v>
      </c>
      <c r="B504" s="7" t="s">
        <v>2462</v>
      </c>
      <c r="C504" s="8">
        <v>45383</v>
      </c>
      <c r="D504" s="7" t="s">
        <v>2463</v>
      </c>
      <c r="E504" s="9">
        <v>45391</v>
      </c>
      <c r="F504" s="9" t="str">
        <f t="shared" si="111"/>
        <v>Valid</v>
      </c>
      <c r="G504" s="10">
        <f t="shared" si="112"/>
        <v>8</v>
      </c>
      <c r="H504" s="10" t="str">
        <f t="shared" si="113"/>
        <v>Valid</v>
      </c>
      <c r="I504" s="6" t="s">
        <v>2464</v>
      </c>
      <c r="J504" s="6" t="s">
        <v>162</v>
      </c>
      <c r="K504" s="6" t="s">
        <v>162</v>
      </c>
      <c r="L504" s="6" t="s">
        <v>61</v>
      </c>
      <c r="M504" s="7" t="str">
        <f t="shared" si="114"/>
        <v>Small Business</v>
      </c>
      <c r="N504" s="6" t="s">
        <v>62</v>
      </c>
      <c r="O504" s="7" t="str">
        <f t="shared" si="115"/>
        <v>East</v>
      </c>
      <c r="P504" s="6" t="s">
        <v>63</v>
      </c>
      <c r="Q504" s="6" t="s">
        <v>64</v>
      </c>
      <c r="R504" s="6" t="s">
        <v>106</v>
      </c>
      <c r="S504" s="7" t="str">
        <f t="shared" si="116"/>
        <v>Technology</v>
      </c>
      <c r="T504" s="6" t="s">
        <v>114</v>
      </c>
      <c r="U504" s="6" t="s">
        <v>2465</v>
      </c>
      <c r="V504" s="6" t="s">
        <v>53</v>
      </c>
      <c r="W504" s="7" t="str">
        <f t="shared" si="117"/>
        <v>Second Class</v>
      </c>
      <c r="X504" s="6">
        <v>6</v>
      </c>
      <c r="Y504" s="6">
        <v>826.93</v>
      </c>
      <c r="Z504" s="6">
        <v>0.1</v>
      </c>
      <c r="AA504" s="6">
        <f t="shared" si="119"/>
        <v>0.1</v>
      </c>
      <c r="AB504" s="6" t="str">
        <f t="shared" si="120"/>
        <v>Valid</v>
      </c>
      <c r="AC504" s="6">
        <v>4465.42</v>
      </c>
      <c r="AD504" s="6" t="str">
        <f>IF(OR(AO504="Cancelled",AM504="Failed"),"Exclude from Completed Sales","Include in Completed Sales")</f>
        <v>Include in Completed Sales</v>
      </c>
      <c r="AE504" s="6">
        <f t="shared" si="121"/>
        <v>4465.4220000000005</v>
      </c>
      <c r="AF504" s="6" t="str">
        <f t="shared" si="122"/>
        <v/>
      </c>
      <c r="AG504" s="6">
        <v>3377.1</v>
      </c>
      <c r="AH504" s="6">
        <v>1088.32</v>
      </c>
      <c r="AI504" s="6">
        <f t="shared" si="123"/>
        <v>1088.3220000000006</v>
      </c>
      <c r="AJ504" s="11">
        <f t="shared" si="124"/>
        <v>0.24372209390288319</v>
      </c>
      <c r="AK504" s="11" t="str">
        <f t="shared" si="125"/>
        <v>April</v>
      </c>
      <c r="AL504" s="12">
        <f t="shared" si="126"/>
        <v>2024</v>
      </c>
      <c r="AM504" s="6" t="s">
        <v>54</v>
      </c>
      <c r="AN504" s="6" t="s">
        <v>55</v>
      </c>
      <c r="AO504" s="6" t="str">
        <f t="shared" si="118"/>
        <v>Completed</v>
      </c>
    </row>
    <row r="505" spans="1:41">
      <c r="A505" s="6" t="s">
        <v>2466</v>
      </c>
      <c r="B505" s="7" t="s">
        <v>2467</v>
      </c>
      <c r="C505" s="8">
        <v>45563</v>
      </c>
      <c r="D505" s="7" t="s">
        <v>2468</v>
      </c>
      <c r="E505" s="9">
        <v>45570</v>
      </c>
      <c r="F505" s="9" t="str">
        <f t="shared" si="111"/>
        <v>Valid</v>
      </c>
      <c r="G505" s="10">
        <f t="shared" si="112"/>
        <v>7</v>
      </c>
      <c r="H505" s="10" t="str">
        <f t="shared" si="113"/>
        <v>Valid</v>
      </c>
      <c r="I505" s="6" t="s">
        <v>2469</v>
      </c>
      <c r="J505" s="6" t="s">
        <v>182</v>
      </c>
      <c r="K505" s="6" t="s">
        <v>182</v>
      </c>
      <c r="L505" s="6" t="s">
        <v>46</v>
      </c>
      <c r="M505" s="7" t="str">
        <f t="shared" si="114"/>
        <v>Consumer</v>
      </c>
      <c r="N505" s="6" t="s">
        <v>82</v>
      </c>
      <c r="O505" s="7" t="str">
        <f t="shared" si="115"/>
        <v>South</v>
      </c>
      <c r="P505" s="6" t="s">
        <v>359</v>
      </c>
      <c r="Q505" s="6" t="s">
        <v>360</v>
      </c>
      <c r="R505" s="6" t="s">
        <v>106</v>
      </c>
      <c r="S505" s="7" t="str">
        <f t="shared" si="116"/>
        <v>Technology</v>
      </c>
      <c r="T505" s="6" t="s">
        <v>243</v>
      </c>
      <c r="U505" s="6" t="s">
        <v>2470</v>
      </c>
      <c r="V505" s="6" t="s">
        <v>87</v>
      </c>
      <c r="W505" s="7" t="str">
        <f t="shared" si="117"/>
        <v>Standard Class</v>
      </c>
      <c r="X505" s="6">
        <v>7</v>
      </c>
      <c r="Y505" s="6">
        <v>1681.6</v>
      </c>
      <c r="Z505" s="6">
        <v>0.1</v>
      </c>
      <c r="AA505" s="6">
        <f t="shared" si="119"/>
        <v>0.1</v>
      </c>
      <c r="AB505" s="6" t="str">
        <f t="shared" si="120"/>
        <v>Valid</v>
      </c>
      <c r="AC505" s="6">
        <v>10594.08</v>
      </c>
      <c r="AD505" s="6" t="str">
        <f>IF(OR(AO505="Cancelled",AM505="Failed"),"Exclude from Completed Sales","Include in Completed Sales")</f>
        <v>Include in Completed Sales</v>
      </c>
      <c r="AE505" s="6">
        <f t="shared" si="121"/>
        <v>10594.08</v>
      </c>
      <c r="AF505" s="6" t="str">
        <f t="shared" si="122"/>
        <v/>
      </c>
      <c r="AG505" s="6">
        <v>7160.31</v>
      </c>
      <c r="AH505" s="6">
        <v>3433.77</v>
      </c>
      <c r="AI505" s="6">
        <f t="shared" si="123"/>
        <v>3433.7699999999995</v>
      </c>
      <c r="AJ505" s="11">
        <f t="shared" si="124"/>
        <v>0.32412158488514337</v>
      </c>
      <c r="AK505" s="11" t="str">
        <f t="shared" si="125"/>
        <v>September</v>
      </c>
      <c r="AL505" s="12">
        <f t="shared" si="126"/>
        <v>2024</v>
      </c>
      <c r="AM505" s="6" t="s">
        <v>54</v>
      </c>
      <c r="AN505" s="6" t="s">
        <v>55</v>
      </c>
      <c r="AO505" s="6" t="str">
        <f t="shared" si="118"/>
        <v>Completed</v>
      </c>
    </row>
    <row r="506" spans="1:41">
      <c r="A506" s="6" t="s">
        <v>2471</v>
      </c>
      <c r="B506" s="7" t="s">
        <v>2472</v>
      </c>
      <c r="C506" s="8">
        <v>45700</v>
      </c>
      <c r="D506" s="7" t="s">
        <v>2473</v>
      </c>
      <c r="E506" s="9">
        <v>45705</v>
      </c>
      <c r="F506" s="9" t="str">
        <f t="shared" si="111"/>
        <v>Valid</v>
      </c>
      <c r="G506" s="10">
        <f t="shared" si="112"/>
        <v>5</v>
      </c>
      <c r="H506" s="10" t="str">
        <f t="shared" si="113"/>
        <v>Valid</v>
      </c>
      <c r="I506" s="6" t="s">
        <v>2474</v>
      </c>
      <c r="J506" s="6" t="s">
        <v>81</v>
      </c>
      <c r="K506" s="6" t="s">
        <v>81</v>
      </c>
      <c r="L506" s="6" t="s">
        <v>128</v>
      </c>
      <c r="M506" s="7" t="str">
        <f t="shared" si="114"/>
        <v>Corporate</v>
      </c>
      <c r="N506" s="6" t="s">
        <v>93</v>
      </c>
      <c r="O506" s="7" t="str">
        <f t="shared" si="115"/>
        <v>West</v>
      </c>
      <c r="P506" s="6" t="s">
        <v>255</v>
      </c>
      <c r="Q506" s="6" t="s">
        <v>256</v>
      </c>
      <c r="R506" s="6" t="s">
        <v>50</v>
      </c>
      <c r="S506" s="7" t="str">
        <f t="shared" si="116"/>
        <v>Office Supplies</v>
      </c>
      <c r="T506" s="6" t="s">
        <v>74</v>
      </c>
      <c r="U506" s="6" t="s">
        <v>2475</v>
      </c>
      <c r="V506" s="6" t="s">
        <v>87</v>
      </c>
      <c r="W506" s="7" t="str">
        <f t="shared" si="117"/>
        <v>Standard Class</v>
      </c>
      <c r="X506" s="6">
        <v>4</v>
      </c>
      <c r="Y506" s="6">
        <v>4328.12</v>
      </c>
      <c r="Z506" s="6">
        <v>0</v>
      </c>
      <c r="AA506" s="6">
        <f t="shared" si="119"/>
        <v>0</v>
      </c>
      <c r="AB506" s="6" t="str">
        <f t="shared" si="120"/>
        <v>Valid</v>
      </c>
      <c r="AC506" s="6">
        <v>17312.48</v>
      </c>
      <c r="AD506" s="6" t="str">
        <f>IF(OR(AO506="Cancelled",AM506="Failed"),"Exclude from Completed Sales","Include in Completed Sales")</f>
        <v>Include in Completed Sales</v>
      </c>
      <c r="AE506" s="6">
        <f t="shared" si="121"/>
        <v>17312.48</v>
      </c>
      <c r="AF506" s="6" t="str">
        <f t="shared" si="122"/>
        <v/>
      </c>
      <c r="AG506" s="6">
        <v>14424.22</v>
      </c>
      <c r="AH506" s="6">
        <v>2888.26</v>
      </c>
      <c r="AI506" s="6">
        <f t="shared" si="123"/>
        <v>2888.26</v>
      </c>
      <c r="AJ506" s="11">
        <f t="shared" si="124"/>
        <v>0.16683109525613893</v>
      </c>
      <c r="AK506" s="11" t="str">
        <f t="shared" si="125"/>
        <v>February</v>
      </c>
      <c r="AL506" s="12">
        <f t="shared" si="126"/>
        <v>2025</v>
      </c>
      <c r="AM506" s="6" t="s">
        <v>54</v>
      </c>
      <c r="AN506" s="6" t="s">
        <v>55</v>
      </c>
      <c r="AO506" s="6" t="str">
        <f t="shared" si="118"/>
        <v>Completed</v>
      </c>
    </row>
    <row r="507" spans="1:41">
      <c r="A507" s="6" t="s">
        <v>2476</v>
      </c>
      <c r="B507" s="7" t="s">
        <v>2477</v>
      </c>
      <c r="C507" s="8">
        <v>45605</v>
      </c>
      <c r="D507" s="7" t="s">
        <v>1400</v>
      </c>
      <c r="E507" s="9">
        <v>45610</v>
      </c>
      <c r="F507" s="9" t="str">
        <f t="shared" si="111"/>
        <v>Valid</v>
      </c>
      <c r="G507" s="10">
        <f t="shared" si="112"/>
        <v>5</v>
      </c>
      <c r="H507" s="10" t="str">
        <f t="shared" si="113"/>
        <v>Valid</v>
      </c>
      <c r="I507" s="6" t="s">
        <v>2478</v>
      </c>
      <c r="J507" s="6" t="s">
        <v>113</v>
      </c>
      <c r="K507" s="6" t="s">
        <v>113</v>
      </c>
      <c r="L507" s="6" t="s">
        <v>128</v>
      </c>
      <c r="M507" s="7" t="str">
        <f t="shared" si="114"/>
        <v>Corporate</v>
      </c>
      <c r="N507" s="6" t="s">
        <v>93</v>
      </c>
      <c r="O507" s="7" t="str">
        <f t="shared" si="115"/>
        <v>West</v>
      </c>
      <c r="P507" s="6" t="s">
        <v>104</v>
      </c>
      <c r="Q507" s="6" t="s">
        <v>105</v>
      </c>
      <c r="R507" s="6" t="s">
        <v>50</v>
      </c>
      <c r="S507" s="7" t="str">
        <f t="shared" si="116"/>
        <v>Office Supplies</v>
      </c>
      <c r="T507" s="6" t="s">
        <v>74</v>
      </c>
      <c r="U507" s="6" t="s">
        <v>2479</v>
      </c>
      <c r="V507" s="6" t="s">
        <v>76</v>
      </c>
      <c r="W507" s="7" t="str">
        <f t="shared" si="117"/>
        <v>First Class</v>
      </c>
      <c r="X507" s="6">
        <v>9</v>
      </c>
      <c r="Y507" s="6">
        <v>2438.29</v>
      </c>
      <c r="Z507" s="6">
        <v>0.2</v>
      </c>
      <c r="AA507" s="6">
        <f t="shared" si="119"/>
        <v>0.2</v>
      </c>
      <c r="AB507" s="6" t="str">
        <f t="shared" si="120"/>
        <v>Valid</v>
      </c>
      <c r="AC507" s="6">
        <v>17555.689999999999</v>
      </c>
      <c r="AD507" s="6" t="str">
        <f>IF(OR(AO507="Cancelled",AM507="Failed"),"Exclude from Completed Sales","Include in Completed Sales")</f>
        <v>Exclude from Completed Sales</v>
      </c>
      <c r="AE507" s="6">
        <f t="shared" si="121"/>
        <v>17555.688000000002</v>
      </c>
      <c r="AF507" s="6" t="str">
        <f t="shared" si="122"/>
        <v/>
      </c>
      <c r="AG507" s="6">
        <v>13293.2</v>
      </c>
      <c r="AH507" s="6">
        <v>4262.49</v>
      </c>
      <c r="AI507" s="6">
        <f t="shared" si="123"/>
        <v>4262.4880000000012</v>
      </c>
      <c r="AJ507" s="11">
        <f t="shared" si="124"/>
        <v>0.24279811762432785</v>
      </c>
      <c r="AK507" s="11" t="str">
        <f t="shared" si="125"/>
        <v>November</v>
      </c>
      <c r="AL507" s="12">
        <f t="shared" si="126"/>
        <v>2024</v>
      </c>
      <c r="AM507" s="6" t="s">
        <v>54</v>
      </c>
      <c r="AN507" s="6" t="s">
        <v>98</v>
      </c>
      <c r="AO507" s="6" t="str">
        <f t="shared" si="118"/>
        <v>Cancelled</v>
      </c>
    </row>
    <row r="508" spans="1:41">
      <c r="A508" s="6" t="s">
        <v>2480</v>
      </c>
      <c r="B508" s="7" t="s">
        <v>2481</v>
      </c>
      <c r="C508" s="8">
        <v>45641</v>
      </c>
      <c r="D508" s="7" t="s">
        <v>2482</v>
      </c>
      <c r="E508" s="9">
        <v>45641</v>
      </c>
      <c r="F508" s="9" t="str">
        <f t="shared" si="111"/>
        <v>Valid</v>
      </c>
      <c r="G508" s="10">
        <f t="shared" si="112"/>
        <v>0</v>
      </c>
      <c r="H508" s="10" t="str">
        <f t="shared" si="113"/>
        <v>Valid</v>
      </c>
      <c r="I508" s="6" t="s">
        <v>2483</v>
      </c>
      <c r="J508" s="6" t="s">
        <v>182</v>
      </c>
      <c r="K508" s="6" t="s">
        <v>182</v>
      </c>
      <c r="L508" s="6" t="s">
        <v>61</v>
      </c>
      <c r="M508" s="7" t="str">
        <f t="shared" si="114"/>
        <v>Small Business</v>
      </c>
      <c r="N508" s="6" t="s">
        <v>47</v>
      </c>
      <c r="O508" s="7" t="str">
        <f t="shared" si="115"/>
        <v>North</v>
      </c>
      <c r="P508" s="6" t="s">
        <v>174</v>
      </c>
      <c r="Q508" s="6" t="s">
        <v>175</v>
      </c>
      <c r="R508" s="6" t="s">
        <v>65</v>
      </c>
      <c r="S508" s="7" t="str">
        <f t="shared" si="116"/>
        <v>Furniture</v>
      </c>
      <c r="T508" s="6" t="s">
        <v>85</v>
      </c>
      <c r="U508" s="6" t="s">
        <v>2484</v>
      </c>
      <c r="V508" s="6" t="s">
        <v>76</v>
      </c>
      <c r="W508" s="7" t="str">
        <f t="shared" si="117"/>
        <v>First Class</v>
      </c>
      <c r="X508" s="6">
        <v>2</v>
      </c>
      <c r="Y508" s="6">
        <v>669.8</v>
      </c>
      <c r="Z508" s="6">
        <v>0.1</v>
      </c>
      <c r="AA508" s="6">
        <f t="shared" si="119"/>
        <v>0.1</v>
      </c>
      <c r="AB508" s="6" t="str">
        <f t="shared" si="120"/>
        <v>Valid</v>
      </c>
      <c r="AC508" s="6">
        <v>1205.6400000000001</v>
      </c>
      <c r="AD508" s="6" t="str">
        <f>IF(OR(AO508="Cancelled",AM508="Failed"),"Exclude from Completed Sales","Include in Completed Sales")</f>
        <v>Include in Completed Sales</v>
      </c>
      <c r="AE508" s="6">
        <f t="shared" si="121"/>
        <v>1205.6399999999999</v>
      </c>
      <c r="AF508" s="6" t="str">
        <f t="shared" si="122"/>
        <v>Refunded</v>
      </c>
      <c r="AG508" s="6">
        <v>842.07</v>
      </c>
      <c r="AH508" s="6">
        <v>363.57</v>
      </c>
      <c r="AI508" s="6">
        <f t="shared" si="123"/>
        <v>363.56999999999982</v>
      </c>
      <c r="AJ508" s="11">
        <f t="shared" si="124"/>
        <v>0.30155767890912699</v>
      </c>
      <c r="AK508" s="11" t="str">
        <f t="shared" si="125"/>
        <v>December</v>
      </c>
      <c r="AL508" s="12">
        <f t="shared" si="126"/>
        <v>2024</v>
      </c>
      <c r="AM508" s="6" t="s">
        <v>144</v>
      </c>
      <c r="AN508" s="6" t="s">
        <v>145</v>
      </c>
      <c r="AO508" s="6" t="str">
        <f t="shared" si="118"/>
        <v>Returned</v>
      </c>
    </row>
    <row r="509" spans="1:41">
      <c r="A509" s="6" t="s">
        <v>2485</v>
      </c>
      <c r="B509" s="7" t="s">
        <v>2163</v>
      </c>
      <c r="C509" s="8">
        <v>45762</v>
      </c>
      <c r="D509" s="7" t="s">
        <v>2129</v>
      </c>
      <c r="E509" s="9">
        <v>45769</v>
      </c>
      <c r="F509" s="9" t="str">
        <f t="shared" si="111"/>
        <v>Valid</v>
      </c>
      <c r="G509" s="10">
        <f t="shared" si="112"/>
        <v>7</v>
      </c>
      <c r="H509" s="10" t="str">
        <f t="shared" si="113"/>
        <v>Valid</v>
      </c>
      <c r="I509" s="6" t="s">
        <v>2486</v>
      </c>
      <c r="J509" s="6" t="s">
        <v>73</v>
      </c>
      <c r="K509" s="6" t="s">
        <v>73</v>
      </c>
      <c r="L509" s="6" t="s">
        <v>61</v>
      </c>
      <c r="M509" s="7" t="str">
        <f t="shared" si="114"/>
        <v>Small Business</v>
      </c>
      <c r="N509" s="6" t="s">
        <v>47</v>
      </c>
      <c r="O509" s="7" t="str">
        <f t="shared" si="115"/>
        <v>North</v>
      </c>
      <c r="P509" s="6" t="s">
        <v>343</v>
      </c>
      <c r="Q509" s="6" t="s">
        <v>344</v>
      </c>
      <c r="R509" s="6" t="s">
        <v>50</v>
      </c>
      <c r="S509" s="7" t="str">
        <f t="shared" si="116"/>
        <v>Office Supplies</v>
      </c>
      <c r="T509" s="6" t="s">
        <v>218</v>
      </c>
      <c r="U509" s="6" t="s">
        <v>2487</v>
      </c>
      <c r="V509" s="6" t="s">
        <v>68</v>
      </c>
      <c r="W509" s="7" t="str">
        <f t="shared" si="117"/>
        <v>Same Day</v>
      </c>
      <c r="X509" s="6">
        <v>4</v>
      </c>
      <c r="Y509" s="6">
        <v>2990.42</v>
      </c>
      <c r="Z509" s="6">
        <v>0.25</v>
      </c>
      <c r="AA509" s="6">
        <f t="shared" si="119"/>
        <v>0.25</v>
      </c>
      <c r="AB509" s="6" t="str">
        <f t="shared" si="120"/>
        <v>Valid</v>
      </c>
      <c r="AC509" s="6">
        <v>8971.26</v>
      </c>
      <c r="AD509" s="6" t="str">
        <f>IF(OR(AO509="Cancelled",AM509="Failed"),"Exclude from Completed Sales","Include in Completed Sales")</f>
        <v>Include in Completed Sales</v>
      </c>
      <c r="AE509" s="6">
        <f t="shared" si="121"/>
        <v>8971.26</v>
      </c>
      <c r="AF509" s="6" t="str">
        <f t="shared" si="122"/>
        <v/>
      </c>
      <c r="AG509" s="6">
        <v>6814.35</v>
      </c>
      <c r="AH509" s="6">
        <v>2156.91</v>
      </c>
      <c r="AI509" s="6">
        <f t="shared" si="123"/>
        <v>2156.91</v>
      </c>
      <c r="AJ509" s="11">
        <f t="shared" si="124"/>
        <v>0.24042442198754688</v>
      </c>
      <c r="AK509" s="11" t="str">
        <f t="shared" si="125"/>
        <v>April</v>
      </c>
      <c r="AL509" s="12">
        <f t="shared" si="126"/>
        <v>2025</v>
      </c>
      <c r="AM509" s="6" t="s">
        <v>54</v>
      </c>
      <c r="AN509" s="6" t="s">
        <v>55</v>
      </c>
      <c r="AO509" s="6" t="str">
        <f t="shared" si="118"/>
        <v>Completed</v>
      </c>
    </row>
    <row r="510" spans="1:41">
      <c r="A510" s="6" t="s">
        <v>2488</v>
      </c>
      <c r="B510" s="7" t="s">
        <v>2489</v>
      </c>
      <c r="C510" s="8">
        <v>45382</v>
      </c>
      <c r="D510" s="7" t="s">
        <v>1439</v>
      </c>
      <c r="E510" s="9">
        <v>45389</v>
      </c>
      <c r="F510" s="9" t="str">
        <f t="shared" si="111"/>
        <v>Valid</v>
      </c>
      <c r="G510" s="10">
        <f t="shared" si="112"/>
        <v>7</v>
      </c>
      <c r="H510" s="10" t="str">
        <f t="shared" si="113"/>
        <v>Valid</v>
      </c>
      <c r="I510" s="6" t="s">
        <v>2490</v>
      </c>
      <c r="J510" s="6" t="s">
        <v>73</v>
      </c>
      <c r="K510" s="6" t="s">
        <v>73</v>
      </c>
      <c r="L510" s="6" t="s">
        <v>61</v>
      </c>
      <c r="M510" s="7" t="str">
        <f t="shared" si="114"/>
        <v>Small Business</v>
      </c>
      <c r="N510" s="6" t="s">
        <v>47</v>
      </c>
      <c r="O510" s="7" t="str">
        <f t="shared" si="115"/>
        <v>North</v>
      </c>
      <c r="P510" s="6" t="s">
        <v>343</v>
      </c>
      <c r="Q510" s="6" t="s">
        <v>344</v>
      </c>
      <c r="R510" s="6" t="s">
        <v>106</v>
      </c>
      <c r="S510" s="7" t="str">
        <f t="shared" si="116"/>
        <v>Technology</v>
      </c>
      <c r="T510" s="6" t="s">
        <v>402</v>
      </c>
      <c r="U510" s="6" t="s">
        <v>2491</v>
      </c>
      <c r="V510" s="6" t="s">
        <v>53</v>
      </c>
      <c r="W510" s="7" t="str">
        <f t="shared" si="117"/>
        <v>Second Class</v>
      </c>
      <c r="X510" s="6">
        <v>4</v>
      </c>
      <c r="Y510" s="6">
        <v>1831</v>
      </c>
      <c r="Z510" s="6">
        <v>0</v>
      </c>
      <c r="AA510" s="6">
        <f t="shared" si="119"/>
        <v>0</v>
      </c>
      <c r="AB510" s="6" t="str">
        <f t="shared" si="120"/>
        <v>Valid</v>
      </c>
      <c r="AC510" s="6">
        <v>7324</v>
      </c>
      <c r="AD510" s="6" t="str">
        <f>IF(OR(AO510="Cancelled",AM510="Failed"),"Exclude from Completed Sales","Include in Completed Sales")</f>
        <v>Include in Completed Sales</v>
      </c>
      <c r="AE510" s="6">
        <f t="shared" si="121"/>
        <v>7324</v>
      </c>
      <c r="AF510" s="6" t="str">
        <f t="shared" si="122"/>
        <v/>
      </c>
      <c r="AG510" s="6">
        <v>4179.63</v>
      </c>
      <c r="AH510" s="6">
        <v>3144.37</v>
      </c>
      <c r="AI510" s="6">
        <f t="shared" si="123"/>
        <v>3144.37</v>
      </c>
      <c r="AJ510" s="11">
        <f t="shared" si="124"/>
        <v>0.42932413981430911</v>
      </c>
      <c r="AK510" s="11" t="str">
        <f t="shared" si="125"/>
        <v>March</v>
      </c>
      <c r="AL510" s="12">
        <f t="shared" si="126"/>
        <v>2024</v>
      </c>
      <c r="AM510" s="6" t="s">
        <v>54</v>
      </c>
      <c r="AN510" s="6" t="s">
        <v>55</v>
      </c>
      <c r="AO510" s="6" t="str">
        <f t="shared" si="118"/>
        <v>Completed</v>
      </c>
    </row>
    <row r="511" spans="1:41">
      <c r="A511" s="6" t="s">
        <v>2492</v>
      </c>
      <c r="B511" s="7" t="s">
        <v>2493</v>
      </c>
      <c r="C511" s="8">
        <v>45789</v>
      </c>
      <c r="D511" s="7" t="s">
        <v>2494</v>
      </c>
      <c r="E511" s="9">
        <v>45791</v>
      </c>
      <c r="F511" s="9" t="str">
        <f t="shared" si="111"/>
        <v>Valid</v>
      </c>
      <c r="G511" s="10">
        <f t="shared" si="112"/>
        <v>2</v>
      </c>
      <c r="H511" s="10" t="str">
        <f t="shared" si="113"/>
        <v>Valid</v>
      </c>
      <c r="I511" s="6" t="s">
        <v>2495</v>
      </c>
      <c r="J511" s="6" t="s">
        <v>113</v>
      </c>
      <c r="K511" s="6" t="s">
        <v>113</v>
      </c>
      <c r="L511" s="6" t="s">
        <v>46</v>
      </c>
      <c r="M511" s="7" t="str">
        <f t="shared" si="114"/>
        <v>Consumer</v>
      </c>
      <c r="N511" s="6" t="s">
        <v>93</v>
      </c>
      <c r="O511" s="7" t="str">
        <f t="shared" si="115"/>
        <v>West</v>
      </c>
      <c r="P511" s="6" t="s">
        <v>255</v>
      </c>
      <c r="Q511" s="6" t="s">
        <v>256</v>
      </c>
      <c r="R511" s="6" t="s">
        <v>106</v>
      </c>
      <c r="S511" s="7" t="str">
        <f t="shared" si="116"/>
        <v>Technology</v>
      </c>
      <c r="T511" s="6" t="s">
        <v>402</v>
      </c>
      <c r="U511" s="6" t="s">
        <v>2496</v>
      </c>
      <c r="V511" s="6" t="s">
        <v>68</v>
      </c>
      <c r="W511" s="7" t="str">
        <f t="shared" si="117"/>
        <v>Same Day</v>
      </c>
      <c r="X511" s="6">
        <v>8</v>
      </c>
      <c r="Y511" s="6">
        <v>3631.44</v>
      </c>
      <c r="Z511" s="6">
        <v>0.2</v>
      </c>
      <c r="AA511" s="6">
        <f t="shared" si="119"/>
        <v>0.2</v>
      </c>
      <c r="AB511" s="6" t="str">
        <f t="shared" si="120"/>
        <v>Valid</v>
      </c>
      <c r="AC511" s="6">
        <v>23241.22</v>
      </c>
      <c r="AD511" s="6" t="str">
        <f>IF(OR(AO511="Cancelled",AM511="Failed"),"Exclude from Completed Sales","Include in Completed Sales")</f>
        <v>Include in Completed Sales</v>
      </c>
      <c r="AE511" s="6">
        <f t="shared" si="121"/>
        <v>23241.216</v>
      </c>
      <c r="AF511" s="6" t="str">
        <f t="shared" si="122"/>
        <v/>
      </c>
      <c r="AG511" s="6">
        <v>17220.900000000001</v>
      </c>
      <c r="AH511" s="6">
        <v>6020.32</v>
      </c>
      <c r="AI511" s="6">
        <f t="shared" si="123"/>
        <v>6020.3159999999989</v>
      </c>
      <c r="AJ511" s="11">
        <f t="shared" si="124"/>
        <v>0.25903618812371948</v>
      </c>
      <c r="AK511" s="11" t="str">
        <f t="shared" si="125"/>
        <v>May</v>
      </c>
      <c r="AL511" s="12">
        <f t="shared" si="126"/>
        <v>2025</v>
      </c>
      <c r="AM511" s="6" t="s">
        <v>54</v>
      </c>
      <c r="AN511" s="6" t="s">
        <v>55</v>
      </c>
      <c r="AO511" s="6" t="str">
        <f t="shared" si="118"/>
        <v>Completed</v>
      </c>
    </row>
    <row r="512" spans="1:41">
      <c r="A512" s="6" t="s">
        <v>2497</v>
      </c>
      <c r="B512" s="7" t="s">
        <v>664</v>
      </c>
      <c r="C512" s="8">
        <v>45583</v>
      </c>
      <c r="D512" s="7" t="s">
        <v>2498</v>
      </c>
      <c r="E512" s="9">
        <v>45586</v>
      </c>
      <c r="F512" s="9" t="str">
        <f t="shared" si="111"/>
        <v>Valid</v>
      </c>
      <c r="G512" s="10">
        <f t="shared" si="112"/>
        <v>3</v>
      </c>
      <c r="H512" s="10" t="str">
        <f t="shared" si="113"/>
        <v>Valid</v>
      </c>
      <c r="I512" s="6" t="s">
        <v>2499</v>
      </c>
      <c r="J512" s="6" t="s">
        <v>2500</v>
      </c>
      <c r="K512" s="6" t="s">
        <v>182</v>
      </c>
      <c r="L512" s="6" t="s">
        <v>46</v>
      </c>
      <c r="M512" s="7" t="str">
        <f t="shared" si="114"/>
        <v>Consumer</v>
      </c>
      <c r="N512" s="6" t="s">
        <v>82</v>
      </c>
      <c r="O512" s="7" t="str">
        <f t="shared" si="115"/>
        <v>South</v>
      </c>
      <c r="P512" s="6" t="s">
        <v>249</v>
      </c>
      <c r="Q512" s="6" t="s">
        <v>250</v>
      </c>
      <c r="R512" s="6" t="s">
        <v>50</v>
      </c>
      <c r="S512" s="7" t="str">
        <f t="shared" si="116"/>
        <v>Office Supplies</v>
      </c>
      <c r="T512" s="6" t="s">
        <v>176</v>
      </c>
      <c r="U512" s="6" t="s">
        <v>2501</v>
      </c>
      <c r="V512" s="6" t="s">
        <v>53</v>
      </c>
      <c r="W512" s="7" t="str">
        <f t="shared" si="117"/>
        <v>Second Class</v>
      </c>
      <c r="X512" s="6">
        <v>2</v>
      </c>
      <c r="Y512" s="6">
        <v>4238.51</v>
      </c>
      <c r="Z512" s="6">
        <v>0</v>
      </c>
      <c r="AA512" s="6">
        <f t="shared" si="119"/>
        <v>0</v>
      </c>
      <c r="AB512" s="6" t="str">
        <f t="shared" si="120"/>
        <v>Valid</v>
      </c>
      <c r="AC512" s="6">
        <v>8477.02</v>
      </c>
      <c r="AD512" s="6" t="str">
        <f>IF(OR(AO512="Cancelled",AM512="Failed"),"Exclude from Completed Sales","Include in Completed Sales")</f>
        <v>Include in Completed Sales</v>
      </c>
      <c r="AE512" s="6">
        <f t="shared" si="121"/>
        <v>8477.02</v>
      </c>
      <c r="AF512" s="6" t="str">
        <f t="shared" si="122"/>
        <v/>
      </c>
      <c r="AG512" s="6">
        <v>6884.96</v>
      </c>
      <c r="AH512" s="6">
        <v>1592.06</v>
      </c>
      <c r="AI512" s="6">
        <f t="shared" si="123"/>
        <v>1592.0600000000004</v>
      </c>
      <c r="AJ512" s="11">
        <f t="shared" si="124"/>
        <v>0.18780892341884298</v>
      </c>
      <c r="AK512" s="11" t="str">
        <f t="shared" si="125"/>
        <v>October</v>
      </c>
      <c r="AL512" s="12">
        <f t="shared" si="126"/>
        <v>2024</v>
      </c>
      <c r="AM512" s="6" t="s">
        <v>54</v>
      </c>
      <c r="AN512" s="6" t="s">
        <v>55</v>
      </c>
      <c r="AO512" s="6" t="str">
        <f t="shared" si="118"/>
        <v>Completed</v>
      </c>
    </row>
    <row r="513" spans="1:41">
      <c r="A513" s="6" t="s">
        <v>2502</v>
      </c>
      <c r="B513" s="7" t="s">
        <v>2503</v>
      </c>
      <c r="C513" s="8">
        <v>45588</v>
      </c>
      <c r="D513" s="7" t="s">
        <v>2504</v>
      </c>
      <c r="E513" s="9">
        <v>45591</v>
      </c>
      <c r="F513" s="9" t="str">
        <f t="shared" si="111"/>
        <v>Valid</v>
      </c>
      <c r="G513" s="10">
        <f t="shared" si="112"/>
        <v>3</v>
      </c>
      <c r="H513" s="10" t="str">
        <f t="shared" si="113"/>
        <v>Valid</v>
      </c>
      <c r="I513" s="6" t="s">
        <v>2505</v>
      </c>
      <c r="J513" s="6" t="s">
        <v>188</v>
      </c>
      <c r="K513" s="6" t="s">
        <v>188</v>
      </c>
      <c r="L513" s="6" t="s">
        <v>46</v>
      </c>
      <c r="M513" s="7" t="str">
        <f t="shared" si="114"/>
        <v>Consumer</v>
      </c>
      <c r="N513" s="6" t="s">
        <v>93</v>
      </c>
      <c r="O513" s="7" t="str">
        <f t="shared" si="115"/>
        <v>West</v>
      </c>
      <c r="P513" s="6" t="s">
        <v>104</v>
      </c>
      <c r="Q513" s="6" t="s">
        <v>105</v>
      </c>
      <c r="R513" s="6" t="s">
        <v>65</v>
      </c>
      <c r="S513" s="7" t="str">
        <f t="shared" si="116"/>
        <v>Furniture</v>
      </c>
      <c r="T513" s="6" t="s">
        <v>224</v>
      </c>
      <c r="U513" s="6" t="s">
        <v>2506</v>
      </c>
      <c r="V513" s="6" t="s">
        <v>87</v>
      </c>
      <c r="W513" s="7" t="str">
        <f t="shared" si="117"/>
        <v>Standard Class</v>
      </c>
      <c r="X513" s="6">
        <v>9</v>
      </c>
      <c r="Y513" s="6">
        <v>544.27</v>
      </c>
      <c r="Z513" s="6">
        <v>0.25</v>
      </c>
      <c r="AA513" s="6">
        <f t="shared" si="119"/>
        <v>0.25</v>
      </c>
      <c r="AB513" s="6" t="str">
        <f t="shared" si="120"/>
        <v>Valid</v>
      </c>
      <c r="AC513" s="6">
        <v>3673.82</v>
      </c>
      <c r="AD513" s="6" t="str">
        <f>IF(OR(AO513="Cancelled",AM513="Failed"),"Exclude from Completed Sales","Include in Completed Sales")</f>
        <v>Include in Completed Sales</v>
      </c>
      <c r="AE513" s="6">
        <f t="shared" si="121"/>
        <v>3673.8225000000002</v>
      </c>
      <c r="AF513" s="6" t="str">
        <f t="shared" si="122"/>
        <v/>
      </c>
      <c r="AG513" s="6">
        <v>2088.15</v>
      </c>
      <c r="AH513" s="6">
        <v>1585.67</v>
      </c>
      <c r="AI513" s="6">
        <f t="shared" si="123"/>
        <v>1585.6725000000001</v>
      </c>
      <c r="AJ513" s="11">
        <f t="shared" si="124"/>
        <v>0.43161380278987349</v>
      </c>
      <c r="AK513" s="11" t="str">
        <f t="shared" si="125"/>
        <v>October</v>
      </c>
      <c r="AL513" s="12">
        <f t="shared" si="126"/>
        <v>2024</v>
      </c>
      <c r="AM513" s="6" t="s">
        <v>54</v>
      </c>
      <c r="AN513" s="6" t="s">
        <v>55</v>
      </c>
      <c r="AO513" s="6" t="str">
        <f t="shared" si="118"/>
        <v>Completed</v>
      </c>
    </row>
    <row r="514" spans="1:41">
      <c r="A514" s="6" t="s">
        <v>2507</v>
      </c>
      <c r="B514" s="7" t="s">
        <v>806</v>
      </c>
      <c r="C514" s="8">
        <v>45718</v>
      </c>
      <c r="D514" s="7" t="s">
        <v>2508</v>
      </c>
      <c r="E514" s="9">
        <v>45719</v>
      </c>
      <c r="F514" s="9" t="str">
        <f t="shared" ref="F514:F577" si="127">IF(E514&lt;C514,"Invalid Shipping Record","Valid")</f>
        <v>Valid</v>
      </c>
      <c r="G514" s="10">
        <f t="shared" ref="G514:G577" si="128">E514-C514</f>
        <v>1</v>
      </c>
      <c r="H514" s="10" t="str">
        <f t="shared" ref="H514:H577" si="129">IF(OR(C514="",E514=""),"Missing Date",IF(OR(NOT(ISNUMBER(C514)),NOT(ISNUMBER(E514))),"Invalid Date",IF(E514&lt;C514,"Invalid Shipping Record","Valid")))</f>
        <v>Valid</v>
      </c>
      <c r="I514" s="6" t="s">
        <v>1920</v>
      </c>
      <c r="J514" s="6" t="s">
        <v>73</v>
      </c>
      <c r="K514" s="6" t="s">
        <v>73</v>
      </c>
      <c r="L514" s="6" t="s">
        <v>128</v>
      </c>
      <c r="M514" s="7" t="str">
        <f t="shared" ref="M514:M577" si="130">PROPER(TRIM(L514))</f>
        <v>Corporate</v>
      </c>
      <c r="N514" s="6" t="s">
        <v>82</v>
      </c>
      <c r="O514" s="7" t="str">
        <f t="shared" ref="O514:O577" si="131">IF(TRIM(N514)="","Unknown",PROPER(TRIM(N514)))</f>
        <v>South</v>
      </c>
      <c r="P514" s="6" t="s">
        <v>262</v>
      </c>
      <c r="Q514" s="6" t="s">
        <v>263</v>
      </c>
      <c r="R514" s="6" t="s">
        <v>50</v>
      </c>
      <c r="S514" s="7" t="str">
        <f t="shared" ref="S514:S577" si="132">PROPER(TRIM(R514))</f>
        <v>Office Supplies</v>
      </c>
      <c r="T514" s="6" t="s">
        <v>129</v>
      </c>
      <c r="U514" s="6" t="s">
        <v>2509</v>
      </c>
      <c r="V514" s="6" t="s">
        <v>53</v>
      </c>
      <c r="W514" s="7" t="str">
        <f t="shared" ref="W514:W577" si="133">IF(TRIM(V514)="","Unknown",PROPER(TRIM(V514)))</f>
        <v>Second Class</v>
      </c>
      <c r="X514" s="6">
        <v>2</v>
      </c>
      <c r="Y514" s="6">
        <v>4031.45</v>
      </c>
      <c r="Z514" s="6">
        <v>0.25</v>
      </c>
      <c r="AA514" s="6">
        <f t="shared" si="119"/>
        <v>0.25</v>
      </c>
      <c r="AB514" s="6" t="str">
        <f t="shared" si="120"/>
        <v>Valid</v>
      </c>
      <c r="AC514" s="6">
        <v>6047.17</v>
      </c>
      <c r="AD514" s="6" t="str">
        <f>IF(OR(AO514="Cancelled",AM514="Failed"),"Exclude from Completed Sales","Include in Completed Sales")</f>
        <v>Include in Completed Sales</v>
      </c>
      <c r="AE514" s="6">
        <f t="shared" si="121"/>
        <v>6047.1749999999993</v>
      </c>
      <c r="AF514" s="6" t="str">
        <f t="shared" si="122"/>
        <v/>
      </c>
      <c r="AG514" s="6">
        <v>3368.79</v>
      </c>
      <c r="AH514" s="6">
        <v>2678.38</v>
      </c>
      <c r="AI514" s="6">
        <f t="shared" si="123"/>
        <v>2678.3849999999993</v>
      </c>
      <c r="AJ514" s="11">
        <f t="shared" si="124"/>
        <v>0.44291508018206843</v>
      </c>
      <c r="AK514" s="11" t="str">
        <f t="shared" si="125"/>
        <v>March</v>
      </c>
      <c r="AL514" s="12">
        <f t="shared" si="126"/>
        <v>2025</v>
      </c>
      <c r="AM514" s="6" t="s">
        <v>54</v>
      </c>
      <c r="AN514" s="6" t="s">
        <v>55</v>
      </c>
      <c r="AO514" s="6" t="str">
        <f t="shared" ref="AO514:AO577" si="134">PROPER(TRIM(AN514))</f>
        <v>Completed</v>
      </c>
    </row>
    <row r="515" spans="1:41">
      <c r="A515" s="6" t="s">
        <v>2510</v>
      </c>
      <c r="B515" s="7" t="s">
        <v>1017</v>
      </c>
      <c r="C515" s="8">
        <v>45835</v>
      </c>
      <c r="D515" s="7" t="s">
        <v>2417</v>
      </c>
      <c r="E515" s="9">
        <v>45840</v>
      </c>
      <c r="F515" s="9" t="str">
        <f t="shared" si="127"/>
        <v>Valid</v>
      </c>
      <c r="G515" s="10">
        <f t="shared" si="128"/>
        <v>5</v>
      </c>
      <c r="H515" s="10" t="str">
        <f t="shared" si="129"/>
        <v>Valid</v>
      </c>
      <c r="I515" s="6" t="s">
        <v>2511</v>
      </c>
      <c r="J515" s="6" t="s">
        <v>182</v>
      </c>
      <c r="K515" s="6" t="s">
        <v>182</v>
      </c>
      <c r="L515" s="6" t="s">
        <v>128</v>
      </c>
      <c r="M515" s="7" t="str">
        <f t="shared" si="130"/>
        <v>Corporate</v>
      </c>
      <c r="N515" s="6" t="s">
        <v>82</v>
      </c>
      <c r="O515" s="7" t="str">
        <f t="shared" si="131"/>
        <v>South</v>
      </c>
      <c r="P515" s="6" t="s">
        <v>262</v>
      </c>
      <c r="Q515" s="6" t="s">
        <v>263</v>
      </c>
      <c r="R515" s="6" t="s">
        <v>106</v>
      </c>
      <c r="S515" s="7" t="str">
        <f t="shared" si="132"/>
        <v>Technology</v>
      </c>
      <c r="T515" s="6" t="s">
        <v>107</v>
      </c>
      <c r="U515" s="6" t="s">
        <v>2512</v>
      </c>
      <c r="V515" s="6" t="s">
        <v>76</v>
      </c>
      <c r="W515" s="7" t="str">
        <f t="shared" si="133"/>
        <v>First Class</v>
      </c>
      <c r="X515" s="6">
        <v>6</v>
      </c>
      <c r="Y515" s="6">
        <v>1099.49</v>
      </c>
      <c r="Z515" s="6">
        <v>0.1</v>
      </c>
      <c r="AA515" s="6">
        <f t="shared" ref="AA515:AA578" si="135">IF(Z515="",0,Z515)</f>
        <v>0.1</v>
      </c>
      <c r="AB515" s="6" t="str">
        <f t="shared" ref="AB515:AB578" si="136">IF(AA515&lt;0,"Invalid - Negative Discount",IF(AA515&gt;1,"Invalid - Discount Above Limit","Valid"))</f>
        <v>Valid</v>
      </c>
      <c r="AC515" s="6">
        <v>6212.38</v>
      </c>
      <c r="AD515" s="6" t="str">
        <f>IF(OR(AO515="Cancelled",AM515="Failed"),"Exclude from Completed Sales","Include in Completed Sales")</f>
        <v>Include in Completed Sales</v>
      </c>
      <c r="AE515" s="6">
        <f t="shared" ref="AE515:AE578" si="137">X515*Y515*(1-AA515)</f>
        <v>5937.246000000001</v>
      </c>
      <c r="AF515" s="6" t="str">
        <f t="shared" ref="AF515:AF578" si="138">IF(TRIM(AM515)="Refunded","Refunded","")</f>
        <v/>
      </c>
      <c r="AG515" s="6">
        <v>4088.46</v>
      </c>
      <c r="AH515" s="6">
        <v>1848.79</v>
      </c>
      <c r="AI515" s="6">
        <f t="shared" ref="AI515:AI578" si="139">AE515-AG515</f>
        <v>1848.786000000001</v>
      </c>
      <c r="AJ515" s="11">
        <f t="shared" ref="AJ515:AJ578" si="140">IF(AE515=0,0,AI515/AE515)</f>
        <v>0.31138780505304997</v>
      </c>
      <c r="AK515" s="11" t="str">
        <f t="shared" ref="AK515:AK578" si="141">TEXT(C515,"mmmm")</f>
        <v>June</v>
      </c>
      <c r="AL515" s="12">
        <f t="shared" ref="AL515:AL578" si="142">YEAR(C515)</f>
        <v>2025</v>
      </c>
      <c r="AM515" s="6" t="s">
        <v>54</v>
      </c>
      <c r="AN515" s="6" t="s">
        <v>55</v>
      </c>
      <c r="AO515" s="6" t="str">
        <f t="shared" si="134"/>
        <v>Completed</v>
      </c>
    </row>
    <row r="516" spans="1:41">
      <c r="A516" s="6" t="s">
        <v>2513</v>
      </c>
      <c r="B516" s="7" t="s">
        <v>2514</v>
      </c>
      <c r="C516" s="8">
        <v>45614</v>
      </c>
      <c r="D516" s="7" t="s">
        <v>2427</v>
      </c>
      <c r="E516" s="9">
        <v>45618</v>
      </c>
      <c r="F516" s="9" t="str">
        <f t="shared" si="127"/>
        <v>Valid</v>
      </c>
      <c r="G516" s="10">
        <f t="shared" si="128"/>
        <v>4</v>
      </c>
      <c r="H516" s="10" t="str">
        <f t="shared" si="129"/>
        <v>Valid</v>
      </c>
      <c r="I516" s="6" t="s">
        <v>2515</v>
      </c>
      <c r="J516" s="6" t="s">
        <v>45</v>
      </c>
      <c r="K516" s="6" t="s">
        <v>45</v>
      </c>
      <c r="L516" s="6" t="s">
        <v>135</v>
      </c>
      <c r="M516" s="7" t="str">
        <f t="shared" si="130"/>
        <v>Home Office</v>
      </c>
      <c r="N516" s="6" t="s">
        <v>82</v>
      </c>
      <c r="O516" s="7" t="str">
        <f t="shared" si="131"/>
        <v>South</v>
      </c>
      <c r="P516" s="6" t="s">
        <v>262</v>
      </c>
      <c r="Q516" s="6" t="s">
        <v>263</v>
      </c>
      <c r="R516" s="6" t="s">
        <v>106</v>
      </c>
      <c r="S516" s="7" t="str">
        <f t="shared" si="132"/>
        <v>Technology</v>
      </c>
      <c r="T516" s="6" t="s">
        <v>107</v>
      </c>
      <c r="U516" s="6" t="s">
        <v>2516</v>
      </c>
      <c r="V516" s="6" t="s">
        <v>87</v>
      </c>
      <c r="W516" s="7" t="str">
        <f t="shared" si="133"/>
        <v>Standard Class</v>
      </c>
      <c r="X516" s="6">
        <v>6</v>
      </c>
      <c r="Y516" s="6">
        <v>3872.94</v>
      </c>
      <c r="Z516" s="6">
        <v>0.1</v>
      </c>
      <c r="AA516" s="6">
        <f t="shared" si="135"/>
        <v>0.1</v>
      </c>
      <c r="AB516" s="6" t="str">
        <f t="shared" si="136"/>
        <v>Valid</v>
      </c>
      <c r="AC516" s="6">
        <v>20913.88</v>
      </c>
      <c r="AD516" s="6" t="str">
        <f>IF(OR(AO516="Cancelled",AM516="Failed"),"Exclude from Completed Sales","Include in Completed Sales")</f>
        <v>Include in Completed Sales</v>
      </c>
      <c r="AE516" s="6">
        <f t="shared" si="137"/>
        <v>20913.876</v>
      </c>
      <c r="AF516" s="6" t="str">
        <f t="shared" si="138"/>
        <v/>
      </c>
      <c r="AG516" s="6">
        <v>11684.68</v>
      </c>
      <c r="AH516" s="6">
        <v>9229.2000000000007</v>
      </c>
      <c r="AI516" s="6">
        <f t="shared" si="139"/>
        <v>9229.1959999999999</v>
      </c>
      <c r="AJ516" s="11">
        <f t="shared" si="140"/>
        <v>0.44129533903710627</v>
      </c>
      <c r="AK516" s="11" t="str">
        <f t="shared" si="141"/>
        <v>November</v>
      </c>
      <c r="AL516" s="12">
        <f t="shared" si="142"/>
        <v>2024</v>
      </c>
      <c r="AM516" s="6" t="s">
        <v>54</v>
      </c>
      <c r="AN516" s="6" t="s">
        <v>55</v>
      </c>
      <c r="AO516" s="6" t="str">
        <f t="shared" si="134"/>
        <v>Completed</v>
      </c>
    </row>
    <row r="517" spans="1:41">
      <c r="A517" s="6" t="s">
        <v>2517</v>
      </c>
      <c r="B517" s="7" t="s">
        <v>2162</v>
      </c>
      <c r="C517" s="8">
        <v>45758</v>
      </c>
      <c r="D517" s="7" t="s">
        <v>2518</v>
      </c>
      <c r="E517" s="9">
        <v>45758</v>
      </c>
      <c r="F517" s="9" t="str">
        <f t="shared" si="127"/>
        <v>Valid</v>
      </c>
      <c r="G517" s="10">
        <f t="shared" si="128"/>
        <v>0</v>
      </c>
      <c r="H517" s="10" t="str">
        <f t="shared" si="129"/>
        <v>Valid</v>
      </c>
      <c r="I517" s="6" t="s">
        <v>2519</v>
      </c>
      <c r="J517" s="6" t="s">
        <v>168</v>
      </c>
      <c r="K517" s="6" t="s">
        <v>168</v>
      </c>
      <c r="L517" s="6" t="s">
        <v>128</v>
      </c>
      <c r="M517" s="7" t="str">
        <f t="shared" si="130"/>
        <v>Corporate</v>
      </c>
      <c r="N517" s="6" t="s">
        <v>47</v>
      </c>
      <c r="O517" s="7" t="str">
        <f t="shared" si="131"/>
        <v>North</v>
      </c>
      <c r="P517" s="6" t="s">
        <v>526</v>
      </c>
      <c r="Q517" s="6" t="s">
        <v>527</v>
      </c>
      <c r="R517" s="6" t="s">
        <v>50</v>
      </c>
      <c r="S517" s="7" t="str">
        <f t="shared" si="132"/>
        <v>Office Supplies</v>
      </c>
      <c r="T517" s="6" t="s">
        <v>51</v>
      </c>
      <c r="U517" s="6" t="s">
        <v>2520</v>
      </c>
      <c r="V517" s="6" t="s">
        <v>87</v>
      </c>
      <c r="W517" s="7" t="str">
        <f t="shared" si="133"/>
        <v>Standard Class</v>
      </c>
      <c r="X517" s="6">
        <v>1</v>
      </c>
      <c r="Y517" s="6">
        <v>4458.49</v>
      </c>
      <c r="Z517" s="6">
        <v>-7.0000000000000007E-2</v>
      </c>
      <c r="AA517" s="6">
        <f t="shared" si="135"/>
        <v>-7.0000000000000007E-2</v>
      </c>
      <c r="AB517" s="6" t="str">
        <f t="shared" si="136"/>
        <v>Invalid - Negative Discount</v>
      </c>
      <c r="AC517" s="6">
        <v>3566.79</v>
      </c>
      <c r="AD517" s="6" t="str">
        <f>IF(OR(AO517="Cancelled",AM517="Failed"),"Exclude from Completed Sales","Include in Completed Sales")</f>
        <v>Include in Completed Sales</v>
      </c>
      <c r="AE517" s="6">
        <f t="shared" si="137"/>
        <v>4770.5843000000004</v>
      </c>
      <c r="AF517" s="6" t="str">
        <f t="shared" si="138"/>
        <v/>
      </c>
      <c r="AG517" s="6">
        <v>2083.41</v>
      </c>
      <c r="AH517" s="6">
        <v>1483.38</v>
      </c>
      <c r="AI517" s="6">
        <f t="shared" si="139"/>
        <v>2687.1743000000006</v>
      </c>
      <c r="AJ517" s="11">
        <f t="shared" si="140"/>
        <v>0.56327991101635089</v>
      </c>
      <c r="AK517" s="11" t="str">
        <f t="shared" si="141"/>
        <v>April</v>
      </c>
      <c r="AL517" s="12">
        <f t="shared" si="142"/>
        <v>2025</v>
      </c>
      <c r="AM517" s="6" t="s">
        <v>54</v>
      </c>
      <c r="AN517" s="6" t="s">
        <v>55</v>
      </c>
      <c r="AO517" s="6" t="str">
        <f t="shared" si="134"/>
        <v>Completed</v>
      </c>
    </row>
    <row r="518" spans="1:41">
      <c r="A518" s="6" t="s">
        <v>2521</v>
      </c>
      <c r="B518" s="7" t="s">
        <v>2522</v>
      </c>
      <c r="C518" s="8">
        <v>45563</v>
      </c>
      <c r="D518" s="7" t="s">
        <v>2523</v>
      </c>
      <c r="E518" s="9">
        <v>45569</v>
      </c>
      <c r="F518" s="9" t="str">
        <f t="shared" si="127"/>
        <v>Valid</v>
      </c>
      <c r="G518" s="10">
        <f t="shared" si="128"/>
        <v>6</v>
      </c>
      <c r="H518" s="10" t="str">
        <f t="shared" si="129"/>
        <v>Valid</v>
      </c>
      <c r="I518" s="6" t="s">
        <v>2524</v>
      </c>
      <c r="J518" s="6" t="s">
        <v>386</v>
      </c>
      <c r="K518" s="6" t="s">
        <v>386</v>
      </c>
      <c r="L518" s="6" t="s">
        <v>135</v>
      </c>
      <c r="M518" s="7" t="str">
        <f t="shared" si="130"/>
        <v>Home Office</v>
      </c>
      <c r="N518" s="6" t="s">
        <v>47</v>
      </c>
      <c r="O518" s="7" t="str">
        <f t="shared" si="131"/>
        <v>North</v>
      </c>
      <c r="P518" s="6" t="s">
        <v>526</v>
      </c>
      <c r="Q518" s="6" t="s">
        <v>527</v>
      </c>
      <c r="R518" s="6" t="s">
        <v>106</v>
      </c>
      <c r="S518" s="7" t="str">
        <f t="shared" si="132"/>
        <v>Technology</v>
      </c>
      <c r="T518" s="6" t="s">
        <v>114</v>
      </c>
      <c r="U518" s="6" t="s">
        <v>2525</v>
      </c>
      <c r="V518" s="6" t="s">
        <v>87</v>
      </c>
      <c r="W518" s="7" t="str">
        <f t="shared" si="133"/>
        <v>Standard Class</v>
      </c>
      <c r="X518" s="6">
        <v>1</v>
      </c>
      <c r="Y518" s="6">
        <v>2233.1799999999998</v>
      </c>
      <c r="Z518" s="6">
        <v>0</v>
      </c>
      <c r="AA518" s="6">
        <f t="shared" si="135"/>
        <v>0</v>
      </c>
      <c r="AB518" s="6" t="str">
        <f t="shared" si="136"/>
        <v>Valid</v>
      </c>
      <c r="AC518" s="6">
        <v>2233.1799999999998</v>
      </c>
      <c r="AD518" s="6" t="str">
        <f>IF(OR(AO518="Cancelled",AM518="Failed"),"Exclude from Completed Sales","Include in Completed Sales")</f>
        <v>Exclude from Completed Sales</v>
      </c>
      <c r="AE518" s="6">
        <f t="shared" si="137"/>
        <v>2233.1799999999998</v>
      </c>
      <c r="AF518" s="6" t="str">
        <f t="shared" si="138"/>
        <v/>
      </c>
      <c r="AG518" s="6">
        <v>1585.82</v>
      </c>
      <c r="AH518" s="6">
        <v>647.36</v>
      </c>
      <c r="AI518" s="6">
        <f t="shared" si="139"/>
        <v>647.3599999999999</v>
      </c>
      <c r="AJ518" s="11">
        <f t="shared" si="140"/>
        <v>0.28988258895386843</v>
      </c>
      <c r="AK518" s="11" t="str">
        <f t="shared" si="141"/>
        <v>September</v>
      </c>
      <c r="AL518" s="12">
        <f t="shared" si="142"/>
        <v>2024</v>
      </c>
      <c r="AM518" s="6" t="s">
        <v>220</v>
      </c>
      <c r="AN518" s="6" t="s">
        <v>145</v>
      </c>
      <c r="AO518" s="6" t="str">
        <f t="shared" si="134"/>
        <v>Returned</v>
      </c>
    </row>
    <row r="519" spans="1:41">
      <c r="A519" s="6" t="s">
        <v>2526</v>
      </c>
      <c r="B519" s="7" t="s">
        <v>2527</v>
      </c>
      <c r="C519" s="8">
        <v>45802</v>
      </c>
      <c r="D519" s="7" t="s">
        <v>1702</v>
      </c>
      <c r="E519" s="9">
        <v>45804</v>
      </c>
      <c r="F519" s="9" t="str">
        <f t="shared" si="127"/>
        <v>Valid</v>
      </c>
      <c r="G519" s="10">
        <f t="shared" si="128"/>
        <v>2</v>
      </c>
      <c r="H519" s="10" t="str">
        <f t="shared" si="129"/>
        <v>Valid</v>
      </c>
      <c r="I519" s="6" t="s">
        <v>2528</v>
      </c>
      <c r="J519" s="6" t="s">
        <v>168</v>
      </c>
      <c r="K519" s="6" t="s">
        <v>168</v>
      </c>
      <c r="L519" s="6" t="s">
        <v>46</v>
      </c>
      <c r="M519" s="7" t="str">
        <f t="shared" si="130"/>
        <v>Consumer</v>
      </c>
      <c r="N519" s="6" t="s">
        <v>62</v>
      </c>
      <c r="O519" s="7" t="str">
        <f t="shared" si="131"/>
        <v>East</v>
      </c>
      <c r="P519" s="6" t="s">
        <v>63</v>
      </c>
      <c r="Q519" s="6" t="s">
        <v>64</v>
      </c>
      <c r="R519" s="6" t="s">
        <v>65</v>
      </c>
      <c r="S519" s="7" t="str">
        <f t="shared" si="132"/>
        <v>Furniture</v>
      </c>
      <c r="T519" s="6" t="s">
        <v>85</v>
      </c>
      <c r="U519" s="6" t="s">
        <v>2529</v>
      </c>
      <c r="V519" s="6" t="s">
        <v>53</v>
      </c>
      <c r="W519" s="7" t="str">
        <f t="shared" si="133"/>
        <v>Second Class</v>
      </c>
      <c r="X519" s="6">
        <v>7</v>
      </c>
      <c r="Y519" s="6">
        <v>2123.2800000000002</v>
      </c>
      <c r="Z519" s="6">
        <v>0.2</v>
      </c>
      <c r="AA519" s="6">
        <f t="shared" si="135"/>
        <v>0.2</v>
      </c>
      <c r="AB519" s="6" t="str">
        <f t="shared" si="136"/>
        <v>Valid</v>
      </c>
      <c r="AC519" s="6">
        <v>11890.37</v>
      </c>
      <c r="AD519" s="6" t="str">
        <f>IF(OR(AO519="Cancelled",AM519="Failed"),"Exclude from Completed Sales","Include in Completed Sales")</f>
        <v>Include in Completed Sales</v>
      </c>
      <c r="AE519" s="6">
        <f t="shared" si="137"/>
        <v>11890.368000000002</v>
      </c>
      <c r="AF519" s="6" t="str">
        <f t="shared" si="138"/>
        <v>Refunded</v>
      </c>
      <c r="AG519" s="6">
        <v>9234.5300000000007</v>
      </c>
      <c r="AH519" s="6">
        <v>2655.84</v>
      </c>
      <c r="AI519" s="6">
        <f t="shared" si="139"/>
        <v>2655.8380000000016</v>
      </c>
      <c r="AJ519" s="11">
        <f t="shared" si="140"/>
        <v>0.22336045444514427</v>
      </c>
      <c r="AK519" s="11" t="str">
        <f t="shared" si="141"/>
        <v>May</v>
      </c>
      <c r="AL519" s="12">
        <f t="shared" si="142"/>
        <v>2025</v>
      </c>
      <c r="AM519" s="6" t="s">
        <v>144</v>
      </c>
      <c r="AN519" s="6" t="s">
        <v>145</v>
      </c>
      <c r="AO519" s="6" t="str">
        <f t="shared" si="134"/>
        <v>Returned</v>
      </c>
    </row>
    <row r="520" spans="1:41">
      <c r="A520" s="6" t="s">
        <v>2530</v>
      </c>
      <c r="B520" s="7" t="s">
        <v>2412</v>
      </c>
      <c r="C520" s="8">
        <v>45777</v>
      </c>
      <c r="D520" s="7" t="s">
        <v>2531</v>
      </c>
      <c r="E520" s="9">
        <v>45773</v>
      </c>
      <c r="F520" s="9" t="str">
        <f t="shared" si="127"/>
        <v>Invalid Shipping Record</v>
      </c>
      <c r="G520" s="10">
        <f t="shared" si="128"/>
        <v>-4</v>
      </c>
      <c r="H520" s="10" t="str">
        <f t="shared" si="129"/>
        <v>Invalid Shipping Record</v>
      </c>
      <c r="I520" s="6" t="s">
        <v>2532</v>
      </c>
      <c r="J520" s="6" t="s">
        <v>230</v>
      </c>
      <c r="K520" s="6" t="s">
        <v>230</v>
      </c>
      <c r="L520" s="6" t="s">
        <v>128</v>
      </c>
      <c r="M520" s="7" t="str">
        <f t="shared" si="130"/>
        <v>Corporate</v>
      </c>
      <c r="N520" s="6" t="s">
        <v>62</v>
      </c>
      <c r="O520" s="7" t="str">
        <f t="shared" si="131"/>
        <v>East</v>
      </c>
      <c r="P520" s="6" t="s">
        <v>63</v>
      </c>
      <c r="Q520" s="6" t="s">
        <v>64</v>
      </c>
      <c r="R520" s="6" t="s">
        <v>65</v>
      </c>
      <c r="S520" s="7" t="str">
        <f t="shared" si="132"/>
        <v>Furniture</v>
      </c>
      <c r="T520" s="6" t="s">
        <v>66</v>
      </c>
      <c r="U520" s="6" t="s">
        <v>2533</v>
      </c>
      <c r="V520" s="6" t="s">
        <v>76</v>
      </c>
      <c r="W520" s="7" t="str">
        <f t="shared" si="133"/>
        <v>First Class</v>
      </c>
      <c r="X520" s="6">
        <v>7</v>
      </c>
      <c r="Y520" s="6">
        <v>1604.13</v>
      </c>
      <c r="Z520" s="6">
        <v>0.25</v>
      </c>
      <c r="AA520" s="6">
        <f t="shared" si="135"/>
        <v>0.25</v>
      </c>
      <c r="AB520" s="6" t="str">
        <f t="shared" si="136"/>
        <v>Valid</v>
      </c>
      <c r="AC520" s="6">
        <v>8421.68</v>
      </c>
      <c r="AD520" s="6" t="str">
        <f>IF(OR(AO520="Cancelled",AM520="Failed"),"Exclude from Completed Sales","Include in Completed Sales")</f>
        <v>Exclude from Completed Sales</v>
      </c>
      <c r="AE520" s="6">
        <f t="shared" si="137"/>
        <v>8421.682499999999</v>
      </c>
      <c r="AF520" s="6" t="str">
        <f t="shared" si="138"/>
        <v/>
      </c>
      <c r="AG520" s="6">
        <v>6534.47</v>
      </c>
      <c r="AH520" s="6">
        <v>1887.21</v>
      </c>
      <c r="AI520" s="6">
        <f t="shared" si="139"/>
        <v>1887.2124999999987</v>
      </c>
      <c r="AJ520" s="11">
        <f t="shared" si="140"/>
        <v>0.22408972316398759</v>
      </c>
      <c r="AK520" s="11" t="str">
        <f t="shared" si="141"/>
        <v>April</v>
      </c>
      <c r="AL520" s="12">
        <f t="shared" si="142"/>
        <v>2025</v>
      </c>
      <c r="AM520" s="6" t="s">
        <v>54</v>
      </c>
      <c r="AN520" s="6" t="s">
        <v>98</v>
      </c>
      <c r="AO520" s="6" t="str">
        <f t="shared" si="134"/>
        <v>Cancelled</v>
      </c>
    </row>
    <row r="521" spans="1:41">
      <c r="A521" s="6" t="s">
        <v>2534</v>
      </c>
      <c r="B521" s="7" t="s">
        <v>400</v>
      </c>
      <c r="C521" s="8">
        <v>45841</v>
      </c>
      <c r="D521" s="7" t="s">
        <v>2535</v>
      </c>
      <c r="E521" s="9">
        <v>45845</v>
      </c>
      <c r="F521" s="9" t="str">
        <f t="shared" si="127"/>
        <v>Valid</v>
      </c>
      <c r="G521" s="10">
        <f t="shared" si="128"/>
        <v>4</v>
      </c>
      <c r="H521" s="10" t="str">
        <f t="shared" si="129"/>
        <v>Valid</v>
      </c>
      <c r="I521" s="6" t="s">
        <v>2536</v>
      </c>
      <c r="J521" s="6" t="s">
        <v>162</v>
      </c>
      <c r="K521" s="6" t="s">
        <v>162</v>
      </c>
      <c r="L521" s="6" t="s">
        <v>46</v>
      </c>
      <c r="M521" s="7" t="str">
        <f t="shared" si="130"/>
        <v>Consumer</v>
      </c>
      <c r="N521" s="6" t="s">
        <v>47</v>
      </c>
      <c r="O521" s="7" t="str">
        <f t="shared" si="131"/>
        <v>North</v>
      </c>
      <c r="P521" s="6" t="s">
        <v>194</v>
      </c>
      <c r="Q521" s="6" t="s">
        <v>195</v>
      </c>
      <c r="R521" s="6" t="s">
        <v>65</v>
      </c>
      <c r="S521" s="7" t="str">
        <f t="shared" si="132"/>
        <v>Furniture</v>
      </c>
      <c r="T521" s="6" t="s">
        <v>66</v>
      </c>
      <c r="U521" s="6" t="s">
        <v>2537</v>
      </c>
      <c r="V521" s="6" t="s">
        <v>87</v>
      </c>
      <c r="W521" s="7" t="str">
        <f t="shared" si="133"/>
        <v>Standard Class</v>
      </c>
      <c r="X521" s="6">
        <v>4</v>
      </c>
      <c r="Y521" s="6">
        <v>4365.21</v>
      </c>
      <c r="Z521" s="6">
        <v>0.2</v>
      </c>
      <c r="AA521" s="6">
        <f t="shared" si="135"/>
        <v>0.2</v>
      </c>
      <c r="AB521" s="6" t="str">
        <f t="shared" si="136"/>
        <v>Valid</v>
      </c>
      <c r="AC521" s="6">
        <v>13968.67</v>
      </c>
      <c r="AD521" s="6" t="str">
        <f>IF(OR(AO521="Cancelled",AM521="Failed"),"Exclude from Completed Sales","Include in Completed Sales")</f>
        <v>Exclude from Completed Sales</v>
      </c>
      <c r="AE521" s="6">
        <f t="shared" si="137"/>
        <v>13968.672</v>
      </c>
      <c r="AF521" s="6" t="str">
        <f t="shared" si="138"/>
        <v/>
      </c>
      <c r="AG521" s="6">
        <v>8857.58</v>
      </c>
      <c r="AH521" s="6">
        <v>5111.09</v>
      </c>
      <c r="AI521" s="6">
        <f t="shared" si="139"/>
        <v>5111.0920000000006</v>
      </c>
      <c r="AJ521" s="11">
        <f t="shared" si="140"/>
        <v>0.36589677243477409</v>
      </c>
      <c r="AK521" s="11" t="str">
        <f t="shared" si="141"/>
        <v>July</v>
      </c>
      <c r="AL521" s="12">
        <f t="shared" si="142"/>
        <v>2025</v>
      </c>
      <c r="AM521" s="6" t="s">
        <v>157</v>
      </c>
      <c r="AN521" s="6" t="s">
        <v>98</v>
      </c>
      <c r="AO521" s="6" t="str">
        <f t="shared" si="134"/>
        <v>Cancelled</v>
      </c>
    </row>
    <row r="522" spans="1:41">
      <c r="A522" s="6" t="s">
        <v>2538</v>
      </c>
      <c r="B522" s="7" t="s">
        <v>1129</v>
      </c>
      <c r="C522" s="8">
        <v>45489</v>
      </c>
      <c r="D522" s="7" t="s">
        <v>2539</v>
      </c>
      <c r="E522" s="9">
        <v>45496</v>
      </c>
      <c r="F522" s="9" t="str">
        <f t="shared" si="127"/>
        <v>Valid</v>
      </c>
      <c r="G522" s="10">
        <f t="shared" si="128"/>
        <v>7</v>
      </c>
      <c r="H522" s="10" t="str">
        <f t="shared" si="129"/>
        <v>Valid</v>
      </c>
      <c r="I522" s="6" t="s">
        <v>2540</v>
      </c>
      <c r="J522" s="6" t="s">
        <v>182</v>
      </c>
      <c r="K522" s="6" t="s">
        <v>182</v>
      </c>
      <c r="L522" s="6" t="s">
        <v>135</v>
      </c>
      <c r="M522" s="7" t="str">
        <f t="shared" si="130"/>
        <v>Home Office</v>
      </c>
      <c r="N522" s="6" t="s">
        <v>82</v>
      </c>
      <c r="O522" s="7" t="str">
        <f t="shared" si="131"/>
        <v>South</v>
      </c>
      <c r="P522" s="6" t="s">
        <v>249</v>
      </c>
      <c r="Q522" s="6" t="s">
        <v>250</v>
      </c>
      <c r="R522" s="6" t="s">
        <v>106</v>
      </c>
      <c r="S522" s="7" t="str">
        <f t="shared" si="132"/>
        <v>Technology</v>
      </c>
      <c r="T522" s="6" t="s">
        <v>402</v>
      </c>
      <c r="U522" s="6" t="s">
        <v>2541</v>
      </c>
      <c r="V522" s="6" t="s">
        <v>68</v>
      </c>
      <c r="W522" s="7" t="str">
        <f t="shared" si="133"/>
        <v>Same Day</v>
      </c>
      <c r="X522" s="6">
        <v>1</v>
      </c>
      <c r="Y522" s="6">
        <v>1695.91</v>
      </c>
      <c r="Z522" s="6">
        <v>0.05</v>
      </c>
      <c r="AA522" s="6">
        <f t="shared" si="135"/>
        <v>0.05</v>
      </c>
      <c r="AB522" s="6" t="str">
        <f t="shared" si="136"/>
        <v>Valid</v>
      </c>
      <c r="AC522" s="6">
        <v>1611.11</v>
      </c>
      <c r="AD522" s="6" t="str">
        <f>IF(OR(AO522="Cancelled",AM522="Failed"),"Exclude from Completed Sales","Include in Completed Sales")</f>
        <v>Include in Completed Sales</v>
      </c>
      <c r="AE522" s="6">
        <f t="shared" si="137"/>
        <v>1611.1144999999999</v>
      </c>
      <c r="AF522" s="6" t="str">
        <f t="shared" si="138"/>
        <v/>
      </c>
      <c r="AG522" s="6">
        <v>895.15</v>
      </c>
      <c r="AH522" s="6">
        <v>715.96</v>
      </c>
      <c r="AI522" s="6">
        <f t="shared" si="139"/>
        <v>715.96449999999993</v>
      </c>
      <c r="AJ522" s="11">
        <f t="shared" si="140"/>
        <v>0.44439082386757739</v>
      </c>
      <c r="AK522" s="11" t="str">
        <f t="shared" si="141"/>
        <v>July</v>
      </c>
      <c r="AL522" s="12">
        <f t="shared" si="142"/>
        <v>2024</v>
      </c>
      <c r="AM522" s="6" t="s">
        <v>54</v>
      </c>
      <c r="AN522" s="6" t="s">
        <v>55</v>
      </c>
      <c r="AO522" s="6" t="str">
        <f t="shared" si="134"/>
        <v>Completed</v>
      </c>
    </row>
    <row r="523" spans="1:41">
      <c r="A523" s="6" t="s">
        <v>2542</v>
      </c>
      <c r="B523" s="7" t="s">
        <v>2543</v>
      </c>
      <c r="C523" s="8">
        <v>45741</v>
      </c>
      <c r="D523" s="7" t="s">
        <v>2544</v>
      </c>
      <c r="E523" s="9">
        <v>45748</v>
      </c>
      <c r="F523" s="9" t="str">
        <f t="shared" si="127"/>
        <v>Valid</v>
      </c>
      <c r="G523" s="10">
        <f t="shared" si="128"/>
        <v>7</v>
      </c>
      <c r="H523" s="10" t="str">
        <f t="shared" si="129"/>
        <v>Valid</v>
      </c>
      <c r="I523" s="6" t="s">
        <v>2545</v>
      </c>
      <c r="J523" s="6" t="s">
        <v>230</v>
      </c>
      <c r="K523" s="6" t="s">
        <v>230</v>
      </c>
      <c r="L523" s="6" t="s">
        <v>46</v>
      </c>
      <c r="M523" s="7" t="str">
        <f t="shared" si="130"/>
        <v>Consumer</v>
      </c>
      <c r="N523" s="6" t="s">
        <v>47</v>
      </c>
      <c r="O523" s="7" t="str">
        <f t="shared" si="131"/>
        <v>North</v>
      </c>
      <c r="P523" s="6" t="s">
        <v>174</v>
      </c>
      <c r="Q523" s="6" t="s">
        <v>175</v>
      </c>
      <c r="R523" s="6" t="s">
        <v>50</v>
      </c>
      <c r="S523" s="7" t="str">
        <f t="shared" si="132"/>
        <v>Office Supplies</v>
      </c>
      <c r="T523" s="6" t="s">
        <v>129</v>
      </c>
      <c r="U523" s="6" t="s">
        <v>2546</v>
      </c>
      <c r="V523" s="6" t="s">
        <v>53</v>
      </c>
      <c r="W523" s="7" t="str">
        <f t="shared" si="133"/>
        <v>Second Class</v>
      </c>
      <c r="X523" s="6">
        <v>6</v>
      </c>
      <c r="Y523" s="6">
        <v>2192.11</v>
      </c>
      <c r="Z523" s="6">
        <v>0.05</v>
      </c>
      <c r="AA523" s="6">
        <f t="shared" si="135"/>
        <v>0.05</v>
      </c>
      <c r="AB523" s="6" t="str">
        <f t="shared" si="136"/>
        <v>Valid</v>
      </c>
      <c r="AC523" s="6">
        <v>12495.03</v>
      </c>
      <c r="AD523" s="6" t="str">
        <f>IF(OR(AO523="Cancelled",AM523="Failed"),"Exclude from Completed Sales","Include in Completed Sales")</f>
        <v>Include in Completed Sales</v>
      </c>
      <c r="AE523" s="6">
        <f t="shared" si="137"/>
        <v>12495.027</v>
      </c>
      <c r="AF523" s="6" t="str">
        <f t="shared" si="138"/>
        <v/>
      </c>
      <c r="AG523" s="6">
        <v>9184.52</v>
      </c>
      <c r="AH523" s="6">
        <v>3310.51</v>
      </c>
      <c r="AI523" s="6">
        <f t="shared" si="139"/>
        <v>3310.5069999999996</v>
      </c>
      <c r="AJ523" s="11">
        <f t="shared" si="140"/>
        <v>0.26494596610315446</v>
      </c>
      <c r="AK523" s="11" t="str">
        <f t="shared" si="141"/>
        <v>March</v>
      </c>
      <c r="AL523" s="12">
        <f t="shared" si="142"/>
        <v>2025</v>
      </c>
      <c r="AM523" s="6" t="s">
        <v>54</v>
      </c>
      <c r="AN523" s="6" t="s">
        <v>55</v>
      </c>
      <c r="AO523" s="6" t="str">
        <f t="shared" si="134"/>
        <v>Completed</v>
      </c>
    </row>
    <row r="524" spans="1:41">
      <c r="A524" s="6" t="s">
        <v>2547</v>
      </c>
      <c r="B524" s="7" t="s">
        <v>2548</v>
      </c>
      <c r="C524" s="8">
        <v>45716</v>
      </c>
      <c r="D524" s="7" t="s">
        <v>2344</v>
      </c>
      <c r="E524" s="9">
        <v>45724</v>
      </c>
      <c r="F524" s="9" t="str">
        <f t="shared" si="127"/>
        <v>Valid</v>
      </c>
      <c r="G524" s="10">
        <f t="shared" si="128"/>
        <v>8</v>
      </c>
      <c r="H524" s="10" t="str">
        <f t="shared" si="129"/>
        <v>Valid</v>
      </c>
      <c r="I524" s="6" t="s">
        <v>2549</v>
      </c>
      <c r="J524" s="6" t="s">
        <v>113</v>
      </c>
      <c r="K524" s="6" t="s">
        <v>113</v>
      </c>
      <c r="L524" s="6" t="s">
        <v>61</v>
      </c>
      <c r="M524" s="7" t="str">
        <f t="shared" si="130"/>
        <v>Small Business</v>
      </c>
      <c r="N524" s="6" t="s">
        <v>62</v>
      </c>
      <c r="O524" s="7" t="str">
        <f t="shared" si="131"/>
        <v>East</v>
      </c>
      <c r="P524" s="6" t="s">
        <v>331</v>
      </c>
      <c r="Q524" s="6" t="s">
        <v>332</v>
      </c>
      <c r="R524" s="6" t="s">
        <v>106</v>
      </c>
      <c r="S524" s="7" t="str">
        <f t="shared" si="132"/>
        <v>Technology</v>
      </c>
      <c r="T524" s="6" t="s">
        <v>243</v>
      </c>
      <c r="U524" s="6" t="s">
        <v>2550</v>
      </c>
      <c r="V524" s="6" t="s">
        <v>76</v>
      </c>
      <c r="W524" s="7" t="str">
        <f t="shared" si="133"/>
        <v>First Class</v>
      </c>
      <c r="X524" s="6">
        <v>9</v>
      </c>
      <c r="Y524" s="6">
        <v>3670.54</v>
      </c>
      <c r="Z524" s="6">
        <v>0</v>
      </c>
      <c r="AA524" s="6">
        <f t="shared" si="135"/>
        <v>0</v>
      </c>
      <c r="AB524" s="6" t="str">
        <f t="shared" si="136"/>
        <v>Valid</v>
      </c>
      <c r="AC524" s="6">
        <v>33034.86</v>
      </c>
      <c r="AD524" s="6" t="str">
        <f>IF(OR(AO524="Cancelled",AM524="Failed"),"Exclude from Completed Sales","Include in Completed Sales")</f>
        <v>Include in Completed Sales</v>
      </c>
      <c r="AE524" s="6">
        <f t="shared" si="137"/>
        <v>33034.86</v>
      </c>
      <c r="AF524" s="6" t="str">
        <f t="shared" si="138"/>
        <v/>
      </c>
      <c r="AG524" s="6">
        <v>24539.83</v>
      </c>
      <c r="AH524" s="6">
        <v>8495.0300000000007</v>
      </c>
      <c r="AI524" s="6">
        <f t="shared" si="139"/>
        <v>8495.0299999999988</v>
      </c>
      <c r="AJ524" s="11">
        <f t="shared" si="140"/>
        <v>0.25715350390466307</v>
      </c>
      <c r="AK524" s="11" t="str">
        <f t="shared" si="141"/>
        <v>February</v>
      </c>
      <c r="AL524" s="12">
        <f t="shared" si="142"/>
        <v>2025</v>
      </c>
      <c r="AM524" s="6" t="s">
        <v>54</v>
      </c>
      <c r="AN524" s="6" t="s">
        <v>55</v>
      </c>
      <c r="AO524" s="6" t="str">
        <f t="shared" si="134"/>
        <v>Completed</v>
      </c>
    </row>
    <row r="525" spans="1:41">
      <c r="A525" s="6" t="s">
        <v>2551</v>
      </c>
      <c r="B525" s="7" t="s">
        <v>2552</v>
      </c>
      <c r="C525" s="8">
        <v>45384</v>
      </c>
      <c r="D525" s="7" t="s">
        <v>2553</v>
      </c>
      <c r="E525" s="9">
        <v>45385</v>
      </c>
      <c r="F525" s="9" t="str">
        <f t="shared" si="127"/>
        <v>Valid</v>
      </c>
      <c r="G525" s="10">
        <f t="shared" si="128"/>
        <v>1</v>
      </c>
      <c r="H525" s="10" t="str">
        <f t="shared" si="129"/>
        <v>Valid</v>
      </c>
      <c r="I525" s="6" t="s">
        <v>2554</v>
      </c>
      <c r="J525" s="6" t="s">
        <v>386</v>
      </c>
      <c r="K525" s="6" t="s">
        <v>386</v>
      </c>
      <c r="L525" s="6" t="s">
        <v>135</v>
      </c>
      <c r="M525" s="7" t="str">
        <f t="shared" si="130"/>
        <v>Home Office</v>
      </c>
      <c r="N525" s="6" t="s">
        <v>93</v>
      </c>
      <c r="O525" s="7" t="str">
        <f t="shared" si="131"/>
        <v>West</v>
      </c>
      <c r="P525" s="6" t="s">
        <v>269</v>
      </c>
      <c r="Q525" s="6" t="s">
        <v>270</v>
      </c>
      <c r="R525" s="6" t="s">
        <v>50</v>
      </c>
      <c r="S525" s="7" t="str">
        <f t="shared" si="132"/>
        <v>Office Supplies</v>
      </c>
      <c r="T525" s="6" t="s">
        <v>51</v>
      </c>
      <c r="U525" s="6" t="s">
        <v>2555</v>
      </c>
      <c r="V525" s="6" t="s">
        <v>53</v>
      </c>
      <c r="W525" s="7" t="str">
        <f t="shared" si="133"/>
        <v>Second Class</v>
      </c>
      <c r="X525" s="6">
        <v>2</v>
      </c>
      <c r="Y525" s="6">
        <v>2902.63</v>
      </c>
      <c r="Z525" s="6">
        <v>0</v>
      </c>
      <c r="AA525" s="6">
        <f t="shared" si="135"/>
        <v>0</v>
      </c>
      <c r="AB525" s="6" t="str">
        <f t="shared" si="136"/>
        <v>Valid</v>
      </c>
      <c r="AC525" s="6">
        <v>5805.26</v>
      </c>
      <c r="AD525" s="6" t="str">
        <f>IF(OR(AO525="Cancelled",AM525="Failed"),"Exclude from Completed Sales","Include in Completed Sales")</f>
        <v>Include in Completed Sales</v>
      </c>
      <c r="AE525" s="6">
        <f t="shared" si="137"/>
        <v>5805.26</v>
      </c>
      <c r="AF525" s="6" t="str">
        <f t="shared" si="138"/>
        <v/>
      </c>
      <c r="AG525" s="6">
        <v>4654.3599999999997</v>
      </c>
      <c r="AH525" s="6">
        <v>1150.9000000000001</v>
      </c>
      <c r="AI525" s="6">
        <f t="shared" si="139"/>
        <v>1150.9000000000005</v>
      </c>
      <c r="AJ525" s="11">
        <f t="shared" si="140"/>
        <v>0.19825124111581574</v>
      </c>
      <c r="AK525" s="11" t="str">
        <f t="shared" si="141"/>
        <v>April</v>
      </c>
      <c r="AL525" s="12">
        <f t="shared" si="142"/>
        <v>2024</v>
      </c>
      <c r="AM525" s="6" t="s">
        <v>54</v>
      </c>
      <c r="AN525" s="6" t="s">
        <v>145</v>
      </c>
      <c r="AO525" s="6" t="str">
        <f t="shared" si="134"/>
        <v>Returned</v>
      </c>
    </row>
    <row r="526" spans="1:41">
      <c r="A526" s="6" t="s">
        <v>2556</v>
      </c>
      <c r="B526" s="7" t="s">
        <v>2557</v>
      </c>
      <c r="C526" s="8">
        <v>45626</v>
      </c>
      <c r="D526" s="7" t="s">
        <v>2558</v>
      </c>
      <c r="E526" s="9">
        <v>45627</v>
      </c>
      <c r="F526" s="9" t="str">
        <f t="shared" si="127"/>
        <v>Valid</v>
      </c>
      <c r="G526" s="10">
        <f t="shared" si="128"/>
        <v>1</v>
      </c>
      <c r="H526" s="10" t="str">
        <f t="shared" si="129"/>
        <v>Valid</v>
      </c>
      <c r="I526" s="6" t="s">
        <v>2559</v>
      </c>
      <c r="J526" s="6" t="s">
        <v>92</v>
      </c>
      <c r="K526" s="6" t="s">
        <v>92</v>
      </c>
      <c r="L526" s="6" t="s">
        <v>128</v>
      </c>
      <c r="M526" s="7" t="str">
        <f t="shared" si="130"/>
        <v>Corporate</v>
      </c>
      <c r="N526" s="6" t="s">
        <v>93</v>
      </c>
      <c r="O526" s="7" t="str">
        <f t="shared" si="131"/>
        <v>West</v>
      </c>
      <c r="P526" s="6" t="s">
        <v>255</v>
      </c>
      <c r="Q526" s="6" t="s">
        <v>256</v>
      </c>
      <c r="R526" s="6" t="s">
        <v>65</v>
      </c>
      <c r="S526" s="7" t="str">
        <f t="shared" si="132"/>
        <v>Furniture</v>
      </c>
      <c r="T526" s="6" t="s">
        <v>96</v>
      </c>
      <c r="U526" s="6" t="s">
        <v>2560</v>
      </c>
      <c r="V526" s="6" t="s">
        <v>76</v>
      </c>
      <c r="W526" s="7" t="str">
        <f t="shared" si="133"/>
        <v>First Class</v>
      </c>
      <c r="X526" s="6">
        <v>9</v>
      </c>
      <c r="Y526" s="6">
        <v>4207.3599999999997</v>
      </c>
      <c r="Z526" s="6">
        <v>0.1</v>
      </c>
      <c r="AA526" s="6">
        <f t="shared" si="135"/>
        <v>0.1</v>
      </c>
      <c r="AB526" s="6" t="str">
        <f t="shared" si="136"/>
        <v>Valid</v>
      </c>
      <c r="AC526" s="6">
        <v>34079.620000000003</v>
      </c>
      <c r="AD526" s="6" t="str">
        <f>IF(OR(AO526="Cancelled",AM526="Failed"),"Exclude from Completed Sales","Include in Completed Sales")</f>
        <v>Include in Completed Sales</v>
      </c>
      <c r="AE526" s="6">
        <f t="shared" si="137"/>
        <v>34079.616000000002</v>
      </c>
      <c r="AF526" s="6" t="str">
        <f t="shared" si="138"/>
        <v/>
      </c>
      <c r="AG526" s="6">
        <v>21871.39</v>
      </c>
      <c r="AH526" s="6">
        <v>12208.23</v>
      </c>
      <c r="AI526" s="6">
        <f t="shared" si="139"/>
        <v>12208.226000000002</v>
      </c>
      <c r="AJ526" s="11">
        <f t="shared" si="140"/>
        <v>0.35822663025311091</v>
      </c>
      <c r="AK526" s="11" t="str">
        <f t="shared" si="141"/>
        <v>November</v>
      </c>
      <c r="AL526" s="12">
        <f t="shared" si="142"/>
        <v>2024</v>
      </c>
      <c r="AM526" s="6" t="s">
        <v>54</v>
      </c>
      <c r="AN526" s="6" t="s">
        <v>55</v>
      </c>
      <c r="AO526" s="6" t="str">
        <f t="shared" si="134"/>
        <v>Completed</v>
      </c>
    </row>
    <row r="527" spans="1:41">
      <c r="A527" s="6" t="s">
        <v>2561</v>
      </c>
      <c r="B527" s="7" t="s">
        <v>2562</v>
      </c>
      <c r="C527" s="8">
        <v>45582</v>
      </c>
      <c r="D527" s="7" t="s">
        <v>2563</v>
      </c>
      <c r="E527" s="9">
        <v>45582</v>
      </c>
      <c r="F527" s="9" t="str">
        <f t="shared" si="127"/>
        <v>Valid</v>
      </c>
      <c r="G527" s="10">
        <f t="shared" si="128"/>
        <v>0</v>
      </c>
      <c r="H527" s="10" t="str">
        <f t="shared" si="129"/>
        <v>Valid</v>
      </c>
      <c r="I527" s="6" t="s">
        <v>2564</v>
      </c>
      <c r="J527" s="6" t="s">
        <v>162</v>
      </c>
      <c r="K527" s="6" t="s">
        <v>162</v>
      </c>
      <c r="L527" s="6" t="s">
        <v>135</v>
      </c>
      <c r="M527" s="7" t="str">
        <f t="shared" si="130"/>
        <v>Home Office</v>
      </c>
      <c r="N527" s="6" t="s">
        <v>62</v>
      </c>
      <c r="O527" s="7" t="str">
        <f t="shared" si="131"/>
        <v>East</v>
      </c>
      <c r="P527" s="6" t="s">
        <v>141</v>
      </c>
      <c r="Q527" s="6" t="s">
        <v>142</v>
      </c>
      <c r="R527" s="6" t="s">
        <v>65</v>
      </c>
      <c r="S527" s="7" t="str">
        <f t="shared" si="132"/>
        <v>Furniture</v>
      </c>
      <c r="T527" s="6" t="s">
        <v>96</v>
      </c>
      <c r="U527" s="6" t="s">
        <v>2565</v>
      </c>
      <c r="V527" s="6" t="s">
        <v>87</v>
      </c>
      <c r="W527" s="7" t="str">
        <f t="shared" si="133"/>
        <v>Standard Class</v>
      </c>
      <c r="X527" s="6">
        <v>5</v>
      </c>
      <c r="Y527" s="6">
        <v>2524.4</v>
      </c>
      <c r="Z527" s="6">
        <v>0.1</v>
      </c>
      <c r="AA527" s="6">
        <f t="shared" si="135"/>
        <v>0.1</v>
      </c>
      <c r="AB527" s="6" t="str">
        <f t="shared" si="136"/>
        <v>Valid</v>
      </c>
      <c r="AC527" s="6">
        <v>11359.8</v>
      </c>
      <c r="AD527" s="6" t="str">
        <f>IF(OR(AO527="Cancelled",AM527="Failed"),"Exclude from Completed Sales","Include in Completed Sales")</f>
        <v>Include in Completed Sales</v>
      </c>
      <c r="AE527" s="6">
        <f t="shared" si="137"/>
        <v>11359.800000000001</v>
      </c>
      <c r="AF527" s="6" t="str">
        <f t="shared" si="138"/>
        <v/>
      </c>
      <c r="AG527" s="6">
        <v>7062.44</v>
      </c>
      <c r="AH527" s="6">
        <v>4297.3599999999997</v>
      </c>
      <c r="AI527" s="6">
        <f t="shared" si="139"/>
        <v>4297.3600000000015</v>
      </c>
      <c r="AJ527" s="11">
        <f t="shared" si="140"/>
        <v>0.37829539252451638</v>
      </c>
      <c r="AK527" s="11" t="str">
        <f t="shared" si="141"/>
        <v>October</v>
      </c>
      <c r="AL527" s="12">
        <f t="shared" si="142"/>
        <v>2024</v>
      </c>
      <c r="AM527" s="6" t="s">
        <v>54</v>
      </c>
      <c r="AN527" s="6" t="s">
        <v>55</v>
      </c>
      <c r="AO527" s="6" t="str">
        <f t="shared" si="134"/>
        <v>Completed</v>
      </c>
    </row>
    <row r="528" spans="1:41">
      <c r="A528" s="6" t="s">
        <v>2566</v>
      </c>
      <c r="B528" s="7" t="s">
        <v>2567</v>
      </c>
      <c r="C528" s="8">
        <v>45856</v>
      </c>
      <c r="D528" s="7" t="s">
        <v>2568</v>
      </c>
      <c r="E528" s="9">
        <v>45859</v>
      </c>
      <c r="F528" s="9" t="str">
        <f t="shared" si="127"/>
        <v>Valid</v>
      </c>
      <c r="G528" s="10">
        <f t="shared" si="128"/>
        <v>3</v>
      </c>
      <c r="H528" s="10" t="str">
        <f t="shared" si="129"/>
        <v>Valid</v>
      </c>
      <c r="I528" s="6" t="s">
        <v>2569</v>
      </c>
      <c r="J528" s="6" t="s">
        <v>162</v>
      </c>
      <c r="K528" s="6" t="s">
        <v>162</v>
      </c>
      <c r="L528" s="6" t="s">
        <v>46</v>
      </c>
      <c r="M528" s="7" t="str">
        <f t="shared" si="130"/>
        <v>Consumer</v>
      </c>
      <c r="N528" s="6" t="s">
        <v>62</v>
      </c>
      <c r="O528" s="7" t="str">
        <f t="shared" si="131"/>
        <v>East</v>
      </c>
      <c r="P528" s="6" t="s">
        <v>63</v>
      </c>
      <c r="Q528" s="6" t="s">
        <v>64</v>
      </c>
      <c r="R528" s="6" t="s">
        <v>65</v>
      </c>
      <c r="S528" s="7" t="str">
        <f t="shared" si="132"/>
        <v>Furniture</v>
      </c>
      <c r="T528" s="6" t="s">
        <v>66</v>
      </c>
      <c r="U528" s="6" t="s">
        <v>2570</v>
      </c>
      <c r="V528" s="6" t="s">
        <v>53</v>
      </c>
      <c r="W528" s="7" t="str">
        <f t="shared" si="133"/>
        <v>Second Class</v>
      </c>
      <c r="X528" s="6">
        <v>4</v>
      </c>
      <c r="Y528" s="6">
        <v>284.04000000000002</v>
      </c>
      <c r="Z528" s="6"/>
      <c r="AA528" s="6">
        <f t="shared" si="135"/>
        <v>0</v>
      </c>
      <c r="AB528" s="6" t="str">
        <f t="shared" si="136"/>
        <v>Valid</v>
      </c>
      <c r="AC528" s="6">
        <v>908.93</v>
      </c>
      <c r="AD528" s="6" t="str">
        <f>IF(OR(AO528="Cancelled",AM528="Failed"),"Exclude from Completed Sales","Include in Completed Sales")</f>
        <v>Include in Completed Sales</v>
      </c>
      <c r="AE528" s="6">
        <f t="shared" si="137"/>
        <v>1136.1600000000001</v>
      </c>
      <c r="AF528" s="6" t="str">
        <f t="shared" si="138"/>
        <v/>
      </c>
      <c r="AG528" s="6">
        <v>572.08000000000004</v>
      </c>
      <c r="AH528" s="6">
        <v>336.85</v>
      </c>
      <c r="AI528" s="6">
        <f t="shared" si="139"/>
        <v>564.08000000000004</v>
      </c>
      <c r="AJ528" s="11">
        <f t="shared" si="140"/>
        <v>0.49647936910294327</v>
      </c>
      <c r="AK528" s="11" t="str">
        <f t="shared" si="141"/>
        <v>July</v>
      </c>
      <c r="AL528" s="12">
        <f t="shared" si="142"/>
        <v>2025</v>
      </c>
      <c r="AM528" s="6" t="s">
        <v>54</v>
      </c>
      <c r="AN528" s="6" t="s">
        <v>55</v>
      </c>
      <c r="AO528" s="6" t="str">
        <f t="shared" si="134"/>
        <v>Completed</v>
      </c>
    </row>
    <row r="529" spans="1:41">
      <c r="A529" s="6" t="s">
        <v>2571</v>
      </c>
      <c r="B529" s="7" t="s">
        <v>2572</v>
      </c>
      <c r="C529" s="8">
        <v>45931</v>
      </c>
      <c r="D529" s="7" t="s">
        <v>2573</v>
      </c>
      <c r="E529" s="9">
        <v>45935</v>
      </c>
      <c r="F529" s="9" t="str">
        <f t="shared" si="127"/>
        <v>Valid</v>
      </c>
      <c r="G529" s="10">
        <f t="shared" si="128"/>
        <v>4</v>
      </c>
      <c r="H529" s="10" t="str">
        <f t="shared" si="129"/>
        <v>Valid</v>
      </c>
      <c r="I529" s="6" t="s">
        <v>2574</v>
      </c>
      <c r="J529" s="6" t="s">
        <v>127</v>
      </c>
      <c r="K529" s="6" t="s">
        <v>127</v>
      </c>
      <c r="L529" s="6" t="s">
        <v>135</v>
      </c>
      <c r="M529" s="7" t="str">
        <f t="shared" si="130"/>
        <v>Home Office</v>
      </c>
      <c r="N529" s="6" t="s">
        <v>47</v>
      </c>
      <c r="O529" s="7" t="str">
        <f t="shared" si="131"/>
        <v>North</v>
      </c>
      <c r="P529" s="6" t="s">
        <v>343</v>
      </c>
      <c r="Q529" s="6" t="s">
        <v>344</v>
      </c>
      <c r="R529" s="6" t="s">
        <v>50</v>
      </c>
      <c r="S529" s="7" t="str">
        <f t="shared" si="132"/>
        <v>Office Supplies</v>
      </c>
      <c r="T529" s="6" t="s">
        <v>51</v>
      </c>
      <c r="U529" s="6" t="s">
        <v>2575</v>
      </c>
      <c r="V529" s="6" t="s">
        <v>76</v>
      </c>
      <c r="W529" s="7" t="str">
        <f t="shared" si="133"/>
        <v>First Class</v>
      </c>
      <c r="X529" s="6">
        <v>5</v>
      </c>
      <c r="Y529" s="6">
        <v>3247.56</v>
      </c>
      <c r="Z529" s="6">
        <v>0.15</v>
      </c>
      <c r="AA529" s="6">
        <f t="shared" si="135"/>
        <v>0.15</v>
      </c>
      <c r="AB529" s="6" t="str">
        <f t="shared" si="136"/>
        <v>Valid</v>
      </c>
      <c r="AC529" s="6">
        <v>13802.13</v>
      </c>
      <c r="AD529" s="6" t="str">
        <f>IF(OR(AO529="Cancelled",AM529="Failed"),"Exclude from Completed Sales","Include in Completed Sales")</f>
        <v>Include in Completed Sales</v>
      </c>
      <c r="AE529" s="6">
        <f t="shared" si="137"/>
        <v>13802.13</v>
      </c>
      <c r="AF529" s="6" t="str">
        <f t="shared" si="138"/>
        <v/>
      </c>
      <c r="AG529" s="6">
        <v>10075.93</v>
      </c>
      <c r="AH529" s="6">
        <v>3726.2</v>
      </c>
      <c r="AI529" s="6">
        <f t="shared" si="139"/>
        <v>3726.1999999999989</v>
      </c>
      <c r="AJ529" s="11">
        <f t="shared" si="140"/>
        <v>0.26997282303528508</v>
      </c>
      <c r="AK529" s="11" t="str">
        <f t="shared" si="141"/>
        <v>October</v>
      </c>
      <c r="AL529" s="12">
        <f t="shared" si="142"/>
        <v>2025</v>
      </c>
      <c r="AM529" s="6" t="s">
        <v>54</v>
      </c>
      <c r="AN529" s="6" t="s">
        <v>55</v>
      </c>
      <c r="AO529" s="6" t="str">
        <f t="shared" si="134"/>
        <v>Completed</v>
      </c>
    </row>
    <row r="530" spans="1:41">
      <c r="A530" s="6" t="s">
        <v>2576</v>
      </c>
      <c r="B530" s="7" t="s">
        <v>2577</v>
      </c>
      <c r="C530" s="8">
        <v>45572</v>
      </c>
      <c r="D530" s="7" t="s">
        <v>2578</v>
      </c>
      <c r="E530" s="9">
        <v>45574</v>
      </c>
      <c r="F530" s="9" t="str">
        <f t="shared" si="127"/>
        <v>Valid</v>
      </c>
      <c r="G530" s="10">
        <f t="shared" si="128"/>
        <v>2</v>
      </c>
      <c r="H530" s="10" t="str">
        <f t="shared" si="129"/>
        <v>Valid</v>
      </c>
      <c r="I530" s="6" t="s">
        <v>2579</v>
      </c>
      <c r="J530" s="6" t="s">
        <v>230</v>
      </c>
      <c r="K530" s="6" t="s">
        <v>230</v>
      </c>
      <c r="L530" s="6" t="s">
        <v>46</v>
      </c>
      <c r="M530" s="7" t="str">
        <f t="shared" si="130"/>
        <v>Consumer</v>
      </c>
      <c r="N530" s="6" t="s">
        <v>82</v>
      </c>
      <c r="O530" s="7" t="str">
        <f t="shared" si="131"/>
        <v>South</v>
      </c>
      <c r="P530" s="6" t="s">
        <v>359</v>
      </c>
      <c r="Q530" s="6" t="s">
        <v>360</v>
      </c>
      <c r="R530" s="6" t="s">
        <v>50</v>
      </c>
      <c r="S530" s="7" t="str">
        <f t="shared" si="132"/>
        <v>Office Supplies</v>
      </c>
      <c r="T530" s="6" t="s">
        <v>218</v>
      </c>
      <c r="U530" s="6" t="s">
        <v>2580</v>
      </c>
      <c r="V530" s="6" t="s">
        <v>87</v>
      </c>
      <c r="W530" s="7" t="str">
        <f t="shared" si="133"/>
        <v>Standard Class</v>
      </c>
      <c r="X530" s="6">
        <v>9</v>
      </c>
      <c r="Y530" s="6">
        <v>3457.09</v>
      </c>
      <c r="Z530" s="6">
        <v>0.05</v>
      </c>
      <c r="AA530" s="6">
        <f t="shared" si="135"/>
        <v>0.05</v>
      </c>
      <c r="AB530" s="6" t="str">
        <f t="shared" si="136"/>
        <v>Valid</v>
      </c>
      <c r="AC530" s="6">
        <v>29558.12</v>
      </c>
      <c r="AD530" s="6" t="str">
        <f>IF(OR(AO530="Cancelled",AM530="Failed"),"Exclude from Completed Sales","Include in Completed Sales")</f>
        <v>Include in Completed Sales</v>
      </c>
      <c r="AE530" s="6">
        <f t="shared" si="137"/>
        <v>29558.119500000001</v>
      </c>
      <c r="AF530" s="6" t="str">
        <f t="shared" si="138"/>
        <v/>
      </c>
      <c r="AG530" s="6">
        <v>21302.13</v>
      </c>
      <c r="AH530" s="6">
        <v>8255.99</v>
      </c>
      <c r="AI530" s="6">
        <f t="shared" si="139"/>
        <v>8255.9894999999997</v>
      </c>
      <c r="AJ530" s="11">
        <f t="shared" si="140"/>
        <v>0.27931376013281223</v>
      </c>
      <c r="AK530" s="11" t="str">
        <f t="shared" si="141"/>
        <v>October</v>
      </c>
      <c r="AL530" s="12">
        <f t="shared" si="142"/>
        <v>2024</v>
      </c>
      <c r="AM530" s="6" t="s">
        <v>157</v>
      </c>
      <c r="AN530" s="6" t="s">
        <v>145</v>
      </c>
      <c r="AO530" s="6" t="str">
        <f t="shared" si="134"/>
        <v>Returned</v>
      </c>
    </row>
    <row r="531" spans="1:41">
      <c r="A531" s="6" t="s">
        <v>2581</v>
      </c>
      <c r="B531" s="7" t="s">
        <v>2300</v>
      </c>
      <c r="C531" s="8">
        <v>45328</v>
      </c>
      <c r="D531" s="7" t="s">
        <v>2582</v>
      </c>
      <c r="E531" s="9">
        <v>45330</v>
      </c>
      <c r="F531" s="9" t="str">
        <f t="shared" si="127"/>
        <v>Valid</v>
      </c>
      <c r="G531" s="10">
        <f t="shared" si="128"/>
        <v>2</v>
      </c>
      <c r="H531" s="10" t="str">
        <f t="shared" si="129"/>
        <v>Valid</v>
      </c>
      <c r="I531" s="6" t="s">
        <v>1130</v>
      </c>
      <c r="J531" s="6" t="s">
        <v>45</v>
      </c>
      <c r="K531" s="6" t="s">
        <v>45</v>
      </c>
      <c r="L531" s="6" t="s">
        <v>46</v>
      </c>
      <c r="M531" s="7" t="str">
        <f t="shared" si="130"/>
        <v>Consumer</v>
      </c>
      <c r="N531" s="6" t="s">
        <v>62</v>
      </c>
      <c r="O531" s="7" t="str">
        <f t="shared" si="131"/>
        <v>East</v>
      </c>
      <c r="P531" s="6" t="s">
        <v>331</v>
      </c>
      <c r="Q531" s="6" t="s">
        <v>332</v>
      </c>
      <c r="R531" s="6" t="s">
        <v>65</v>
      </c>
      <c r="S531" s="7" t="str">
        <f t="shared" si="132"/>
        <v>Furniture</v>
      </c>
      <c r="T531" s="6" t="s">
        <v>224</v>
      </c>
      <c r="U531" s="6" t="s">
        <v>2583</v>
      </c>
      <c r="V531" s="6" t="s">
        <v>53</v>
      </c>
      <c r="W531" s="7" t="str">
        <f t="shared" si="133"/>
        <v>Second Class</v>
      </c>
      <c r="X531" s="6">
        <v>9</v>
      </c>
      <c r="Y531" s="6">
        <v>1822.25</v>
      </c>
      <c r="Z531" s="6">
        <v>0</v>
      </c>
      <c r="AA531" s="6">
        <f t="shared" si="135"/>
        <v>0</v>
      </c>
      <c r="AB531" s="6" t="str">
        <f t="shared" si="136"/>
        <v>Valid</v>
      </c>
      <c r="AC531" s="6">
        <v>16400.25</v>
      </c>
      <c r="AD531" s="6" t="str">
        <f>IF(OR(AO531="Cancelled",AM531="Failed"),"Exclude from Completed Sales","Include in Completed Sales")</f>
        <v>Include in Completed Sales</v>
      </c>
      <c r="AE531" s="6">
        <f t="shared" si="137"/>
        <v>16400.25</v>
      </c>
      <c r="AF531" s="6" t="str">
        <f t="shared" si="138"/>
        <v/>
      </c>
      <c r="AG531" s="6">
        <v>12146.96</v>
      </c>
      <c r="AH531" s="6">
        <v>4253.29</v>
      </c>
      <c r="AI531" s="6">
        <f t="shared" si="139"/>
        <v>4253.2900000000009</v>
      </c>
      <c r="AJ531" s="11">
        <f t="shared" si="140"/>
        <v>0.25934299782015524</v>
      </c>
      <c r="AK531" s="11" t="str">
        <f t="shared" si="141"/>
        <v>February</v>
      </c>
      <c r="AL531" s="12">
        <f t="shared" si="142"/>
        <v>2024</v>
      </c>
      <c r="AM531" s="6" t="s">
        <v>54</v>
      </c>
      <c r="AN531" s="6" t="s">
        <v>55</v>
      </c>
      <c r="AO531" s="6" t="str">
        <f t="shared" si="134"/>
        <v>Completed</v>
      </c>
    </row>
    <row r="532" spans="1:41">
      <c r="A532" s="6" t="s">
        <v>2584</v>
      </c>
      <c r="B532" s="7" t="s">
        <v>2585</v>
      </c>
      <c r="C532" s="8">
        <v>45807</v>
      </c>
      <c r="D532" s="7" t="s">
        <v>2586</v>
      </c>
      <c r="E532" s="9">
        <v>45809</v>
      </c>
      <c r="F532" s="9" t="str">
        <f t="shared" si="127"/>
        <v>Valid</v>
      </c>
      <c r="G532" s="10">
        <f t="shared" si="128"/>
        <v>2</v>
      </c>
      <c r="H532" s="10" t="str">
        <f t="shared" si="129"/>
        <v>Valid</v>
      </c>
      <c r="I532" s="6" t="s">
        <v>2587</v>
      </c>
      <c r="J532" s="6" t="s">
        <v>168</v>
      </c>
      <c r="K532" s="6" t="s">
        <v>168</v>
      </c>
      <c r="L532" s="6" t="s">
        <v>135</v>
      </c>
      <c r="M532" s="7" t="str">
        <f t="shared" si="130"/>
        <v>Home Office</v>
      </c>
      <c r="N532" s="6" t="s">
        <v>82</v>
      </c>
      <c r="O532" s="7" t="str">
        <f t="shared" si="131"/>
        <v>South</v>
      </c>
      <c r="P532" s="6" t="s">
        <v>359</v>
      </c>
      <c r="Q532" s="6" t="s">
        <v>360</v>
      </c>
      <c r="R532" s="6" t="s">
        <v>50</v>
      </c>
      <c r="S532" s="7" t="str">
        <f t="shared" si="132"/>
        <v>Office Supplies</v>
      </c>
      <c r="T532" s="6" t="s">
        <v>218</v>
      </c>
      <c r="U532" s="6" t="s">
        <v>2588</v>
      </c>
      <c r="V532" s="6" t="s">
        <v>87</v>
      </c>
      <c r="W532" s="7" t="str">
        <f t="shared" si="133"/>
        <v>Standard Class</v>
      </c>
      <c r="X532" s="6">
        <v>9</v>
      </c>
      <c r="Y532" s="6">
        <v>1994.51</v>
      </c>
      <c r="Z532" s="6">
        <v>0.05</v>
      </c>
      <c r="AA532" s="6">
        <f t="shared" si="135"/>
        <v>0.05</v>
      </c>
      <c r="AB532" s="6" t="str">
        <f t="shared" si="136"/>
        <v>Valid</v>
      </c>
      <c r="AC532" s="6">
        <v>17053.060000000001</v>
      </c>
      <c r="AD532" s="6" t="str">
        <f>IF(OR(AO532="Cancelled",AM532="Failed"),"Exclude from Completed Sales","Include in Completed Sales")</f>
        <v>Include in Completed Sales</v>
      </c>
      <c r="AE532" s="6">
        <f t="shared" si="137"/>
        <v>17053.0605</v>
      </c>
      <c r="AF532" s="6" t="str">
        <f t="shared" si="138"/>
        <v/>
      </c>
      <c r="AG532" s="6">
        <v>10742.38</v>
      </c>
      <c r="AH532" s="6">
        <v>6310.68</v>
      </c>
      <c r="AI532" s="6">
        <f t="shared" si="139"/>
        <v>6310.6805000000004</v>
      </c>
      <c r="AJ532" s="11">
        <f t="shared" si="140"/>
        <v>0.37006146198801093</v>
      </c>
      <c r="AK532" s="11" t="str">
        <f t="shared" si="141"/>
        <v>May</v>
      </c>
      <c r="AL532" s="12">
        <f t="shared" si="142"/>
        <v>2025</v>
      </c>
      <c r="AM532" s="6" t="s">
        <v>54</v>
      </c>
      <c r="AN532" s="6" t="s">
        <v>55</v>
      </c>
      <c r="AO532" s="6" t="str">
        <f t="shared" si="134"/>
        <v>Completed</v>
      </c>
    </row>
    <row r="533" spans="1:41">
      <c r="A533" s="6" t="s">
        <v>2589</v>
      </c>
      <c r="B533" s="7" t="s">
        <v>1319</v>
      </c>
      <c r="C533" s="8">
        <v>45505</v>
      </c>
      <c r="D533" s="7" t="s">
        <v>2590</v>
      </c>
      <c r="E533" s="9">
        <v>45512</v>
      </c>
      <c r="F533" s="9" t="str">
        <f t="shared" si="127"/>
        <v>Valid</v>
      </c>
      <c r="G533" s="10">
        <f t="shared" si="128"/>
        <v>7</v>
      </c>
      <c r="H533" s="10" t="str">
        <f t="shared" si="129"/>
        <v>Valid</v>
      </c>
      <c r="I533" s="6" t="s">
        <v>2591</v>
      </c>
      <c r="J533" s="6" t="s">
        <v>230</v>
      </c>
      <c r="K533" s="6" t="s">
        <v>230</v>
      </c>
      <c r="L533" s="6" t="s">
        <v>61</v>
      </c>
      <c r="M533" s="7" t="str">
        <f t="shared" si="130"/>
        <v>Small Business</v>
      </c>
      <c r="N533" s="6" t="s">
        <v>93</v>
      </c>
      <c r="O533" s="7" t="str">
        <f t="shared" si="131"/>
        <v>West</v>
      </c>
      <c r="P533" s="6" t="s">
        <v>94</v>
      </c>
      <c r="Q533" s="6" t="s">
        <v>95</v>
      </c>
      <c r="R533" s="6" t="s">
        <v>50</v>
      </c>
      <c r="S533" s="7" t="str">
        <f t="shared" si="132"/>
        <v>Office Supplies</v>
      </c>
      <c r="T533" s="6" t="s">
        <v>176</v>
      </c>
      <c r="U533" s="6" t="s">
        <v>2592</v>
      </c>
      <c r="V533" s="6"/>
      <c r="W533" s="7" t="str">
        <f t="shared" si="133"/>
        <v>Unknown</v>
      </c>
      <c r="X533" s="6">
        <v>1</v>
      </c>
      <c r="Y533" s="6">
        <v>442.97</v>
      </c>
      <c r="Z533" s="6">
        <v>0.1</v>
      </c>
      <c r="AA533" s="6">
        <f t="shared" si="135"/>
        <v>0.1</v>
      </c>
      <c r="AB533" s="6" t="str">
        <f t="shared" si="136"/>
        <v>Valid</v>
      </c>
      <c r="AC533" s="6">
        <v>398.67</v>
      </c>
      <c r="AD533" s="6" t="str">
        <f>IF(OR(AO533="Cancelled",AM533="Failed"),"Exclude from Completed Sales","Include in Completed Sales")</f>
        <v>Include in Completed Sales</v>
      </c>
      <c r="AE533" s="6">
        <f t="shared" si="137"/>
        <v>398.67300000000006</v>
      </c>
      <c r="AF533" s="6" t="str">
        <f t="shared" si="138"/>
        <v/>
      </c>
      <c r="AG533" s="6">
        <v>311.66000000000003</v>
      </c>
      <c r="AH533" s="6">
        <v>87.01</v>
      </c>
      <c r="AI533" s="6">
        <f t="shared" si="139"/>
        <v>87.013000000000034</v>
      </c>
      <c r="AJ533" s="11">
        <f t="shared" si="140"/>
        <v>0.21825656615822997</v>
      </c>
      <c r="AK533" s="11" t="str">
        <f t="shared" si="141"/>
        <v>August</v>
      </c>
      <c r="AL533" s="12">
        <f t="shared" si="142"/>
        <v>2024</v>
      </c>
      <c r="AM533" s="6" t="s">
        <v>54</v>
      </c>
      <c r="AN533" s="6" t="s">
        <v>55</v>
      </c>
      <c r="AO533" s="6" t="str">
        <f t="shared" si="134"/>
        <v>Completed</v>
      </c>
    </row>
    <row r="534" spans="1:41">
      <c r="A534" s="6" t="s">
        <v>2593</v>
      </c>
      <c r="B534" s="7" t="s">
        <v>2573</v>
      </c>
      <c r="C534" s="8">
        <v>45935</v>
      </c>
      <c r="D534" s="7" t="s">
        <v>328</v>
      </c>
      <c r="E534" s="9">
        <v>45940</v>
      </c>
      <c r="F534" s="9" t="str">
        <f t="shared" si="127"/>
        <v>Valid</v>
      </c>
      <c r="G534" s="10">
        <f t="shared" si="128"/>
        <v>5</v>
      </c>
      <c r="H534" s="10" t="str">
        <f t="shared" si="129"/>
        <v>Valid</v>
      </c>
      <c r="I534" s="6" t="s">
        <v>2594</v>
      </c>
      <c r="J534" s="6" t="s">
        <v>162</v>
      </c>
      <c r="K534" s="6" t="s">
        <v>162</v>
      </c>
      <c r="L534" s="6" t="s">
        <v>128</v>
      </c>
      <c r="M534" s="7" t="str">
        <f t="shared" si="130"/>
        <v>Corporate</v>
      </c>
      <c r="N534" s="6" t="s">
        <v>62</v>
      </c>
      <c r="O534" s="7" t="str">
        <f t="shared" si="131"/>
        <v>East</v>
      </c>
      <c r="P534" s="6" t="s">
        <v>236</v>
      </c>
      <c r="Q534" s="6" t="s">
        <v>237</v>
      </c>
      <c r="R534" s="6" t="s">
        <v>65</v>
      </c>
      <c r="S534" s="7" t="str">
        <f t="shared" si="132"/>
        <v>Furniture</v>
      </c>
      <c r="T534" s="6" t="s">
        <v>66</v>
      </c>
      <c r="U534" s="6" t="s">
        <v>2595</v>
      </c>
      <c r="V534" s="6" t="s">
        <v>53</v>
      </c>
      <c r="W534" s="7" t="str">
        <f t="shared" si="133"/>
        <v>Second Class</v>
      </c>
      <c r="X534" s="6">
        <v>9</v>
      </c>
      <c r="Y534" s="6">
        <v>2089.14</v>
      </c>
      <c r="Z534" s="6">
        <v>0.05</v>
      </c>
      <c r="AA534" s="6">
        <f t="shared" si="135"/>
        <v>0.05</v>
      </c>
      <c r="AB534" s="6" t="str">
        <f t="shared" si="136"/>
        <v>Valid</v>
      </c>
      <c r="AC534" s="6">
        <v>17862.150000000001</v>
      </c>
      <c r="AD534" s="6" t="str">
        <f>IF(OR(AO534="Cancelled",AM534="Failed"),"Exclude from Completed Sales","Include in Completed Sales")</f>
        <v>Exclude from Completed Sales</v>
      </c>
      <c r="AE534" s="6">
        <f t="shared" si="137"/>
        <v>17862.146999999997</v>
      </c>
      <c r="AF534" s="6" t="str">
        <f t="shared" si="138"/>
        <v/>
      </c>
      <c r="AG534" s="6">
        <v>9892.2099999999991</v>
      </c>
      <c r="AH534" s="6">
        <v>7969.94</v>
      </c>
      <c r="AI534" s="6">
        <f t="shared" si="139"/>
        <v>7969.9369999999981</v>
      </c>
      <c r="AJ534" s="11">
        <f t="shared" si="140"/>
        <v>0.44619143488182017</v>
      </c>
      <c r="AK534" s="11" t="str">
        <f t="shared" si="141"/>
        <v>October</v>
      </c>
      <c r="AL534" s="12">
        <f t="shared" si="142"/>
        <v>2025</v>
      </c>
      <c r="AM534" s="6" t="s">
        <v>220</v>
      </c>
      <c r="AN534" s="6" t="s">
        <v>98</v>
      </c>
      <c r="AO534" s="6" t="str">
        <f t="shared" si="134"/>
        <v>Cancelled</v>
      </c>
    </row>
    <row r="535" spans="1:41">
      <c r="A535" s="6" t="s">
        <v>2596</v>
      </c>
      <c r="B535" s="7" t="s">
        <v>2597</v>
      </c>
      <c r="C535" s="8">
        <v>45529</v>
      </c>
      <c r="D535" s="7" t="s">
        <v>415</v>
      </c>
      <c r="E535" s="9">
        <v>45536</v>
      </c>
      <c r="F535" s="9" t="str">
        <f t="shared" si="127"/>
        <v>Valid</v>
      </c>
      <c r="G535" s="10">
        <f t="shared" si="128"/>
        <v>7</v>
      </c>
      <c r="H535" s="10" t="str">
        <f t="shared" si="129"/>
        <v>Valid</v>
      </c>
      <c r="I535" s="6" t="s">
        <v>2598</v>
      </c>
      <c r="J535" s="6" t="s">
        <v>73</v>
      </c>
      <c r="K535" s="6" t="s">
        <v>73</v>
      </c>
      <c r="L535" s="6" t="s">
        <v>135</v>
      </c>
      <c r="M535" s="7" t="str">
        <f t="shared" si="130"/>
        <v>Home Office</v>
      </c>
      <c r="N535" s="6" t="s">
        <v>47</v>
      </c>
      <c r="O535" s="7" t="str">
        <f t="shared" si="131"/>
        <v>North</v>
      </c>
      <c r="P535" s="6" t="s">
        <v>48</v>
      </c>
      <c r="Q535" s="6" t="s">
        <v>49</v>
      </c>
      <c r="R535" s="6" t="s">
        <v>65</v>
      </c>
      <c r="S535" s="7" t="str">
        <f t="shared" si="132"/>
        <v>Furniture</v>
      </c>
      <c r="T535" s="6" t="s">
        <v>66</v>
      </c>
      <c r="U535" s="6" t="s">
        <v>2599</v>
      </c>
      <c r="V535" s="6" t="s">
        <v>68</v>
      </c>
      <c r="W535" s="7" t="str">
        <f t="shared" si="133"/>
        <v>Same Day</v>
      </c>
      <c r="X535" s="6">
        <v>6</v>
      </c>
      <c r="Y535" s="6">
        <v>481.3</v>
      </c>
      <c r="Z535" s="6">
        <v>0.25</v>
      </c>
      <c r="AA535" s="6">
        <f t="shared" si="135"/>
        <v>0.25</v>
      </c>
      <c r="AB535" s="6" t="str">
        <f t="shared" si="136"/>
        <v>Valid</v>
      </c>
      <c r="AC535" s="6">
        <v>2165.85</v>
      </c>
      <c r="AD535" s="6" t="str">
        <f>IF(OR(AO535="Cancelled",AM535="Failed"),"Exclude from Completed Sales","Include in Completed Sales")</f>
        <v>Include in Completed Sales</v>
      </c>
      <c r="AE535" s="6">
        <f t="shared" si="137"/>
        <v>2165.8500000000004</v>
      </c>
      <c r="AF535" s="6" t="str">
        <f t="shared" si="138"/>
        <v/>
      </c>
      <c r="AG535" s="6">
        <v>2124.48</v>
      </c>
      <c r="AH535" s="6">
        <v>430.45</v>
      </c>
      <c r="AI535" s="6">
        <f t="shared" si="139"/>
        <v>41.370000000000346</v>
      </c>
      <c r="AJ535" s="11">
        <f t="shared" si="140"/>
        <v>1.91010457787937E-2</v>
      </c>
      <c r="AK535" s="11" t="str">
        <f t="shared" si="141"/>
        <v>August</v>
      </c>
      <c r="AL535" s="12">
        <f t="shared" si="142"/>
        <v>2024</v>
      </c>
      <c r="AM535" s="6" t="s">
        <v>54</v>
      </c>
      <c r="AN535" s="6" t="s">
        <v>55</v>
      </c>
      <c r="AO535" s="6" t="str">
        <f t="shared" si="134"/>
        <v>Completed</v>
      </c>
    </row>
    <row r="536" spans="1:41">
      <c r="A536" s="6" t="s">
        <v>2600</v>
      </c>
      <c r="B536" s="7" t="s">
        <v>2601</v>
      </c>
      <c r="C536" s="8">
        <v>45774</v>
      </c>
      <c r="D536" s="7" t="s">
        <v>2602</v>
      </c>
      <c r="E536" s="9">
        <v>45782</v>
      </c>
      <c r="F536" s="9" t="str">
        <f t="shared" si="127"/>
        <v>Valid</v>
      </c>
      <c r="G536" s="10">
        <f t="shared" si="128"/>
        <v>8</v>
      </c>
      <c r="H536" s="10" t="str">
        <f t="shared" si="129"/>
        <v>Valid</v>
      </c>
      <c r="I536" s="6" t="s">
        <v>2603</v>
      </c>
      <c r="J536" s="6" t="s">
        <v>200</v>
      </c>
      <c r="K536" s="6" t="s">
        <v>200</v>
      </c>
      <c r="L536" s="6" t="s">
        <v>135</v>
      </c>
      <c r="M536" s="7" t="str">
        <f t="shared" si="130"/>
        <v>Home Office</v>
      </c>
      <c r="N536" s="6" t="s">
        <v>62</v>
      </c>
      <c r="O536" s="7" t="str">
        <f t="shared" si="131"/>
        <v>East</v>
      </c>
      <c r="P536" s="6" t="s">
        <v>206</v>
      </c>
      <c r="Q536" s="6" t="s">
        <v>207</v>
      </c>
      <c r="R536" s="6" t="s">
        <v>106</v>
      </c>
      <c r="S536" s="7" t="str">
        <f t="shared" si="132"/>
        <v>Technology</v>
      </c>
      <c r="T536" s="6" t="s">
        <v>107</v>
      </c>
      <c r="U536" s="6" t="s">
        <v>2604</v>
      </c>
      <c r="V536" s="6" t="s">
        <v>53</v>
      </c>
      <c r="W536" s="7" t="str">
        <f t="shared" si="133"/>
        <v>Second Class</v>
      </c>
      <c r="X536" s="6">
        <v>4</v>
      </c>
      <c r="Y536" s="6">
        <v>3963.39</v>
      </c>
      <c r="Z536" s="6">
        <v>0.1</v>
      </c>
      <c r="AA536" s="6">
        <f t="shared" si="135"/>
        <v>0.1</v>
      </c>
      <c r="AB536" s="6" t="str">
        <f t="shared" si="136"/>
        <v>Valid</v>
      </c>
      <c r="AC536" s="6">
        <v>14268.2</v>
      </c>
      <c r="AD536" s="6" t="str">
        <f>IF(OR(AO536="Cancelled",AM536="Failed"),"Exclude from Completed Sales","Include in Completed Sales")</f>
        <v>Include in Completed Sales</v>
      </c>
      <c r="AE536" s="6">
        <f t="shared" si="137"/>
        <v>14268.204</v>
      </c>
      <c r="AF536" s="6" t="str">
        <f t="shared" si="138"/>
        <v/>
      </c>
      <c r="AG536" s="6">
        <v>11705.3</v>
      </c>
      <c r="AH536" s="6">
        <v>2562.9</v>
      </c>
      <c r="AI536" s="6">
        <f t="shared" si="139"/>
        <v>2562.9040000000005</v>
      </c>
      <c r="AJ536" s="11">
        <f t="shared" si="140"/>
        <v>0.17962344805274724</v>
      </c>
      <c r="AK536" s="11" t="str">
        <f t="shared" si="141"/>
        <v>April</v>
      </c>
      <c r="AL536" s="12">
        <f t="shared" si="142"/>
        <v>2025</v>
      </c>
      <c r="AM536" s="6" t="s">
        <v>157</v>
      </c>
      <c r="AN536" s="6" t="s">
        <v>145</v>
      </c>
      <c r="AO536" s="6" t="str">
        <f t="shared" si="134"/>
        <v>Returned</v>
      </c>
    </row>
    <row r="537" spans="1:41">
      <c r="A537" s="6" t="s">
        <v>2605</v>
      </c>
      <c r="B537" s="7" t="s">
        <v>2606</v>
      </c>
      <c r="C537" s="8">
        <v>45431</v>
      </c>
      <c r="D537" s="7" t="s">
        <v>2607</v>
      </c>
      <c r="E537" s="9">
        <v>45433</v>
      </c>
      <c r="F537" s="9" t="str">
        <f t="shared" si="127"/>
        <v>Valid</v>
      </c>
      <c r="G537" s="10">
        <f t="shared" si="128"/>
        <v>2</v>
      </c>
      <c r="H537" s="10" t="str">
        <f t="shared" si="129"/>
        <v>Valid</v>
      </c>
      <c r="I537" s="6" t="s">
        <v>2608</v>
      </c>
      <c r="J537" s="6" t="s">
        <v>230</v>
      </c>
      <c r="K537" s="6" t="s">
        <v>230</v>
      </c>
      <c r="L537" s="6" t="s">
        <v>61</v>
      </c>
      <c r="M537" s="7" t="str">
        <f t="shared" si="130"/>
        <v>Small Business</v>
      </c>
      <c r="N537" s="6" t="s">
        <v>93</v>
      </c>
      <c r="O537" s="7" t="str">
        <f t="shared" si="131"/>
        <v>West</v>
      </c>
      <c r="P537" s="6" t="s">
        <v>94</v>
      </c>
      <c r="Q537" s="6" t="s">
        <v>95</v>
      </c>
      <c r="R537" s="6" t="s">
        <v>106</v>
      </c>
      <c r="S537" s="7" t="str">
        <f t="shared" si="132"/>
        <v>Technology</v>
      </c>
      <c r="T537" s="6" t="s">
        <v>114</v>
      </c>
      <c r="U537" s="6" t="s">
        <v>2609</v>
      </c>
      <c r="V537" s="6" t="s">
        <v>76</v>
      </c>
      <c r="W537" s="7" t="str">
        <f t="shared" si="133"/>
        <v>First Class</v>
      </c>
      <c r="X537" s="6">
        <v>3</v>
      </c>
      <c r="Y537" s="6">
        <v>4000.98</v>
      </c>
      <c r="Z537" s="6">
        <v>0.2</v>
      </c>
      <c r="AA537" s="6">
        <f t="shared" si="135"/>
        <v>0.2</v>
      </c>
      <c r="AB537" s="6" t="str">
        <f t="shared" si="136"/>
        <v>Valid</v>
      </c>
      <c r="AC537" s="6">
        <v>9602.35</v>
      </c>
      <c r="AD537" s="6" t="str">
        <f>IF(OR(AO537="Cancelled",AM537="Failed"),"Exclude from Completed Sales","Include in Completed Sales")</f>
        <v>Include in Completed Sales</v>
      </c>
      <c r="AE537" s="6">
        <f t="shared" si="137"/>
        <v>9602.3520000000008</v>
      </c>
      <c r="AF537" s="6" t="str">
        <f t="shared" si="138"/>
        <v/>
      </c>
      <c r="AG537" s="6">
        <v>7387.57</v>
      </c>
      <c r="AH537" s="6">
        <v>2214.7800000000002</v>
      </c>
      <c r="AI537" s="6">
        <f t="shared" si="139"/>
        <v>2214.7820000000011</v>
      </c>
      <c r="AJ537" s="11">
        <f t="shared" si="140"/>
        <v>0.23064994909580494</v>
      </c>
      <c r="AK537" s="11" t="str">
        <f t="shared" si="141"/>
        <v>May</v>
      </c>
      <c r="AL537" s="12">
        <f t="shared" si="142"/>
        <v>2024</v>
      </c>
      <c r="AM537" s="6" t="s">
        <v>54</v>
      </c>
      <c r="AN537" s="6" t="s">
        <v>55</v>
      </c>
      <c r="AO537" s="6" t="str">
        <f t="shared" si="134"/>
        <v>Completed</v>
      </c>
    </row>
    <row r="538" spans="1:41">
      <c r="A538" s="6" t="s">
        <v>2610</v>
      </c>
      <c r="B538" s="7" t="s">
        <v>2611</v>
      </c>
      <c r="C538" s="8">
        <v>45757</v>
      </c>
      <c r="D538" s="7" t="s">
        <v>2612</v>
      </c>
      <c r="E538" s="9">
        <v>45764</v>
      </c>
      <c r="F538" s="9" t="str">
        <f t="shared" si="127"/>
        <v>Valid</v>
      </c>
      <c r="G538" s="10">
        <f t="shared" si="128"/>
        <v>7</v>
      </c>
      <c r="H538" s="10" t="str">
        <f t="shared" si="129"/>
        <v>Valid</v>
      </c>
      <c r="I538" s="6" t="s">
        <v>2613</v>
      </c>
      <c r="J538" s="6" t="s">
        <v>92</v>
      </c>
      <c r="K538" s="6" t="s">
        <v>92</v>
      </c>
      <c r="L538" s="6" t="s">
        <v>61</v>
      </c>
      <c r="M538" s="7" t="str">
        <f t="shared" si="130"/>
        <v>Small Business</v>
      </c>
      <c r="N538" s="6" t="s">
        <v>93</v>
      </c>
      <c r="O538" s="7" t="str">
        <f t="shared" si="131"/>
        <v>West</v>
      </c>
      <c r="P538" s="6" t="s">
        <v>48</v>
      </c>
      <c r="Q538" s="6" t="s">
        <v>155</v>
      </c>
      <c r="R538" s="6" t="s">
        <v>65</v>
      </c>
      <c r="S538" s="7" t="str">
        <f t="shared" si="132"/>
        <v>Furniture</v>
      </c>
      <c r="T538" s="6" t="s">
        <v>96</v>
      </c>
      <c r="U538" s="6" t="s">
        <v>2614</v>
      </c>
      <c r="V538" s="6" t="s">
        <v>76</v>
      </c>
      <c r="W538" s="7" t="str">
        <f t="shared" si="133"/>
        <v>First Class</v>
      </c>
      <c r="X538" s="6">
        <v>7</v>
      </c>
      <c r="Y538" s="6">
        <v>3788.9</v>
      </c>
      <c r="Z538" s="6">
        <v>0.25</v>
      </c>
      <c r="AA538" s="6">
        <f t="shared" si="135"/>
        <v>0.25</v>
      </c>
      <c r="AB538" s="6" t="str">
        <f t="shared" si="136"/>
        <v>Valid</v>
      </c>
      <c r="AC538" s="6">
        <v>19891.72</v>
      </c>
      <c r="AD538" s="6" t="str">
        <f>IF(OR(AO538="Cancelled",AM538="Failed"),"Exclude from Completed Sales","Include in Completed Sales")</f>
        <v>Exclude from Completed Sales</v>
      </c>
      <c r="AE538" s="6">
        <f t="shared" si="137"/>
        <v>19891.724999999999</v>
      </c>
      <c r="AF538" s="6" t="str">
        <f t="shared" si="138"/>
        <v/>
      </c>
      <c r="AG538" s="6">
        <v>12295.76</v>
      </c>
      <c r="AH538" s="6">
        <v>7595.96</v>
      </c>
      <c r="AI538" s="6">
        <f t="shared" si="139"/>
        <v>7595.9649999999983</v>
      </c>
      <c r="AJ538" s="11">
        <f t="shared" si="140"/>
        <v>0.38186557475533162</v>
      </c>
      <c r="AK538" s="11" t="str">
        <f t="shared" si="141"/>
        <v>April</v>
      </c>
      <c r="AL538" s="12">
        <f t="shared" si="142"/>
        <v>2025</v>
      </c>
      <c r="AM538" s="6" t="s">
        <v>220</v>
      </c>
      <c r="AN538" s="6" t="s">
        <v>98</v>
      </c>
      <c r="AO538" s="6" t="str">
        <f t="shared" si="134"/>
        <v>Cancelled</v>
      </c>
    </row>
    <row r="539" spans="1:41">
      <c r="A539" s="6" t="s">
        <v>2615</v>
      </c>
      <c r="B539" s="7" t="s">
        <v>2058</v>
      </c>
      <c r="C539" s="8">
        <v>45313</v>
      </c>
      <c r="D539" s="7" t="s">
        <v>2616</v>
      </c>
      <c r="E539" s="9">
        <v>45321</v>
      </c>
      <c r="F539" s="9" t="str">
        <f t="shared" si="127"/>
        <v>Valid</v>
      </c>
      <c r="G539" s="10">
        <f t="shared" si="128"/>
        <v>8</v>
      </c>
      <c r="H539" s="10" t="str">
        <f t="shared" si="129"/>
        <v>Valid</v>
      </c>
      <c r="I539" s="6" t="s">
        <v>2617</v>
      </c>
      <c r="J539" s="6" t="s">
        <v>92</v>
      </c>
      <c r="K539" s="6" t="s">
        <v>92</v>
      </c>
      <c r="L539" s="6" t="s">
        <v>61</v>
      </c>
      <c r="M539" s="7" t="str">
        <f t="shared" si="130"/>
        <v>Small Business</v>
      </c>
      <c r="N539" s="6" t="s">
        <v>47</v>
      </c>
      <c r="O539" s="7" t="str">
        <f t="shared" si="131"/>
        <v>North</v>
      </c>
      <c r="P539" s="6" t="s">
        <v>343</v>
      </c>
      <c r="Q539" s="6" t="s">
        <v>344</v>
      </c>
      <c r="R539" s="6" t="s">
        <v>50</v>
      </c>
      <c r="S539" s="7" t="str">
        <f t="shared" si="132"/>
        <v>Office Supplies</v>
      </c>
      <c r="T539" s="6" t="s">
        <v>74</v>
      </c>
      <c r="U539" s="6" t="s">
        <v>2618</v>
      </c>
      <c r="V539" s="6" t="s">
        <v>68</v>
      </c>
      <c r="W539" s="7" t="str">
        <f t="shared" si="133"/>
        <v>Same Day</v>
      </c>
      <c r="X539" s="6">
        <v>3</v>
      </c>
      <c r="Y539" s="6">
        <v>676.37</v>
      </c>
      <c r="Z539" s="6">
        <v>0.05</v>
      </c>
      <c r="AA539" s="6">
        <f t="shared" si="135"/>
        <v>0.05</v>
      </c>
      <c r="AB539" s="6" t="str">
        <f t="shared" si="136"/>
        <v>Valid</v>
      </c>
      <c r="AC539" s="6">
        <v>1927.65</v>
      </c>
      <c r="AD539" s="6" t="str">
        <f>IF(OR(AO539="Cancelled",AM539="Failed"),"Exclude from Completed Sales","Include in Completed Sales")</f>
        <v>Exclude from Completed Sales</v>
      </c>
      <c r="AE539" s="6">
        <f t="shared" si="137"/>
        <v>1927.6545000000001</v>
      </c>
      <c r="AF539" s="6" t="str">
        <f t="shared" si="138"/>
        <v/>
      </c>
      <c r="AG539" s="6">
        <v>1460.6</v>
      </c>
      <c r="AH539" s="6">
        <v>467.05</v>
      </c>
      <c r="AI539" s="6">
        <f t="shared" si="139"/>
        <v>467.05450000000019</v>
      </c>
      <c r="AJ539" s="11">
        <f t="shared" si="140"/>
        <v>0.24229160360427668</v>
      </c>
      <c r="AK539" s="11" t="str">
        <f t="shared" si="141"/>
        <v>January</v>
      </c>
      <c r="AL539" s="12">
        <f t="shared" si="142"/>
        <v>2024</v>
      </c>
      <c r="AM539" s="6" t="s">
        <v>220</v>
      </c>
      <c r="AN539" s="6" t="s">
        <v>98</v>
      </c>
      <c r="AO539" s="6" t="str">
        <f t="shared" si="134"/>
        <v>Cancelled</v>
      </c>
    </row>
    <row r="540" spans="1:41">
      <c r="A540" s="6" t="s">
        <v>2619</v>
      </c>
      <c r="B540" s="7" t="s">
        <v>2286</v>
      </c>
      <c r="C540" s="8">
        <v>45560</v>
      </c>
      <c r="D540" s="7" t="s">
        <v>2620</v>
      </c>
      <c r="E540" s="9">
        <v>45566</v>
      </c>
      <c r="F540" s="9" t="str">
        <f t="shared" si="127"/>
        <v>Valid</v>
      </c>
      <c r="G540" s="10">
        <f t="shared" si="128"/>
        <v>6</v>
      </c>
      <c r="H540" s="10" t="str">
        <f t="shared" si="129"/>
        <v>Valid</v>
      </c>
      <c r="I540" s="6" t="s">
        <v>2621</v>
      </c>
      <c r="J540" s="6" t="s">
        <v>230</v>
      </c>
      <c r="K540" s="6" t="s">
        <v>230</v>
      </c>
      <c r="L540" s="6" t="s">
        <v>61</v>
      </c>
      <c r="M540" s="7" t="str">
        <f t="shared" si="130"/>
        <v>Small Business</v>
      </c>
      <c r="N540" s="6" t="s">
        <v>62</v>
      </c>
      <c r="O540" s="7" t="str">
        <f t="shared" si="131"/>
        <v>East</v>
      </c>
      <c r="P540" s="6" t="s">
        <v>331</v>
      </c>
      <c r="Q540" s="6" t="s">
        <v>332</v>
      </c>
      <c r="R540" s="6" t="s">
        <v>65</v>
      </c>
      <c r="S540" s="7" t="str">
        <f t="shared" si="132"/>
        <v>Furniture</v>
      </c>
      <c r="T540" s="6" t="s">
        <v>66</v>
      </c>
      <c r="U540" s="6" t="s">
        <v>2622</v>
      </c>
      <c r="V540" s="6" t="s">
        <v>53</v>
      </c>
      <c r="W540" s="7" t="str">
        <f t="shared" si="133"/>
        <v>Second Class</v>
      </c>
      <c r="X540" s="6">
        <v>9</v>
      </c>
      <c r="Y540" s="6">
        <v>3908.6</v>
      </c>
      <c r="Z540" s="6">
        <v>0.15</v>
      </c>
      <c r="AA540" s="6">
        <f t="shared" si="135"/>
        <v>0.15</v>
      </c>
      <c r="AB540" s="6" t="str">
        <f t="shared" si="136"/>
        <v>Valid</v>
      </c>
      <c r="AC540" s="6">
        <v>29900.79</v>
      </c>
      <c r="AD540" s="6" t="str">
        <f>IF(OR(AO540="Cancelled",AM540="Failed"),"Exclude from Completed Sales","Include in Completed Sales")</f>
        <v>Include in Completed Sales</v>
      </c>
      <c r="AE540" s="6">
        <f t="shared" si="137"/>
        <v>29900.79</v>
      </c>
      <c r="AF540" s="6" t="str">
        <f t="shared" si="138"/>
        <v/>
      </c>
      <c r="AG540" s="6">
        <v>24650.67</v>
      </c>
      <c r="AH540" s="6">
        <v>5250.12</v>
      </c>
      <c r="AI540" s="6">
        <f t="shared" si="139"/>
        <v>5250.1200000000026</v>
      </c>
      <c r="AJ540" s="11">
        <f t="shared" si="140"/>
        <v>0.17558465846554563</v>
      </c>
      <c r="AK540" s="11" t="str">
        <f t="shared" si="141"/>
        <v>September</v>
      </c>
      <c r="AL540" s="12">
        <f t="shared" si="142"/>
        <v>2024</v>
      </c>
      <c r="AM540" s="6" t="s">
        <v>54</v>
      </c>
      <c r="AN540" s="6" t="s">
        <v>55</v>
      </c>
      <c r="AO540" s="6" t="str">
        <f t="shared" si="134"/>
        <v>Completed</v>
      </c>
    </row>
    <row r="541" spans="1:41">
      <c r="A541" s="6" t="s">
        <v>2623</v>
      </c>
      <c r="B541" s="7" t="s">
        <v>1236</v>
      </c>
      <c r="C541" s="8">
        <v>45842</v>
      </c>
      <c r="D541" s="7" t="s">
        <v>2435</v>
      </c>
      <c r="E541" s="9">
        <v>45842</v>
      </c>
      <c r="F541" s="9" t="str">
        <f t="shared" si="127"/>
        <v>Valid</v>
      </c>
      <c r="G541" s="10">
        <f t="shared" si="128"/>
        <v>0</v>
      </c>
      <c r="H541" s="10" t="str">
        <f t="shared" si="129"/>
        <v>Valid</v>
      </c>
      <c r="I541" s="6" t="s">
        <v>2624</v>
      </c>
      <c r="J541" s="6" t="s">
        <v>2625</v>
      </c>
      <c r="K541" s="6" t="s">
        <v>2625</v>
      </c>
      <c r="L541" s="6" t="s">
        <v>61</v>
      </c>
      <c r="M541" s="7" t="str">
        <f t="shared" si="130"/>
        <v>Small Business</v>
      </c>
      <c r="N541" s="6" t="s">
        <v>82</v>
      </c>
      <c r="O541" s="7" t="str">
        <f t="shared" si="131"/>
        <v>South</v>
      </c>
      <c r="P541" s="6" t="s">
        <v>359</v>
      </c>
      <c r="Q541" s="6" t="s">
        <v>360</v>
      </c>
      <c r="R541" s="6" t="s">
        <v>65</v>
      </c>
      <c r="S541" s="7" t="str">
        <f t="shared" si="132"/>
        <v>Furniture</v>
      </c>
      <c r="T541" s="6" t="s">
        <v>96</v>
      </c>
      <c r="U541" s="6" t="s">
        <v>2626</v>
      </c>
      <c r="V541" s="6" t="s">
        <v>87</v>
      </c>
      <c r="W541" s="7" t="str">
        <f t="shared" si="133"/>
        <v>Standard Class</v>
      </c>
      <c r="X541" s="6">
        <v>3</v>
      </c>
      <c r="Y541" s="6">
        <v>705.35</v>
      </c>
      <c r="Z541" s="6">
        <v>0.1</v>
      </c>
      <c r="AA541" s="6">
        <f t="shared" si="135"/>
        <v>0.1</v>
      </c>
      <c r="AB541" s="6" t="str">
        <f t="shared" si="136"/>
        <v>Valid</v>
      </c>
      <c r="AC541" s="6">
        <v>1904.45</v>
      </c>
      <c r="AD541" s="6" t="str">
        <f>IF(OR(AO541="Cancelled",AM541="Failed"),"Exclude from Completed Sales","Include in Completed Sales")</f>
        <v>Exclude from Completed Sales</v>
      </c>
      <c r="AE541" s="6">
        <f t="shared" si="137"/>
        <v>1904.4450000000002</v>
      </c>
      <c r="AF541" s="6" t="str">
        <f t="shared" si="138"/>
        <v/>
      </c>
      <c r="AG541" s="6">
        <v>1316.54</v>
      </c>
      <c r="AH541" s="6">
        <v>587.91</v>
      </c>
      <c r="AI541" s="6">
        <f t="shared" si="139"/>
        <v>587.9050000000002</v>
      </c>
      <c r="AJ541" s="11">
        <f t="shared" si="140"/>
        <v>0.30870148520960183</v>
      </c>
      <c r="AK541" s="11" t="str">
        <f t="shared" si="141"/>
        <v>July</v>
      </c>
      <c r="AL541" s="12">
        <f t="shared" si="142"/>
        <v>2025</v>
      </c>
      <c r="AM541" s="6" t="s">
        <v>54</v>
      </c>
      <c r="AN541" s="6" t="s">
        <v>98</v>
      </c>
      <c r="AO541" s="6" t="str">
        <f t="shared" si="134"/>
        <v>Cancelled</v>
      </c>
    </row>
    <row r="542" spans="1:41">
      <c r="A542" s="6" t="s">
        <v>2627</v>
      </c>
      <c r="B542" s="7" t="s">
        <v>2628</v>
      </c>
      <c r="C542" s="8">
        <v>45348</v>
      </c>
      <c r="D542" s="7" t="s">
        <v>2363</v>
      </c>
      <c r="E542" s="9">
        <v>45345</v>
      </c>
      <c r="F542" s="9" t="str">
        <f t="shared" si="127"/>
        <v>Invalid Shipping Record</v>
      </c>
      <c r="G542" s="10">
        <f t="shared" si="128"/>
        <v>-3</v>
      </c>
      <c r="H542" s="10" t="str">
        <f t="shared" si="129"/>
        <v>Invalid Shipping Record</v>
      </c>
      <c r="I542" s="6" t="s">
        <v>2629</v>
      </c>
      <c r="J542" s="6" t="s">
        <v>386</v>
      </c>
      <c r="K542" s="6" t="s">
        <v>386</v>
      </c>
      <c r="L542" s="6" t="s">
        <v>46</v>
      </c>
      <c r="M542" s="7" t="str">
        <f t="shared" si="130"/>
        <v>Consumer</v>
      </c>
      <c r="N542" s="6" t="s">
        <v>93</v>
      </c>
      <c r="O542" s="7" t="str">
        <f t="shared" si="131"/>
        <v>West</v>
      </c>
      <c r="P542" s="6" t="s">
        <v>255</v>
      </c>
      <c r="Q542" s="6" t="s">
        <v>256</v>
      </c>
      <c r="R542" s="6" t="s">
        <v>65</v>
      </c>
      <c r="S542" s="7" t="str">
        <f t="shared" si="132"/>
        <v>Furniture</v>
      </c>
      <c r="T542" s="6" t="s">
        <v>85</v>
      </c>
      <c r="U542" s="6" t="s">
        <v>2630</v>
      </c>
      <c r="V542" s="6" t="s">
        <v>87</v>
      </c>
      <c r="W542" s="7" t="str">
        <f t="shared" si="133"/>
        <v>Standard Class</v>
      </c>
      <c r="X542" s="6">
        <v>7</v>
      </c>
      <c r="Y542" s="6">
        <v>3852.07</v>
      </c>
      <c r="Z542" s="6">
        <v>0.2</v>
      </c>
      <c r="AA542" s="6">
        <f t="shared" si="135"/>
        <v>0.2</v>
      </c>
      <c r="AB542" s="6" t="str">
        <f t="shared" si="136"/>
        <v>Valid</v>
      </c>
      <c r="AC542" s="6">
        <v>21571.59</v>
      </c>
      <c r="AD542" s="6" t="str">
        <f>IF(OR(AO542="Cancelled",AM542="Failed"),"Exclude from Completed Sales","Include in Completed Sales")</f>
        <v>Include in Completed Sales</v>
      </c>
      <c r="AE542" s="6">
        <f t="shared" si="137"/>
        <v>21571.592000000004</v>
      </c>
      <c r="AF542" s="6" t="str">
        <f t="shared" si="138"/>
        <v/>
      </c>
      <c r="AG542" s="6">
        <v>17118.07</v>
      </c>
      <c r="AH542" s="6">
        <v>4453.5200000000004</v>
      </c>
      <c r="AI542" s="6">
        <f t="shared" si="139"/>
        <v>4453.5220000000045</v>
      </c>
      <c r="AJ542" s="11">
        <f t="shared" si="140"/>
        <v>0.20645309813017063</v>
      </c>
      <c r="AK542" s="11" t="str">
        <f t="shared" si="141"/>
        <v>February</v>
      </c>
      <c r="AL542" s="12">
        <f t="shared" si="142"/>
        <v>2024</v>
      </c>
      <c r="AM542" s="6" t="s">
        <v>54</v>
      </c>
      <c r="AN542" s="6" t="s">
        <v>55</v>
      </c>
      <c r="AO542" s="6" t="str">
        <f t="shared" si="134"/>
        <v>Completed</v>
      </c>
    </row>
    <row r="543" spans="1:41">
      <c r="A543" s="6" t="s">
        <v>2631</v>
      </c>
      <c r="B543" s="7" t="s">
        <v>2632</v>
      </c>
      <c r="C543" s="8">
        <v>45846</v>
      </c>
      <c r="D543" s="7" t="s">
        <v>2633</v>
      </c>
      <c r="E543" s="9">
        <v>45847</v>
      </c>
      <c r="F543" s="9" t="str">
        <f t="shared" si="127"/>
        <v>Valid</v>
      </c>
      <c r="G543" s="10">
        <f t="shared" si="128"/>
        <v>1</v>
      </c>
      <c r="H543" s="10" t="str">
        <f t="shared" si="129"/>
        <v>Valid</v>
      </c>
      <c r="I543" s="6" t="s">
        <v>2634</v>
      </c>
      <c r="J543" s="6" t="s">
        <v>188</v>
      </c>
      <c r="K543" s="6" t="s">
        <v>188</v>
      </c>
      <c r="L543" s="6" t="s">
        <v>46</v>
      </c>
      <c r="M543" s="7" t="str">
        <f t="shared" si="130"/>
        <v>Consumer</v>
      </c>
      <c r="N543" s="6" t="s">
        <v>93</v>
      </c>
      <c r="O543" s="7" t="str">
        <f t="shared" si="131"/>
        <v>West</v>
      </c>
      <c r="P543" s="6" t="s">
        <v>94</v>
      </c>
      <c r="Q543" s="6" t="s">
        <v>95</v>
      </c>
      <c r="R543" s="6" t="s">
        <v>106</v>
      </c>
      <c r="S543" s="7" t="str">
        <f t="shared" si="132"/>
        <v>Technology</v>
      </c>
      <c r="T543" s="6" t="s">
        <v>114</v>
      </c>
      <c r="U543" s="6" t="s">
        <v>2635</v>
      </c>
      <c r="V543" s="6" t="s">
        <v>68</v>
      </c>
      <c r="W543" s="7" t="str">
        <f t="shared" si="133"/>
        <v>Same Day</v>
      </c>
      <c r="X543" s="6">
        <v>3</v>
      </c>
      <c r="Y543" s="6">
        <v>2880.56</v>
      </c>
      <c r="Z543" s="6">
        <v>0</v>
      </c>
      <c r="AA543" s="6">
        <f t="shared" si="135"/>
        <v>0</v>
      </c>
      <c r="AB543" s="6" t="str">
        <f t="shared" si="136"/>
        <v>Valid</v>
      </c>
      <c r="AC543" s="6">
        <v>8641.68</v>
      </c>
      <c r="AD543" s="6" t="str">
        <f>IF(OR(AO543="Cancelled",AM543="Failed"),"Exclude from Completed Sales","Include in Completed Sales")</f>
        <v>Include in Completed Sales</v>
      </c>
      <c r="AE543" s="6">
        <f t="shared" si="137"/>
        <v>8641.68</v>
      </c>
      <c r="AF543" s="6" t="str">
        <f t="shared" si="138"/>
        <v/>
      </c>
      <c r="AG543" s="6">
        <v>5747.09</v>
      </c>
      <c r="AH543" s="6">
        <v>2894.59</v>
      </c>
      <c r="AI543" s="6">
        <f t="shared" si="139"/>
        <v>2894.59</v>
      </c>
      <c r="AJ543" s="11">
        <f t="shared" si="140"/>
        <v>0.33495686024013849</v>
      </c>
      <c r="AK543" s="11" t="str">
        <f t="shared" si="141"/>
        <v>July</v>
      </c>
      <c r="AL543" s="12">
        <f t="shared" si="142"/>
        <v>2025</v>
      </c>
      <c r="AM543" s="6" t="s">
        <v>54</v>
      </c>
      <c r="AN543" s="6" t="s">
        <v>145</v>
      </c>
      <c r="AO543" s="6" t="str">
        <f t="shared" si="134"/>
        <v>Returned</v>
      </c>
    </row>
    <row r="544" spans="1:41">
      <c r="A544" s="6" t="s">
        <v>2636</v>
      </c>
      <c r="B544" s="7" t="s">
        <v>2637</v>
      </c>
      <c r="C544" s="8">
        <v>45552</v>
      </c>
      <c r="D544" s="7" t="s">
        <v>2638</v>
      </c>
      <c r="E544" s="9">
        <v>45558</v>
      </c>
      <c r="F544" s="9" t="str">
        <f t="shared" si="127"/>
        <v>Valid</v>
      </c>
      <c r="G544" s="10">
        <f t="shared" si="128"/>
        <v>6</v>
      </c>
      <c r="H544" s="10" t="str">
        <f t="shared" si="129"/>
        <v>Valid</v>
      </c>
      <c r="I544" s="6" t="s">
        <v>2639</v>
      </c>
      <c r="J544" s="6" t="s">
        <v>168</v>
      </c>
      <c r="K544" s="6" t="s">
        <v>168</v>
      </c>
      <c r="L544" s="6" t="s">
        <v>135</v>
      </c>
      <c r="M544" s="7" t="str">
        <f t="shared" si="130"/>
        <v>Home Office</v>
      </c>
      <c r="N544" s="6" t="s">
        <v>82</v>
      </c>
      <c r="O544" s="7" t="str">
        <f t="shared" si="131"/>
        <v>South</v>
      </c>
      <c r="P544" s="6" t="s">
        <v>262</v>
      </c>
      <c r="Q544" s="6" t="s">
        <v>263</v>
      </c>
      <c r="R544" s="6" t="s">
        <v>65</v>
      </c>
      <c r="S544" s="7" t="str">
        <f t="shared" si="132"/>
        <v>Furniture</v>
      </c>
      <c r="T544" s="6" t="s">
        <v>224</v>
      </c>
      <c r="U544" s="6" t="s">
        <v>2640</v>
      </c>
      <c r="V544" s="6" t="s">
        <v>53</v>
      </c>
      <c r="W544" s="7" t="str">
        <f t="shared" si="133"/>
        <v>Second Class</v>
      </c>
      <c r="X544" s="6">
        <v>3</v>
      </c>
      <c r="Y544" s="6">
        <v>4067.62</v>
      </c>
      <c r="Z544" s="6">
        <v>0.2</v>
      </c>
      <c r="AA544" s="6">
        <f t="shared" si="135"/>
        <v>0.2</v>
      </c>
      <c r="AB544" s="6" t="str">
        <f t="shared" si="136"/>
        <v>Valid</v>
      </c>
      <c r="AC544" s="6">
        <v>9988.5300000000007</v>
      </c>
      <c r="AD544" s="6" t="str">
        <f>IF(OR(AO544="Cancelled",AM544="Failed"),"Exclude from Completed Sales","Include in Completed Sales")</f>
        <v>Exclude from Completed Sales</v>
      </c>
      <c r="AE544" s="6">
        <f t="shared" si="137"/>
        <v>9762.2880000000005</v>
      </c>
      <c r="AF544" s="6" t="str">
        <f t="shared" si="138"/>
        <v/>
      </c>
      <c r="AG544" s="6">
        <v>8368.24</v>
      </c>
      <c r="AH544" s="6">
        <v>1394.05</v>
      </c>
      <c r="AI544" s="6">
        <f t="shared" si="139"/>
        <v>1394.0480000000007</v>
      </c>
      <c r="AJ544" s="11">
        <f t="shared" si="140"/>
        <v>0.14279931098119628</v>
      </c>
      <c r="AK544" s="11" t="str">
        <f t="shared" si="141"/>
        <v>September</v>
      </c>
      <c r="AL544" s="12">
        <f t="shared" si="142"/>
        <v>2024</v>
      </c>
      <c r="AM544" s="6" t="s">
        <v>54</v>
      </c>
      <c r="AN544" s="6" t="s">
        <v>2641</v>
      </c>
      <c r="AO544" s="6" t="str">
        <f t="shared" si="134"/>
        <v>Cancelled</v>
      </c>
    </row>
    <row r="545" spans="1:41">
      <c r="A545" s="6" t="s">
        <v>2642</v>
      </c>
      <c r="B545" s="7" t="s">
        <v>2643</v>
      </c>
      <c r="C545" s="8">
        <v>45487</v>
      </c>
      <c r="D545" s="7" t="s">
        <v>420</v>
      </c>
      <c r="E545" s="9">
        <v>45493</v>
      </c>
      <c r="F545" s="9" t="str">
        <f t="shared" si="127"/>
        <v>Valid</v>
      </c>
      <c r="G545" s="10">
        <f t="shared" si="128"/>
        <v>6</v>
      </c>
      <c r="H545" s="10" t="str">
        <f t="shared" si="129"/>
        <v>Valid</v>
      </c>
      <c r="I545" s="6" t="s">
        <v>2644</v>
      </c>
      <c r="J545" s="6" t="s">
        <v>60</v>
      </c>
      <c r="K545" s="6" t="s">
        <v>60</v>
      </c>
      <c r="L545" s="6" t="s">
        <v>46</v>
      </c>
      <c r="M545" s="7" t="str">
        <f t="shared" si="130"/>
        <v>Consumer</v>
      </c>
      <c r="N545" s="6" t="s">
        <v>62</v>
      </c>
      <c r="O545" s="7" t="str">
        <f t="shared" si="131"/>
        <v>East</v>
      </c>
      <c r="P545" s="6" t="s">
        <v>206</v>
      </c>
      <c r="Q545" s="6" t="s">
        <v>207</v>
      </c>
      <c r="R545" s="6" t="s">
        <v>106</v>
      </c>
      <c r="S545" s="7" t="str">
        <f t="shared" si="132"/>
        <v>Technology</v>
      </c>
      <c r="T545" s="6" t="s">
        <v>114</v>
      </c>
      <c r="U545" s="6" t="s">
        <v>2645</v>
      </c>
      <c r="V545" s="6" t="s">
        <v>68</v>
      </c>
      <c r="W545" s="7" t="str">
        <f t="shared" si="133"/>
        <v>Same Day</v>
      </c>
      <c r="X545" s="6">
        <v>1</v>
      </c>
      <c r="Y545" s="6">
        <v>492.67</v>
      </c>
      <c r="Z545" s="6">
        <v>0.15</v>
      </c>
      <c r="AA545" s="6">
        <f t="shared" si="135"/>
        <v>0.15</v>
      </c>
      <c r="AB545" s="6" t="str">
        <f t="shared" si="136"/>
        <v>Valid</v>
      </c>
      <c r="AC545" s="6">
        <v>418.77</v>
      </c>
      <c r="AD545" s="6" t="str">
        <f>IF(OR(AO545="Cancelled",AM545="Failed"),"Exclude from Completed Sales","Include in Completed Sales")</f>
        <v>Include in Completed Sales</v>
      </c>
      <c r="AE545" s="6">
        <f t="shared" si="137"/>
        <v>418.76949999999999</v>
      </c>
      <c r="AF545" s="6" t="str">
        <f t="shared" si="138"/>
        <v/>
      </c>
      <c r="AG545" s="6">
        <v>313.72000000000003</v>
      </c>
      <c r="AH545" s="6">
        <v>105.05</v>
      </c>
      <c r="AI545" s="6">
        <f t="shared" si="139"/>
        <v>105.04949999999997</v>
      </c>
      <c r="AJ545" s="11">
        <f t="shared" si="140"/>
        <v>0.25085279610859906</v>
      </c>
      <c r="AK545" s="11" t="str">
        <f t="shared" si="141"/>
        <v>July</v>
      </c>
      <c r="AL545" s="12">
        <f t="shared" si="142"/>
        <v>2024</v>
      </c>
      <c r="AM545" s="6" t="s">
        <v>54</v>
      </c>
      <c r="AN545" s="6" t="s">
        <v>55</v>
      </c>
      <c r="AO545" s="6" t="str">
        <f t="shared" si="134"/>
        <v>Completed</v>
      </c>
    </row>
    <row r="546" spans="1:41">
      <c r="A546" s="6" t="s">
        <v>2646</v>
      </c>
      <c r="B546" s="7" t="s">
        <v>2647</v>
      </c>
      <c r="C546" s="8">
        <v>45686</v>
      </c>
      <c r="D546" s="7" t="s">
        <v>2080</v>
      </c>
      <c r="E546" s="9">
        <v>45693</v>
      </c>
      <c r="F546" s="9" t="str">
        <f t="shared" si="127"/>
        <v>Valid</v>
      </c>
      <c r="G546" s="10">
        <f t="shared" si="128"/>
        <v>7</v>
      </c>
      <c r="H546" s="10" t="str">
        <f t="shared" si="129"/>
        <v>Valid</v>
      </c>
      <c r="I546" s="6" t="s">
        <v>2648</v>
      </c>
      <c r="J546" s="6" t="s">
        <v>92</v>
      </c>
      <c r="K546" s="6" t="s">
        <v>92</v>
      </c>
      <c r="L546" s="6" t="s">
        <v>46</v>
      </c>
      <c r="M546" s="7" t="str">
        <f t="shared" si="130"/>
        <v>Consumer</v>
      </c>
      <c r="N546" s="6" t="s">
        <v>82</v>
      </c>
      <c r="O546" s="7" t="str">
        <f t="shared" si="131"/>
        <v>South</v>
      </c>
      <c r="P546" s="6" t="s">
        <v>262</v>
      </c>
      <c r="Q546" s="6" t="s">
        <v>263</v>
      </c>
      <c r="R546" s="6" t="s">
        <v>50</v>
      </c>
      <c r="S546" s="7" t="str">
        <f t="shared" si="132"/>
        <v>Office Supplies</v>
      </c>
      <c r="T546" s="6" t="s">
        <v>74</v>
      </c>
      <c r="U546" s="6" t="s">
        <v>2649</v>
      </c>
      <c r="V546" s="6" t="s">
        <v>68</v>
      </c>
      <c r="W546" s="7" t="str">
        <f t="shared" si="133"/>
        <v>Same Day</v>
      </c>
      <c r="X546" s="6">
        <v>8</v>
      </c>
      <c r="Y546" s="6">
        <v>3643.62</v>
      </c>
      <c r="Z546" s="6">
        <v>0.25</v>
      </c>
      <c r="AA546" s="6">
        <f t="shared" si="135"/>
        <v>0.25</v>
      </c>
      <c r="AB546" s="6" t="str">
        <f t="shared" si="136"/>
        <v>Valid</v>
      </c>
      <c r="AC546" s="6">
        <v>21861.72</v>
      </c>
      <c r="AD546" s="6" t="str">
        <f>IF(OR(AO546="Cancelled",AM546="Failed"),"Exclude from Completed Sales","Include in Completed Sales")</f>
        <v>Exclude from Completed Sales</v>
      </c>
      <c r="AE546" s="6">
        <f t="shared" si="137"/>
        <v>21861.72</v>
      </c>
      <c r="AF546" s="6" t="str">
        <f t="shared" si="138"/>
        <v/>
      </c>
      <c r="AG546" s="6">
        <v>18464.34</v>
      </c>
      <c r="AH546" s="6">
        <v>3397.38</v>
      </c>
      <c r="AI546" s="6">
        <f t="shared" si="139"/>
        <v>3397.380000000001</v>
      </c>
      <c r="AJ546" s="11">
        <f t="shared" si="140"/>
        <v>0.1554031430280875</v>
      </c>
      <c r="AK546" s="11" t="str">
        <f t="shared" si="141"/>
        <v>January</v>
      </c>
      <c r="AL546" s="12">
        <f t="shared" si="142"/>
        <v>2025</v>
      </c>
      <c r="AM546" s="6" t="s">
        <v>54</v>
      </c>
      <c r="AN546" s="6" t="s">
        <v>98</v>
      </c>
      <c r="AO546" s="6" t="str">
        <f t="shared" si="134"/>
        <v>Cancelled</v>
      </c>
    </row>
    <row r="547" spans="1:41">
      <c r="A547" s="6" t="s">
        <v>2650</v>
      </c>
      <c r="B547" s="7" t="s">
        <v>2651</v>
      </c>
      <c r="C547" s="8">
        <v>45439</v>
      </c>
      <c r="D547" s="7" t="s">
        <v>2652</v>
      </c>
      <c r="E547" s="9">
        <v>45442</v>
      </c>
      <c r="F547" s="9" t="str">
        <f t="shared" si="127"/>
        <v>Valid</v>
      </c>
      <c r="G547" s="10">
        <f t="shared" si="128"/>
        <v>3</v>
      </c>
      <c r="H547" s="10" t="str">
        <f t="shared" si="129"/>
        <v>Valid</v>
      </c>
      <c r="I547" s="6" t="s">
        <v>2653</v>
      </c>
      <c r="J547" s="6" t="s">
        <v>386</v>
      </c>
      <c r="K547" s="6" t="s">
        <v>386</v>
      </c>
      <c r="L547" s="6" t="s">
        <v>61</v>
      </c>
      <c r="M547" s="7" t="str">
        <f t="shared" si="130"/>
        <v>Small Business</v>
      </c>
      <c r="N547" s="6" t="s">
        <v>62</v>
      </c>
      <c r="O547" s="7" t="str">
        <f t="shared" si="131"/>
        <v>East</v>
      </c>
      <c r="P547" s="6" t="s">
        <v>331</v>
      </c>
      <c r="Q547" s="6" t="s">
        <v>332</v>
      </c>
      <c r="R547" s="6" t="s">
        <v>50</v>
      </c>
      <c r="S547" s="7" t="str">
        <f t="shared" si="132"/>
        <v>Office Supplies</v>
      </c>
      <c r="T547" s="6" t="s">
        <v>176</v>
      </c>
      <c r="U547" s="6" t="s">
        <v>2654</v>
      </c>
      <c r="V547" s="6" t="s">
        <v>68</v>
      </c>
      <c r="W547" s="7" t="str">
        <f t="shared" si="133"/>
        <v>Same Day</v>
      </c>
      <c r="X547" s="6">
        <v>7</v>
      </c>
      <c r="Y547" s="6">
        <v>2900.86</v>
      </c>
      <c r="Z547" s="6">
        <v>0.15</v>
      </c>
      <c r="AA547" s="6">
        <f t="shared" si="135"/>
        <v>0.15</v>
      </c>
      <c r="AB547" s="6" t="str">
        <f t="shared" si="136"/>
        <v>Valid</v>
      </c>
      <c r="AC547" s="6">
        <v>17260.12</v>
      </c>
      <c r="AD547" s="6" t="str">
        <f>IF(OR(AO547="Cancelled",AM547="Failed"),"Exclude from Completed Sales","Include in Completed Sales")</f>
        <v>Include in Completed Sales</v>
      </c>
      <c r="AE547" s="6">
        <f t="shared" si="137"/>
        <v>17260.116999999998</v>
      </c>
      <c r="AF547" s="6" t="str">
        <f t="shared" si="138"/>
        <v/>
      </c>
      <c r="AG547" s="6">
        <v>13513.51</v>
      </c>
      <c r="AH547" s="6">
        <v>3746.61</v>
      </c>
      <c r="AI547" s="6">
        <f t="shared" si="139"/>
        <v>3746.6069999999982</v>
      </c>
      <c r="AJ547" s="11">
        <f t="shared" si="140"/>
        <v>0.21706730029697935</v>
      </c>
      <c r="AK547" s="11" t="str">
        <f t="shared" si="141"/>
        <v>May</v>
      </c>
      <c r="AL547" s="12">
        <f t="shared" si="142"/>
        <v>2024</v>
      </c>
      <c r="AM547" s="6" t="s">
        <v>54</v>
      </c>
      <c r="AN547" s="6" t="s">
        <v>55</v>
      </c>
      <c r="AO547" s="6" t="str">
        <f t="shared" si="134"/>
        <v>Completed</v>
      </c>
    </row>
    <row r="548" spans="1:41">
      <c r="A548" s="6" t="s">
        <v>2655</v>
      </c>
      <c r="B548" s="7" t="s">
        <v>2656</v>
      </c>
      <c r="C548" s="8">
        <v>45883</v>
      </c>
      <c r="D548" s="7" t="s">
        <v>1511</v>
      </c>
      <c r="E548" s="9">
        <v>45891</v>
      </c>
      <c r="F548" s="9" t="str">
        <f t="shared" si="127"/>
        <v>Valid</v>
      </c>
      <c r="G548" s="10">
        <f t="shared" si="128"/>
        <v>8</v>
      </c>
      <c r="H548" s="10" t="str">
        <f t="shared" si="129"/>
        <v>Valid</v>
      </c>
      <c r="I548" s="6" t="s">
        <v>2657</v>
      </c>
      <c r="J548" s="6" t="s">
        <v>81</v>
      </c>
      <c r="K548" s="6" t="s">
        <v>81</v>
      </c>
      <c r="L548" s="6" t="s">
        <v>128</v>
      </c>
      <c r="M548" s="7" t="str">
        <f t="shared" si="130"/>
        <v>Corporate</v>
      </c>
      <c r="N548" s="6" t="s">
        <v>93</v>
      </c>
      <c r="O548" s="7" t="str">
        <f t="shared" si="131"/>
        <v>West</v>
      </c>
      <c r="P548" s="6" t="s">
        <v>255</v>
      </c>
      <c r="Q548" s="6" t="s">
        <v>256</v>
      </c>
      <c r="R548" s="6" t="s">
        <v>2658</v>
      </c>
      <c r="S548" s="7" t="str">
        <f t="shared" si="132"/>
        <v>Office Supplies</v>
      </c>
      <c r="T548" s="6" t="s">
        <v>51</v>
      </c>
      <c r="U548" s="6" t="s">
        <v>2659</v>
      </c>
      <c r="V548" s="6" t="s">
        <v>76</v>
      </c>
      <c r="W548" s="7" t="str">
        <f t="shared" si="133"/>
        <v>First Class</v>
      </c>
      <c r="X548" s="6">
        <v>5</v>
      </c>
      <c r="Y548" s="6">
        <v>2567.37</v>
      </c>
      <c r="Z548" s="6">
        <v>0.15</v>
      </c>
      <c r="AA548" s="6">
        <f t="shared" si="135"/>
        <v>0.15</v>
      </c>
      <c r="AB548" s="6" t="str">
        <f t="shared" si="136"/>
        <v>Valid</v>
      </c>
      <c r="AC548" s="6">
        <v>10911.32</v>
      </c>
      <c r="AD548" s="6" t="str">
        <f>IF(OR(AO548="Cancelled",AM548="Failed"),"Exclude from Completed Sales","Include in Completed Sales")</f>
        <v>Include in Completed Sales</v>
      </c>
      <c r="AE548" s="6">
        <f t="shared" si="137"/>
        <v>10911.322499999998</v>
      </c>
      <c r="AF548" s="6" t="str">
        <f t="shared" si="138"/>
        <v/>
      </c>
      <c r="AG548" s="6">
        <v>6966.44</v>
      </c>
      <c r="AH548" s="6">
        <v>4395.17</v>
      </c>
      <c r="AI548" s="6">
        <f t="shared" si="139"/>
        <v>3944.8824999999988</v>
      </c>
      <c r="AJ548" s="11">
        <f t="shared" si="140"/>
        <v>0.36154027158486052</v>
      </c>
      <c r="AK548" s="11" t="str">
        <f t="shared" si="141"/>
        <v>August</v>
      </c>
      <c r="AL548" s="12">
        <f t="shared" si="142"/>
        <v>2025</v>
      </c>
      <c r="AM548" s="6" t="s">
        <v>54</v>
      </c>
      <c r="AN548" s="6" t="s">
        <v>55</v>
      </c>
      <c r="AO548" s="6" t="str">
        <f t="shared" si="134"/>
        <v>Completed</v>
      </c>
    </row>
    <row r="549" spans="1:41">
      <c r="A549" s="6" t="s">
        <v>2660</v>
      </c>
      <c r="B549" s="7" t="s">
        <v>2661</v>
      </c>
      <c r="C549" s="8">
        <v>45428</v>
      </c>
      <c r="D549" s="7" t="s">
        <v>2662</v>
      </c>
      <c r="E549" s="9">
        <v>45435</v>
      </c>
      <c r="F549" s="9" t="str">
        <f t="shared" si="127"/>
        <v>Valid</v>
      </c>
      <c r="G549" s="10">
        <f t="shared" si="128"/>
        <v>7</v>
      </c>
      <c r="H549" s="10" t="str">
        <f t="shared" si="129"/>
        <v>Valid</v>
      </c>
      <c r="I549" s="6" t="s">
        <v>2663</v>
      </c>
      <c r="J549" s="6" t="s">
        <v>113</v>
      </c>
      <c r="K549" s="6" t="s">
        <v>113</v>
      </c>
      <c r="L549" s="6" t="s">
        <v>61</v>
      </c>
      <c r="M549" s="7" t="str">
        <f t="shared" si="130"/>
        <v>Small Business</v>
      </c>
      <c r="N549" s="6" t="s">
        <v>47</v>
      </c>
      <c r="O549" s="7" t="str">
        <f t="shared" si="131"/>
        <v>North</v>
      </c>
      <c r="P549" s="6" t="s">
        <v>194</v>
      </c>
      <c r="Q549" s="6" t="s">
        <v>195</v>
      </c>
      <c r="R549" s="6" t="s">
        <v>106</v>
      </c>
      <c r="S549" s="7" t="str">
        <f t="shared" si="132"/>
        <v>Technology</v>
      </c>
      <c r="T549" s="6" t="s">
        <v>114</v>
      </c>
      <c r="U549" s="6" t="s">
        <v>2664</v>
      </c>
      <c r="V549" s="6" t="s">
        <v>87</v>
      </c>
      <c r="W549" s="7" t="str">
        <f t="shared" si="133"/>
        <v>Standard Class</v>
      </c>
      <c r="X549" s="6">
        <v>9</v>
      </c>
      <c r="Y549" s="6">
        <v>3722.09</v>
      </c>
      <c r="Z549" s="6">
        <v>0.1</v>
      </c>
      <c r="AA549" s="6">
        <f t="shared" si="135"/>
        <v>0.1</v>
      </c>
      <c r="AB549" s="6" t="str">
        <f t="shared" si="136"/>
        <v>Valid</v>
      </c>
      <c r="AC549" s="6">
        <v>30148.93</v>
      </c>
      <c r="AD549" s="6" t="str">
        <f>IF(OR(AO549="Cancelled",AM549="Failed"),"Exclude from Completed Sales","Include in Completed Sales")</f>
        <v>Include in Completed Sales</v>
      </c>
      <c r="AE549" s="6">
        <f t="shared" si="137"/>
        <v>30148.929</v>
      </c>
      <c r="AF549" s="6" t="str">
        <f t="shared" si="138"/>
        <v/>
      </c>
      <c r="AG549" s="6">
        <v>25155.07</v>
      </c>
      <c r="AH549" s="6">
        <v>4993.8599999999997</v>
      </c>
      <c r="AI549" s="6">
        <f t="shared" si="139"/>
        <v>4993.8590000000004</v>
      </c>
      <c r="AJ549" s="11">
        <f t="shared" si="140"/>
        <v>0.16563968159532302</v>
      </c>
      <c r="AK549" s="11" t="str">
        <f t="shared" si="141"/>
        <v>May</v>
      </c>
      <c r="AL549" s="12">
        <f t="shared" si="142"/>
        <v>2024</v>
      </c>
      <c r="AM549" s="6" t="s">
        <v>54</v>
      </c>
      <c r="AN549" s="6" t="s">
        <v>55</v>
      </c>
      <c r="AO549" s="6" t="str">
        <f t="shared" si="134"/>
        <v>Completed</v>
      </c>
    </row>
    <row r="550" spans="1:41">
      <c r="A550" s="6" t="s">
        <v>2665</v>
      </c>
      <c r="B550" s="7" t="s">
        <v>294</v>
      </c>
      <c r="C550" s="8">
        <v>45441</v>
      </c>
      <c r="D550" s="7" t="s">
        <v>293</v>
      </c>
      <c r="E550" s="9">
        <v>45441</v>
      </c>
      <c r="F550" s="9" t="str">
        <f t="shared" si="127"/>
        <v>Valid</v>
      </c>
      <c r="G550" s="10">
        <f t="shared" si="128"/>
        <v>0</v>
      </c>
      <c r="H550" s="10" t="str">
        <f t="shared" si="129"/>
        <v>Valid</v>
      </c>
      <c r="I550" s="6" t="s">
        <v>2666</v>
      </c>
      <c r="J550" s="6" t="s">
        <v>200</v>
      </c>
      <c r="K550" s="6" t="s">
        <v>200</v>
      </c>
      <c r="L550" s="6" t="s">
        <v>128</v>
      </c>
      <c r="M550" s="7" t="str">
        <f t="shared" si="130"/>
        <v>Corporate</v>
      </c>
      <c r="N550" s="6" t="s">
        <v>62</v>
      </c>
      <c r="O550" s="7" t="str">
        <f t="shared" si="131"/>
        <v>East</v>
      </c>
      <c r="P550" s="6" t="s">
        <v>206</v>
      </c>
      <c r="Q550" s="6" t="s">
        <v>207</v>
      </c>
      <c r="R550" s="6" t="s">
        <v>65</v>
      </c>
      <c r="S550" s="7" t="str">
        <f t="shared" si="132"/>
        <v>Furniture</v>
      </c>
      <c r="T550" s="6" t="s">
        <v>224</v>
      </c>
      <c r="U550" s="6" t="s">
        <v>2667</v>
      </c>
      <c r="V550" s="6" t="s">
        <v>68</v>
      </c>
      <c r="W550" s="7" t="str">
        <f t="shared" si="133"/>
        <v>Same Day</v>
      </c>
      <c r="X550" s="6">
        <v>1</v>
      </c>
      <c r="Y550" s="6">
        <v>1072.01</v>
      </c>
      <c r="Z550" s="6">
        <v>0</v>
      </c>
      <c r="AA550" s="6">
        <f t="shared" si="135"/>
        <v>0</v>
      </c>
      <c r="AB550" s="6" t="str">
        <f t="shared" si="136"/>
        <v>Valid</v>
      </c>
      <c r="AC550" s="6">
        <v>1072.01</v>
      </c>
      <c r="AD550" s="6" t="str">
        <f>IF(OR(AO550="Cancelled",AM550="Failed"),"Exclude from Completed Sales","Include in Completed Sales")</f>
        <v>Exclude from Completed Sales</v>
      </c>
      <c r="AE550" s="6">
        <f t="shared" si="137"/>
        <v>1072.01</v>
      </c>
      <c r="AF550" s="6" t="str">
        <f t="shared" si="138"/>
        <v/>
      </c>
      <c r="AG550" s="6">
        <v>852.62</v>
      </c>
      <c r="AH550" s="6">
        <v>219.39</v>
      </c>
      <c r="AI550" s="6">
        <f t="shared" si="139"/>
        <v>219.39</v>
      </c>
      <c r="AJ550" s="11">
        <f t="shared" si="140"/>
        <v>0.20465294167032022</v>
      </c>
      <c r="AK550" s="11" t="str">
        <f t="shared" si="141"/>
        <v>May</v>
      </c>
      <c r="AL550" s="12">
        <f t="shared" si="142"/>
        <v>2024</v>
      </c>
      <c r="AM550" s="6" t="s">
        <v>157</v>
      </c>
      <c r="AN550" s="6" t="s">
        <v>98</v>
      </c>
      <c r="AO550" s="6" t="str">
        <f t="shared" si="134"/>
        <v>Cancelled</v>
      </c>
    </row>
    <row r="551" spans="1:41">
      <c r="A551" s="6" t="s">
        <v>2668</v>
      </c>
      <c r="B551" s="7" t="s">
        <v>2669</v>
      </c>
      <c r="C551" s="8">
        <v>45941</v>
      </c>
      <c r="D551" s="7" t="s">
        <v>2670</v>
      </c>
      <c r="E551" s="9">
        <v>45943</v>
      </c>
      <c r="F551" s="9" t="str">
        <f t="shared" si="127"/>
        <v>Valid</v>
      </c>
      <c r="G551" s="10">
        <f t="shared" si="128"/>
        <v>2</v>
      </c>
      <c r="H551" s="10" t="str">
        <f t="shared" si="129"/>
        <v>Valid</v>
      </c>
      <c r="I551" s="6" t="s">
        <v>2671</v>
      </c>
      <c r="J551" s="6" t="s">
        <v>60</v>
      </c>
      <c r="K551" s="6" t="s">
        <v>60</v>
      </c>
      <c r="L551" s="6" t="s">
        <v>128</v>
      </c>
      <c r="M551" s="7" t="str">
        <f t="shared" si="130"/>
        <v>Corporate</v>
      </c>
      <c r="N551" s="6" t="s">
        <v>82</v>
      </c>
      <c r="O551" s="7" t="str">
        <f t="shared" si="131"/>
        <v>South</v>
      </c>
      <c r="P551" s="6" t="s">
        <v>83</v>
      </c>
      <c r="Q551" s="6" t="s">
        <v>84</v>
      </c>
      <c r="R551" s="6" t="s">
        <v>50</v>
      </c>
      <c r="S551" s="7" t="str">
        <f t="shared" si="132"/>
        <v>Office Supplies</v>
      </c>
      <c r="T551" s="6" t="s">
        <v>74</v>
      </c>
      <c r="U551" s="6" t="s">
        <v>2672</v>
      </c>
      <c r="V551" s="6" t="s">
        <v>53</v>
      </c>
      <c r="W551" s="7" t="str">
        <f t="shared" si="133"/>
        <v>Second Class</v>
      </c>
      <c r="X551" s="6">
        <v>3</v>
      </c>
      <c r="Y551" s="6">
        <v>3804.27</v>
      </c>
      <c r="Z551" s="6">
        <v>0.1</v>
      </c>
      <c r="AA551" s="6">
        <f t="shared" si="135"/>
        <v>0.1</v>
      </c>
      <c r="AB551" s="6" t="str">
        <f t="shared" si="136"/>
        <v>Valid</v>
      </c>
      <c r="AC551" s="6">
        <v>10271.530000000001</v>
      </c>
      <c r="AD551" s="6" t="str">
        <f>IF(OR(AO551="Cancelled",AM551="Failed"),"Exclude from Completed Sales","Include in Completed Sales")</f>
        <v>Include in Completed Sales</v>
      </c>
      <c r="AE551" s="6">
        <f t="shared" si="137"/>
        <v>10271.529</v>
      </c>
      <c r="AF551" s="6" t="str">
        <f t="shared" si="138"/>
        <v/>
      </c>
      <c r="AG551" s="6">
        <v>8272.24</v>
      </c>
      <c r="AH551" s="6">
        <v>1999.29</v>
      </c>
      <c r="AI551" s="6">
        <f t="shared" si="139"/>
        <v>1999.2890000000007</v>
      </c>
      <c r="AJ551" s="11">
        <f t="shared" si="140"/>
        <v>0.19464375751652949</v>
      </c>
      <c r="AK551" s="11" t="str">
        <f t="shared" si="141"/>
        <v>October</v>
      </c>
      <c r="AL551" s="12">
        <f t="shared" si="142"/>
        <v>2025</v>
      </c>
      <c r="AM551" s="6" t="s">
        <v>54</v>
      </c>
      <c r="AN551" s="6" t="s">
        <v>55</v>
      </c>
      <c r="AO551" s="6" t="str">
        <f t="shared" si="134"/>
        <v>Completed</v>
      </c>
    </row>
    <row r="552" spans="1:41">
      <c r="A552" s="6" t="s">
        <v>2673</v>
      </c>
      <c r="B552" s="7" t="s">
        <v>558</v>
      </c>
      <c r="C552" s="8">
        <v>45506</v>
      </c>
      <c r="D552" s="7" t="s">
        <v>2674</v>
      </c>
      <c r="E552" s="9">
        <v>45514</v>
      </c>
      <c r="F552" s="9" t="str">
        <f t="shared" si="127"/>
        <v>Valid</v>
      </c>
      <c r="G552" s="10">
        <f t="shared" si="128"/>
        <v>8</v>
      </c>
      <c r="H552" s="10" t="str">
        <f t="shared" si="129"/>
        <v>Valid</v>
      </c>
      <c r="I552" s="6" t="s">
        <v>2675</v>
      </c>
      <c r="J552" s="6" t="s">
        <v>60</v>
      </c>
      <c r="K552" s="6" t="s">
        <v>60</v>
      </c>
      <c r="L552" s="6" t="s">
        <v>135</v>
      </c>
      <c r="M552" s="7" t="str">
        <f t="shared" si="130"/>
        <v>Home Office</v>
      </c>
      <c r="N552" s="6" t="s">
        <v>62</v>
      </c>
      <c r="O552" s="7" t="str">
        <f t="shared" si="131"/>
        <v>East</v>
      </c>
      <c r="P552" s="6" t="s">
        <v>63</v>
      </c>
      <c r="Q552" s="6" t="s">
        <v>64</v>
      </c>
      <c r="R552" s="6" t="s">
        <v>106</v>
      </c>
      <c r="S552" s="7" t="str">
        <f t="shared" si="132"/>
        <v>Technology</v>
      </c>
      <c r="T552" s="6" t="s">
        <v>107</v>
      </c>
      <c r="U552" s="6" t="s">
        <v>2676</v>
      </c>
      <c r="V552" s="6" t="s">
        <v>87</v>
      </c>
      <c r="W552" s="7" t="str">
        <f t="shared" si="133"/>
        <v>Standard Class</v>
      </c>
      <c r="X552" s="6">
        <v>6</v>
      </c>
      <c r="Y552" s="6">
        <v>2126.44</v>
      </c>
      <c r="Z552" s="6">
        <v>0.2</v>
      </c>
      <c r="AA552" s="6">
        <f t="shared" si="135"/>
        <v>0.2</v>
      </c>
      <c r="AB552" s="6" t="str">
        <f t="shared" si="136"/>
        <v>Valid</v>
      </c>
      <c r="AC552" s="6">
        <v>10206.91</v>
      </c>
      <c r="AD552" s="6" t="str">
        <f>IF(OR(AO552="Cancelled",AM552="Failed"),"Exclude from Completed Sales","Include in Completed Sales")</f>
        <v>Include in Completed Sales</v>
      </c>
      <c r="AE552" s="6">
        <f t="shared" si="137"/>
        <v>10206.912</v>
      </c>
      <c r="AF552" s="6" t="str">
        <f t="shared" si="138"/>
        <v/>
      </c>
      <c r="AG552" s="6">
        <v>6764.53</v>
      </c>
      <c r="AH552" s="6">
        <v>3442.38</v>
      </c>
      <c r="AI552" s="6">
        <f t="shared" si="139"/>
        <v>3442.3820000000005</v>
      </c>
      <c r="AJ552" s="11">
        <f t="shared" si="140"/>
        <v>0.33725988820125036</v>
      </c>
      <c r="AK552" s="11" t="str">
        <f t="shared" si="141"/>
        <v>August</v>
      </c>
      <c r="AL552" s="12">
        <f t="shared" si="142"/>
        <v>2024</v>
      </c>
      <c r="AM552" s="6" t="s">
        <v>54</v>
      </c>
      <c r="AN552" s="6" t="s">
        <v>55</v>
      </c>
      <c r="AO552" s="6" t="str">
        <f t="shared" si="134"/>
        <v>Completed</v>
      </c>
    </row>
    <row r="553" spans="1:41">
      <c r="A553" s="6" t="s">
        <v>2677</v>
      </c>
      <c r="B553" s="7" t="s">
        <v>2109</v>
      </c>
      <c r="C553" s="8">
        <v>45349</v>
      </c>
      <c r="D553" s="7" t="s">
        <v>2678</v>
      </c>
      <c r="E553" s="9">
        <v>45349</v>
      </c>
      <c r="F553" s="9" t="str">
        <f t="shared" si="127"/>
        <v>Valid</v>
      </c>
      <c r="G553" s="10">
        <f t="shared" si="128"/>
        <v>0</v>
      </c>
      <c r="H553" s="10" t="str">
        <f t="shared" si="129"/>
        <v>Valid</v>
      </c>
      <c r="I553" s="6" t="s">
        <v>2679</v>
      </c>
      <c r="J553" s="6" t="s">
        <v>188</v>
      </c>
      <c r="K553" s="6" t="s">
        <v>188</v>
      </c>
      <c r="L553" s="6" t="s">
        <v>46</v>
      </c>
      <c r="M553" s="7" t="str">
        <f t="shared" si="130"/>
        <v>Consumer</v>
      </c>
      <c r="N553" s="6" t="s">
        <v>62</v>
      </c>
      <c r="O553" s="7" t="str">
        <f t="shared" si="131"/>
        <v>East</v>
      </c>
      <c r="P553" s="6" t="s">
        <v>331</v>
      </c>
      <c r="Q553" s="6" t="s">
        <v>332</v>
      </c>
      <c r="R553" s="6" t="s">
        <v>65</v>
      </c>
      <c r="S553" s="7" t="str">
        <f t="shared" si="132"/>
        <v>Furniture</v>
      </c>
      <c r="T553" s="6" t="s">
        <v>96</v>
      </c>
      <c r="U553" s="6" t="s">
        <v>2680</v>
      </c>
      <c r="V553" s="6" t="s">
        <v>53</v>
      </c>
      <c r="W553" s="7" t="str">
        <f t="shared" si="133"/>
        <v>Second Class</v>
      </c>
      <c r="X553" s="6">
        <v>3</v>
      </c>
      <c r="Y553" s="6">
        <v>3148.09</v>
      </c>
      <c r="Z553" s="6">
        <v>0.15</v>
      </c>
      <c r="AA553" s="6">
        <f t="shared" si="135"/>
        <v>0.15</v>
      </c>
      <c r="AB553" s="6" t="str">
        <f t="shared" si="136"/>
        <v>Valid</v>
      </c>
      <c r="AC553" s="6">
        <v>8027.63</v>
      </c>
      <c r="AD553" s="6" t="str">
        <f>IF(OR(AO553="Cancelled",AM553="Failed"),"Exclude from Completed Sales","Include in Completed Sales")</f>
        <v>Include in Completed Sales</v>
      </c>
      <c r="AE553" s="6">
        <f t="shared" si="137"/>
        <v>8027.6295</v>
      </c>
      <c r="AF553" s="6" t="str">
        <f t="shared" si="138"/>
        <v/>
      </c>
      <c r="AG553" s="6">
        <v>5496.09</v>
      </c>
      <c r="AH553" s="6">
        <v>2531.54</v>
      </c>
      <c r="AI553" s="6">
        <f t="shared" si="139"/>
        <v>2531.5394999999999</v>
      </c>
      <c r="AJ553" s="11">
        <f t="shared" si="140"/>
        <v>0.31535330572991688</v>
      </c>
      <c r="AK553" s="11" t="str">
        <f t="shared" si="141"/>
        <v>February</v>
      </c>
      <c r="AL553" s="12">
        <f t="shared" si="142"/>
        <v>2024</v>
      </c>
      <c r="AM553" s="6" t="s">
        <v>54</v>
      </c>
      <c r="AN553" s="6" t="s">
        <v>55</v>
      </c>
      <c r="AO553" s="6" t="str">
        <f t="shared" si="134"/>
        <v>Completed</v>
      </c>
    </row>
    <row r="554" spans="1:41">
      <c r="A554" s="6" t="s">
        <v>2681</v>
      </c>
      <c r="B554" s="7" t="s">
        <v>210</v>
      </c>
      <c r="C554" s="8">
        <v>45681</v>
      </c>
      <c r="D554" s="7" t="s">
        <v>363</v>
      </c>
      <c r="E554" s="9">
        <v>45687</v>
      </c>
      <c r="F554" s="9" t="str">
        <f t="shared" si="127"/>
        <v>Valid</v>
      </c>
      <c r="G554" s="10">
        <f t="shared" si="128"/>
        <v>6</v>
      </c>
      <c r="H554" s="10" t="str">
        <f t="shared" si="129"/>
        <v>Valid</v>
      </c>
      <c r="I554" s="6" t="s">
        <v>2682</v>
      </c>
      <c r="J554" s="6" t="s">
        <v>92</v>
      </c>
      <c r="K554" s="6" t="s">
        <v>92</v>
      </c>
      <c r="L554" s="6" t="s">
        <v>128</v>
      </c>
      <c r="M554" s="7" t="str">
        <f t="shared" si="130"/>
        <v>Corporate</v>
      </c>
      <c r="N554" s="6" t="s">
        <v>62</v>
      </c>
      <c r="O554" s="7" t="str">
        <f t="shared" si="131"/>
        <v>East</v>
      </c>
      <c r="P554" s="6" t="s">
        <v>141</v>
      </c>
      <c r="Q554" s="6" t="s">
        <v>142</v>
      </c>
      <c r="R554" s="6" t="s">
        <v>106</v>
      </c>
      <c r="S554" s="7" t="str">
        <f t="shared" si="132"/>
        <v>Technology</v>
      </c>
      <c r="T554" s="6" t="s">
        <v>114</v>
      </c>
      <c r="U554" s="6" t="s">
        <v>2683</v>
      </c>
      <c r="V554" s="6" t="s">
        <v>87</v>
      </c>
      <c r="W554" s="7" t="str">
        <f t="shared" si="133"/>
        <v>Standard Class</v>
      </c>
      <c r="X554" s="6">
        <v>8</v>
      </c>
      <c r="Y554" s="6">
        <v>312.52999999999997</v>
      </c>
      <c r="Z554" s="6" t="s">
        <v>701</v>
      </c>
      <c r="AA554" s="6" t="str">
        <f t="shared" si="135"/>
        <v>70%</v>
      </c>
      <c r="AB554" s="6" t="str">
        <f t="shared" si="136"/>
        <v>Invalid - Discount Above Limit</v>
      </c>
      <c r="AC554" s="6">
        <v>1875.18</v>
      </c>
      <c r="AD554" s="6" t="str">
        <f>IF(OR(AO554="Cancelled",AM554="Failed"),"Exclude from Completed Sales","Include in Completed Sales")</f>
        <v>Include in Completed Sales</v>
      </c>
      <c r="AE554" s="6">
        <f t="shared" si="137"/>
        <v>750.072</v>
      </c>
      <c r="AF554" s="6" t="str">
        <f t="shared" si="138"/>
        <v/>
      </c>
      <c r="AG554" s="6">
        <v>1579.17</v>
      </c>
      <c r="AH554" s="6">
        <v>296.01</v>
      </c>
      <c r="AI554" s="6">
        <f t="shared" si="139"/>
        <v>-829.09800000000007</v>
      </c>
      <c r="AJ554" s="11">
        <f t="shared" si="140"/>
        <v>-1.1053578856429784</v>
      </c>
      <c r="AK554" s="11" t="str">
        <f t="shared" si="141"/>
        <v>January</v>
      </c>
      <c r="AL554" s="12">
        <f t="shared" si="142"/>
        <v>2025</v>
      </c>
      <c r="AM554" s="6" t="s">
        <v>54</v>
      </c>
      <c r="AN554" s="6" t="s">
        <v>55</v>
      </c>
      <c r="AO554" s="6" t="str">
        <f t="shared" si="134"/>
        <v>Completed</v>
      </c>
    </row>
    <row r="555" spans="1:41">
      <c r="A555" s="6" t="s">
        <v>2684</v>
      </c>
      <c r="B555" s="7" t="s">
        <v>2685</v>
      </c>
      <c r="C555" s="8">
        <v>45772</v>
      </c>
      <c r="D555" s="7" t="s">
        <v>2686</v>
      </c>
      <c r="E555" s="9">
        <v>45775</v>
      </c>
      <c r="F555" s="9" t="str">
        <f t="shared" si="127"/>
        <v>Valid</v>
      </c>
      <c r="G555" s="10">
        <f t="shared" si="128"/>
        <v>3</v>
      </c>
      <c r="H555" s="10" t="str">
        <f t="shared" si="129"/>
        <v>Valid</v>
      </c>
      <c r="I555" s="6" t="s">
        <v>2687</v>
      </c>
      <c r="J555" s="6" t="s">
        <v>182</v>
      </c>
      <c r="K555" s="6" t="s">
        <v>182</v>
      </c>
      <c r="L555" s="6" t="s">
        <v>61</v>
      </c>
      <c r="M555" s="7" t="str">
        <f t="shared" si="130"/>
        <v>Small Business</v>
      </c>
      <c r="N555" s="6" t="s">
        <v>93</v>
      </c>
      <c r="O555" s="7" t="str">
        <f t="shared" si="131"/>
        <v>West</v>
      </c>
      <c r="P555" s="6" t="s">
        <v>255</v>
      </c>
      <c r="Q555" s="6" t="s">
        <v>256</v>
      </c>
      <c r="R555" s="6" t="s">
        <v>50</v>
      </c>
      <c r="S555" s="7" t="str">
        <f t="shared" si="132"/>
        <v>Office Supplies</v>
      </c>
      <c r="T555" s="6" t="s">
        <v>176</v>
      </c>
      <c r="U555" s="6" t="s">
        <v>2688</v>
      </c>
      <c r="V555" s="6" t="s">
        <v>76</v>
      </c>
      <c r="W555" s="7" t="str">
        <f t="shared" si="133"/>
        <v>First Class</v>
      </c>
      <c r="X555" s="6">
        <v>9</v>
      </c>
      <c r="Y555" s="6">
        <v>1294.1099999999999</v>
      </c>
      <c r="Z555" s="6">
        <v>0.25</v>
      </c>
      <c r="AA555" s="6">
        <f t="shared" si="135"/>
        <v>0.25</v>
      </c>
      <c r="AB555" s="6" t="str">
        <f t="shared" si="136"/>
        <v>Valid</v>
      </c>
      <c r="AC555" s="6">
        <v>8735.24</v>
      </c>
      <c r="AD555" s="6" t="str">
        <f>IF(OR(AO555="Cancelled",AM555="Failed"),"Exclude from Completed Sales","Include in Completed Sales")</f>
        <v>Include in Completed Sales</v>
      </c>
      <c r="AE555" s="6">
        <f t="shared" si="137"/>
        <v>8735.2425000000003</v>
      </c>
      <c r="AF555" s="6" t="str">
        <f t="shared" si="138"/>
        <v/>
      </c>
      <c r="AG555" s="6">
        <v>6620.07</v>
      </c>
      <c r="AH555" s="6">
        <v>2115.17</v>
      </c>
      <c r="AI555" s="6">
        <f t="shared" si="139"/>
        <v>2115.1725000000006</v>
      </c>
      <c r="AJ555" s="11">
        <f t="shared" si="140"/>
        <v>0.24214239043735769</v>
      </c>
      <c r="AK555" s="11" t="str">
        <f t="shared" si="141"/>
        <v>April</v>
      </c>
      <c r="AL555" s="12">
        <f t="shared" si="142"/>
        <v>2025</v>
      </c>
      <c r="AM555" s="6" t="s">
        <v>54</v>
      </c>
      <c r="AN555" s="6" t="s">
        <v>55</v>
      </c>
      <c r="AO555" s="6" t="str">
        <f t="shared" si="134"/>
        <v>Completed</v>
      </c>
    </row>
    <row r="556" spans="1:41">
      <c r="A556" s="6" t="s">
        <v>2689</v>
      </c>
      <c r="B556" s="7" t="s">
        <v>2690</v>
      </c>
      <c r="C556" s="8">
        <v>45577</v>
      </c>
      <c r="D556" s="7" t="s">
        <v>2691</v>
      </c>
      <c r="E556" s="9">
        <v>45582</v>
      </c>
      <c r="F556" s="9" t="str">
        <f t="shared" si="127"/>
        <v>Valid</v>
      </c>
      <c r="G556" s="10">
        <f t="shared" si="128"/>
        <v>5</v>
      </c>
      <c r="H556" s="10" t="str">
        <f t="shared" si="129"/>
        <v>Valid</v>
      </c>
      <c r="I556" s="6" t="s">
        <v>2692</v>
      </c>
      <c r="J556" s="6" t="s">
        <v>81</v>
      </c>
      <c r="K556" s="6" t="s">
        <v>81</v>
      </c>
      <c r="L556" s="6" t="s">
        <v>46</v>
      </c>
      <c r="M556" s="7" t="str">
        <f t="shared" si="130"/>
        <v>Consumer</v>
      </c>
      <c r="N556" s="6"/>
      <c r="O556" s="7" t="str">
        <f t="shared" si="131"/>
        <v>Unknown</v>
      </c>
      <c r="P556" s="6" t="s">
        <v>331</v>
      </c>
      <c r="Q556" s="6" t="s">
        <v>332</v>
      </c>
      <c r="R556" s="6" t="s">
        <v>65</v>
      </c>
      <c r="S556" s="7" t="str">
        <f t="shared" si="132"/>
        <v>Furniture</v>
      </c>
      <c r="T556" s="6" t="s">
        <v>85</v>
      </c>
      <c r="U556" s="6" t="s">
        <v>2693</v>
      </c>
      <c r="V556" s="6" t="s">
        <v>87</v>
      </c>
      <c r="W556" s="7" t="str">
        <f t="shared" si="133"/>
        <v>Standard Class</v>
      </c>
      <c r="X556" s="6">
        <v>4</v>
      </c>
      <c r="Y556" s="6">
        <v>1071.22</v>
      </c>
      <c r="Z556" s="6">
        <v>0.05</v>
      </c>
      <c r="AA556" s="6">
        <f t="shared" si="135"/>
        <v>0.05</v>
      </c>
      <c r="AB556" s="6" t="str">
        <f t="shared" si="136"/>
        <v>Valid</v>
      </c>
      <c r="AC556" s="6">
        <v>4070.64</v>
      </c>
      <c r="AD556" s="6" t="str">
        <f>IF(OR(AO556="Cancelled",AM556="Failed"),"Exclude from Completed Sales","Include in Completed Sales")</f>
        <v>Include in Completed Sales</v>
      </c>
      <c r="AE556" s="6">
        <f t="shared" si="137"/>
        <v>4070.636</v>
      </c>
      <c r="AF556" s="6" t="str">
        <f t="shared" si="138"/>
        <v/>
      </c>
      <c r="AG556" s="6">
        <v>2831.62</v>
      </c>
      <c r="AH556" s="6">
        <v>1239.02</v>
      </c>
      <c r="AI556" s="6">
        <f t="shared" si="139"/>
        <v>1239.0160000000001</v>
      </c>
      <c r="AJ556" s="11">
        <f t="shared" si="140"/>
        <v>0.30437897173807732</v>
      </c>
      <c r="AK556" s="11" t="str">
        <f t="shared" si="141"/>
        <v>October</v>
      </c>
      <c r="AL556" s="12">
        <f t="shared" si="142"/>
        <v>2024</v>
      </c>
      <c r="AM556" s="6" t="s">
        <v>54</v>
      </c>
      <c r="AN556" s="6" t="s">
        <v>55</v>
      </c>
      <c r="AO556" s="6" t="str">
        <f t="shared" si="134"/>
        <v>Completed</v>
      </c>
    </row>
    <row r="557" spans="1:41">
      <c r="A557" s="6" t="s">
        <v>2694</v>
      </c>
      <c r="B557" s="7" t="s">
        <v>902</v>
      </c>
      <c r="C557" s="8">
        <v>45692</v>
      </c>
      <c r="D557" s="7" t="s">
        <v>2695</v>
      </c>
      <c r="E557" s="9">
        <v>45698</v>
      </c>
      <c r="F557" s="9" t="str">
        <f t="shared" si="127"/>
        <v>Valid</v>
      </c>
      <c r="G557" s="10">
        <f t="shared" si="128"/>
        <v>6</v>
      </c>
      <c r="H557" s="10" t="str">
        <f t="shared" si="129"/>
        <v>Valid</v>
      </c>
      <c r="I557" s="6" t="s">
        <v>2696</v>
      </c>
      <c r="J557" s="6" t="s">
        <v>92</v>
      </c>
      <c r="K557" s="6" t="s">
        <v>92</v>
      </c>
      <c r="L557" s="6" t="s">
        <v>61</v>
      </c>
      <c r="M557" s="7" t="str">
        <f t="shared" si="130"/>
        <v>Small Business</v>
      </c>
      <c r="N557" s="6" t="s">
        <v>82</v>
      </c>
      <c r="O557" s="7" t="str">
        <f t="shared" si="131"/>
        <v>South</v>
      </c>
      <c r="P557" s="6" t="s">
        <v>83</v>
      </c>
      <c r="Q557" s="6" t="s">
        <v>84</v>
      </c>
      <c r="R557" s="6" t="s">
        <v>50</v>
      </c>
      <c r="S557" s="7" t="str">
        <f t="shared" si="132"/>
        <v>Office Supplies</v>
      </c>
      <c r="T557" s="6" t="s">
        <v>176</v>
      </c>
      <c r="U557" s="6" t="s">
        <v>2697</v>
      </c>
      <c r="V557" s="6" t="s">
        <v>87</v>
      </c>
      <c r="W557" s="7" t="str">
        <f t="shared" si="133"/>
        <v>Standard Class</v>
      </c>
      <c r="X557" s="6">
        <v>6</v>
      </c>
      <c r="Y557" s="6">
        <v>1042.8</v>
      </c>
      <c r="Z557" s="6">
        <v>0.05</v>
      </c>
      <c r="AA557" s="6">
        <f t="shared" si="135"/>
        <v>0.05</v>
      </c>
      <c r="AB557" s="6" t="str">
        <f t="shared" si="136"/>
        <v>Valid</v>
      </c>
      <c r="AC557" s="6">
        <v>5943.96</v>
      </c>
      <c r="AD557" s="6" t="str">
        <f>IF(OR(AO557="Cancelled",AM557="Failed"),"Exclude from Completed Sales","Include in Completed Sales")</f>
        <v>Include in Completed Sales</v>
      </c>
      <c r="AE557" s="6">
        <f t="shared" si="137"/>
        <v>5943.9599999999991</v>
      </c>
      <c r="AF557" s="6" t="str">
        <f t="shared" si="138"/>
        <v/>
      </c>
      <c r="AG557" s="6">
        <v>3604.14</v>
      </c>
      <c r="AH557" s="6">
        <v>2339.8200000000002</v>
      </c>
      <c r="AI557" s="6">
        <f t="shared" si="139"/>
        <v>2339.8199999999993</v>
      </c>
      <c r="AJ557" s="11">
        <f t="shared" si="140"/>
        <v>0.39364665980255581</v>
      </c>
      <c r="AK557" s="11" t="str">
        <f t="shared" si="141"/>
        <v>February</v>
      </c>
      <c r="AL557" s="12">
        <f t="shared" si="142"/>
        <v>2025</v>
      </c>
      <c r="AM557" s="6" t="s">
        <v>54</v>
      </c>
      <c r="AN557" s="6" t="s">
        <v>55</v>
      </c>
      <c r="AO557" s="6" t="str">
        <f t="shared" si="134"/>
        <v>Completed</v>
      </c>
    </row>
    <row r="558" spans="1:41">
      <c r="A558" s="6" t="s">
        <v>2698</v>
      </c>
      <c r="B558" s="7" t="s">
        <v>1573</v>
      </c>
      <c r="C558" s="8">
        <v>45466</v>
      </c>
      <c r="D558" s="7" t="s">
        <v>2115</v>
      </c>
      <c r="E558" s="9">
        <v>45472</v>
      </c>
      <c r="F558" s="9" t="str">
        <f t="shared" si="127"/>
        <v>Valid</v>
      </c>
      <c r="G558" s="10">
        <f t="shared" si="128"/>
        <v>6</v>
      </c>
      <c r="H558" s="10" t="str">
        <f t="shared" si="129"/>
        <v>Valid</v>
      </c>
      <c r="I558" s="6" t="s">
        <v>2699</v>
      </c>
      <c r="J558" s="6" t="s">
        <v>113</v>
      </c>
      <c r="K558" s="6" t="s">
        <v>113</v>
      </c>
      <c r="L558" s="6" t="s">
        <v>46</v>
      </c>
      <c r="M558" s="7" t="str">
        <f t="shared" si="130"/>
        <v>Consumer</v>
      </c>
      <c r="N558" s="6" t="s">
        <v>47</v>
      </c>
      <c r="O558" s="7" t="str">
        <f t="shared" si="131"/>
        <v>North</v>
      </c>
      <c r="P558" s="6" t="s">
        <v>343</v>
      </c>
      <c r="Q558" s="6" t="s">
        <v>344</v>
      </c>
      <c r="R558" s="6" t="s">
        <v>65</v>
      </c>
      <c r="S558" s="7" t="str">
        <f t="shared" si="132"/>
        <v>Furniture</v>
      </c>
      <c r="T558" s="6" t="s">
        <v>66</v>
      </c>
      <c r="U558" s="6" t="s">
        <v>2700</v>
      </c>
      <c r="V558" s="6" t="s">
        <v>76</v>
      </c>
      <c r="W558" s="7" t="str">
        <f t="shared" si="133"/>
        <v>First Class</v>
      </c>
      <c r="X558" s="6">
        <v>1</v>
      </c>
      <c r="Y558" s="6">
        <v>4426.66</v>
      </c>
      <c r="Z558" s="6">
        <v>0</v>
      </c>
      <c r="AA558" s="6">
        <f t="shared" si="135"/>
        <v>0</v>
      </c>
      <c r="AB558" s="6" t="str">
        <f t="shared" si="136"/>
        <v>Valid</v>
      </c>
      <c r="AC558" s="6">
        <v>4426.66</v>
      </c>
      <c r="AD558" s="6" t="str">
        <f>IF(OR(AO558="Cancelled",AM558="Failed"),"Exclude from Completed Sales","Include in Completed Sales")</f>
        <v>Include in Completed Sales</v>
      </c>
      <c r="AE558" s="6">
        <f t="shared" si="137"/>
        <v>4426.66</v>
      </c>
      <c r="AF558" s="6" t="str">
        <f t="shared" si="138"/>
        <v/>
      </c>
      <c r="AG558" s="6">
        <v>3035.2</v>
      </c>
      <c r="AH558" s="6">
        <v>1816.23</v>
      </c>
      <c r="AI558" s="6">
        <f t="shared" si="139"/>
        <v>1391.46</v>
      </c>
      <c r="AJ558" s="11">
        <f t="shared" si="140"/>
        <v>0.31433631677156143</v>
      </c>
      <c r="AK558" s="11" t="str">
        <f t="shared" si="141"/>
        <v>June</v>
      </c>
      <c r="AL558" s="12">
        <f t="shared" si="142"/>
        <v>2024</v>
      </c>
      <c r="AM558" s="6" t="s">
        <v>54</v>
      </c>
      <c r="AN558" s="6" t="s">
        <v>145</v>
      </c>
      <c r="AO558" s="6" t="str">
        <f t="shared" si="134"/>
        <v>Returned</v>
      </c>
    </row>
    <row r="559" spans="1:41">
      <c r="A559" s="6" t="s">
        <v>2701</v>
      </c>
      <c r="B559" s="7" t="s">
        <v>2702</v>
      </c>
      <c r="C559" s="8">
        <v>45420</v>
      </c>
      <c r="D559" s="7" t="s">
        <v>2703</v>
      </c>
      <c r="E559" s="9">
        <v>45426</v>
      </c>
      <c r="F559" s="9" t="str">
        <f t="shared" si="127"/>
        <v>Valid</v>
      </c>
      <c r="G559" s="10">
        <f t="shared" si="128"/>
        <v>6</v>
      </c>
      <c r="H559" s="10" t="str">
        <f t="shared" si="129"/>
        <v>Valid</v>
      </c>
      <c r="I559" s="6" t="s">
        <v>2704</v>
      </c>
      <c r="J559" s="6" t="s">
        <v>103</v>
      </c>
      <c r="K559" s="6" t="s">
        <v>103</v>
      </c>
      <c r="L559" s="6" t="s">
        <v>135</v>
      </c>
      <c r="M559" s="7" t="str">
        <f t="shared" si="130"/>
        <v>Home Office</v>
      </c>
      <c r="N559" s="6" t="s">
        <v>47</v>
      </c>
      <c r="O559" s="7" t="str">
        <f t="shared" si="131"/>
        <v>North</v>
      </c>
      <c r="P559" s="6" t="s">
        <v>343</v>
      </c>
      <c r="Q559" s="6" t="s">
        <v>344</v>
      </c>
      <c r="R559" s="6" t="s">
        <v>106</v>
      </c>
      <c r="S559" s="7" t="str">
        <f t="shared" si="132"/>
        <v>Technology</v>
      </c>
      <c r="T559" s="6" t="s">
        <v>243</v>
      </c>
      <c r="U559" s="6" t="s">
        <v>2705</v>
      </c>
      <c r="V559" s="6" t="s">
        <v>76</v>
      </c>
      <c r="W559" s="7" t="str">
        <f t="shared" si="133"/>
        <v>First Class</v>
      </c>
      <c r="X559" s="6">
        <v>9</v>
      </c>
      <c r="Y559" s="6">
        <v>3769.46</v>
      </c>
      <c r="Z559" s="6">
        <v>0.05</v>
      </c>
      <c r="AA559" s="6">
        <f t="shared" si="135"/>
        <v>0.05</v>
      </c>
      <c r="AB559" s="6" t="str">
        <f t="shared" si="136"/>
        <v>Valid</v>
      </c>
      <c r="AC559" s="6">
        <v>32228.880000000001</v>
      </c>
      <c r="AD559" s="6" t="str">
        <f>IF(OR(AO559="Cancelled",AM559="Failed"),"Exclude from Completed Sales","Include in Completed Sales")</f>
        <v>Exclude from Completed Sales</v>
      </c>
      <c r="AE559" s="6">
        <f t="shared" si="137"/>
        <v>32228.882999999998</v>
      </c>
      <c r="AF559" s="6" t="str">
        <f t="shared" si="138"/>
        <v/>
      </c>
      <c r="AG559" s="6">
        <v>24971.360000000001</v>
      </c>
      <c r="AH559" s="6">
        <v>7257.52</v>
      </c>
      <c r="AI559" s="6">
        <f t="shared" si="139"/>
        <v>7257.5229999999974</v>
      </c>
      <c r="AJ559" s="11">
        <f t="shared" si="140"/>
        <v>0.22518692317074712</v>
      </c>
      <c r="AK559" s="11" t="str">
        <f t="shared" si="141"/>
        <v>May</v>
      </c>
      <c r="AL559" s="12">
        <f t="shared" si="142"/>
        <v>2024</v>
      </c>
      <c r="AM559" s="6" t="s">
        <v>54</v>
      </c>
      <c r="AN559" s="6" t="s">
        <v>98</v>
      </c>
      <c r="AO559" s="6" t="str">
        <f t="shared" si="134"/>
        <v>Cancelled</v>
      </c>
    </row>
    <row r="560" spans="1:41">
      <c r="A560" s="6" t="s">
        <v>2706</v>
      </c>
      <c r="B560" s="7" t="s">
        <v>2707</v>
      </c>
      <c r="C560" s="8">
        <v>45904</v>
      </c>
      <c r="D560" s="7" t="s">
        <v>2708</v>
      </c>
      <c r="E560" s="9">
        <v>45904</v>
      </c>
      <c r="F560" s="9" t="str">
        <f t="shared" si="127"/>
        <v>Valid</v>
      </c>
      <c r="G560" s="10">
        <f t="shared" si="128"/>
        <v>0</v>
      </c>
      <c r="H560" s="10" t="str">
        <f t="shared" si="129"/>
        <v>Valid</v>
      </c>
      <c r="I560" s="6" t="s">
        <v>2709</v>
      </c>
      <c r="J560" s="6" t="s">
        <v>127</v>
      </c>
      <c r="K560" s="6" t="s">
        <v>127</v>
      </c>
      <c r="L560" s="6" t="s">
        <v>128</v>
      </c>
      <c r="M560" s="7" t="str">
        <f t="shared" si="130"/>
        <v>Corporate</v>
      </c>
      <c r="N560" s="6" t="s">
        <v>47</v>
      </c>
      <c r="O560" s="7" t="str">
        <f t="shared" si="131"/>
        <v>North</v>
      </c>
      <c r="P560" s="6" t="s">
        <v>174</v>
      </c>
      <c r="Q560" s="6" t="s">
        <v>175</v>
      </c>
      <c r="R560" s="6" t="s">
        <v>106</v>
      </c>
      <c r="S560" s="7" t="str">
        <f t="shared" si="132"/>
        <v>Technology</v>
      </c>
      <c r="T560" s="6" t="s">
        <v>402</v>
      </c>
      <c r="U560" s="6" t="s">
        <v>2710</v>
      </c>
      <c r="V560" s="6" t="s">
        <v>76</v>
      </c>
      <c r="W560" s="7" t="str">
        <f t="shared" si="133"/>
        <v>First Class</v>
      </c>
      <c r="X560" s="6">
        <v>8</v>
      </c>
      <c r="Y560" s="6">
        <v>3079.95</v>
      </c>
      <c r="Z560" s="6">
        <v>0.2</v>
      </c>
      <c r="AA560" s="6">
        <f t="shared" si="135"/>
        <v>0.2</v>
      </c>
      <c r="AB560" s="6" t="str">
        <f t="shared" si="136"/>
        <v>Valid</v>
      </c>
      <c r="AC560" s="6">
        <v>19711.68</v>
      </c>
      <c r="AD560" s="6" t="str">
        <f>IF(OR(AO560="Cancelled",AM560="Failed"),"Exclude from Completed Sales","Include in Completed Sales")</f>
        <v>Include in Completed Sales</v>
      </c>
      <c r="AE560" s="6">
        <f t="shared" si="137"/>
        <v>19711.68</v>
      </c>
      <c r="AF560" s="6" t="str">
        <f t="shared" si="138"/>
        <v/>
      </c>
      <c r="AG560" s="6">
        <v>14461.8</v>
      </c>
      <c r="AH560" s="6">
        <v>5249.88</v>
      </c>
      <c r="AI560" s="6">
        <f t="shared" si="139"/>
        <v>5249.880000000001</v>
      </c>
      <c r="AJ560" s="11">
        <f t="shared" si="140"/>
        <v>0.26633346320557155</v>
      </c>
      <c r="AK560" s="11" t="str">
        <f t="shared" si="141"/>
        <v>September</v>
      </c>
      <c r="AL560" s="12">
        <f t="shared" si="142"/>
        <v>2025</v>
      </c>
      <c r="AM560" s="6" t="s">
        <v>54</v>
      </c>
      <c r="AN560" s="6" t="s">
        <v>55</v>
      </c>
      <c r="AO560" s="6" t="str">
        <f t="shared" si="134"/>
        <v>Completed</v>
      </c>
    </row>
    <row r="561" spans="1:41">
      <c r="A561" s="6" t="s">
        <v>2711</v>
      </c>
      <c r="B561" s="7" t="s">
        <v>2277</v>
      </c>
      <c r="C561" s="8">
        <v>45930</v>
      </c>
      <c r="D561" s="7" t="s">
        <v>2712</v>
      </c>
      <c r="E561" s="9">
        <v>45937</v>
      </c>
      <c r="F561" s="9" t="str">
        <f t="shared" si="127"/>
        <v>Valid</v>
      </c>
      <c r="G561" s="10">
        <f t="shared" si="128"/>
        <v>7</v>
      </c>
      <c r="H561" s="10" t="str">
        <f t="shared" si="129"/>
        <v>Valid</v>
      </c>
      <c r="I561" s="6" t="s">
        <v>2713</v>
      </c>
      <c r="J561" s="6" t="s">
        <v>230</v>
      </c>
      <c r="K561" s="6" t="s">
        <v>230</v>
      </c>
      <c r="L561" s="6" t="s">
        <v>128</v>
      </c>
      <c r="M561" s="7" t="str">
        <f t="shared" si="130"/>
        <v>Corporate</v>
      </c>
      <c r="N561" s="6" t="s">
        <v>62</v>
      </c>
      <c r="O561" s="7" t="str">
        <f t="shared" si="131"/>
        <v>East</v>
      </c>
      <c r="P561" s="6" t="s">
        <v>206</v>
      </c>
      <c r="Q561" s="6" t="s">
        <v>207</v>
      </c>
      <c r="R561" s="6" t="s">
        <v>106</v>
      </c>
      <c r="S561" s="7" t="str">
        <f t="shared" si="132"/>
        <v>Technology</v>
      </c>
      <c r="T561" s="6" t="s">
        <v>114</v>
      </c>
      <c r="U561" s="6" t="s">
        <v>2714</v>
      </c>
      <c r="V561" s="6" t="s">
        <v>53</v>
      </c>
      <c r="W561" s="7" t="str">
        <f t="shared" si="133"/>
        <v>Second Class</v>
      </c>
      <c r="X561" s="6">
        <v>5</v>
      </c>
      <c r="Y561" s="6">
        <v>3277.82</v>
      </c>
      <c r="Z561" s="6">
        <v>0.1</v>
      </c>
      <c r="AA561" s="6">
        <f t="shared" si="135"/>
        <v>0.1</v>
      </c>
      <c r="AB561" s="6" t="str">
        <f t="shared" si="136"/>
        <v>Valid</v>
      </c>
      <c r="AC561" s="6">
        <v>14750.19</v>
      </c>
      <c r="AD561" s="6" t="str">
        <f>IF(OR(AO561="Cancelled",AM561="Failed"),"Exclude from Completed Sales","Include in Completed Sales")</f>
        <v>Include in Completed Sales</v>
      </c>
      <c r="AE561" s="6">
        <f t="shared" si="137"/>
        <v>14750.190000000002</v>
      </c>
      <c r="AF561" s="6" t="str">
        <f t="shared" si="138"/>
        <v/>
      </c>
      <c r="AG561" s="6">
        <v>9482.58</v>
      </c>
      <c r="AH561" s="6">
        <v>5267.61</v>
      </c>
      <c r="AI561" s="6">
        <f t="shared" si="139"/>
        <v>5267.6100000000024</v>
      </c>
      <c r="AJ561" s="11">
        <f t="shared" si="140"/>
        <v>0.35712150148574368</v>
      </c>
      <c r="AK561" s="11" t="str">
        <f t="shared" si="141"/>
        <v>September</v>
      </c>
      <c r="AL561" s="12">
        <f t="shared" si="142"/>
        <v>2025</v>
      </c>
      <c r="AM561" s="6" t="s">
        <v>54</v>
      </c>
      <c r="AN561" s="6" t="s">
        <v>145</v>
      </c>
      <c r="AO561" s="6" t="str">
        <f t="shared" si="134"/>
        <v>Returned</v>
      </c>
    </row>
    <row r="562" spans="1:41">
      <c r="A562" s="6" t="s">
        <v>2715</v>
      </c>
      <c r="B562" s="7" t="s">
        <v>2716</v>
      </c>
      <c r="C562" s="8">
        <v>45307</v>
      </c>
      <c r="D562" s="7" t="s">
        <v>1078</v>
      </c>
      <c r="E562" s="9">
        <v>45313</v>
      </c>
      <c r="F562" s="9" t="str">
        <f t="shared" si="127"/>
        <v>Valid</v>
      </c>
      <c r="G562" s="10">
        <f t="shared" si="128"/>
        <v>6</v>
      </c>
      <c r="H562" s="10" t="str">
        <f t="shared" si="129"/>
        <v>Valid</v>
      </c>
      <c r="I562" s="6" t="s">
        <v>2717</v>
      </c>
      <c r="J562" s="6" t="s">
        <v>81</v>
      </c>
      <c r="K562" s="6" t="s">
        <v>81</v>
      </c>
      <c r="L562" s="6" t="s">
        <v>46</v>
      </c>
      <c r="M562" s="7" t="str">
        <f t="shared" si="130"/>
        <v>Consumer</v>
      </c>
      <c r="N562" s="6" t="s">
        <v>93</v>
      </c>
      <c r="O562" s="7" t="str">
        <f t="shared" si="131"/>
        <v>West</v>
      </c>
      <c r="P562" s="6" t="s">
        <v>269</v>
      </c>
      <c r="Q562" s="6" t="s">
        <v>270</v>
      </c>
      <c r="R562" s="6" t="s">
        <v>50</v>
      </c>
      <c r="S562" s="7" t="str">
        <f t="shared" si="132"/>
        <v>Office Supplies</v>
      </c>
      <c r="T562" s="6" t="s">
        <v>176</v>
      </c>
      <c r="U562" s="6" t="s">
        <v>2718</v>
      </c>
      <c r="V562" s="6" t="s">
        <v>87</v>
      </c>
      <c r="W562" s="7" t="str">
        <f t="shared" si="133"/>
        <v>Standard Class</v>
      </c>
      <c r="X562" s="6">
        <v>4</v>
      </c>
      <c r="Y562" s="6">
        <v>282.52999999999997</v>
      </c>
      <c r="Z562" s="6">
        <v>0</v>
      </c>
      <c r="AA562" s="6">
        <f t="shared" si="135"/>
        <v>0</v>
      </c>
      <c r="AB562" s="6" t="str">
        <f t="shared" si="136"/>
        <v>Valid</v>
      </c>
      <c r="AC562" s="6">
        <v>1130.1199999999999</v>
      </c>
      <c r="AD562" s="6" t="str">
        <f>IF(OR(AO562="Cancelled",AM562="Failed"),"Exclude from Completed Sales","Include in Completed Sales")</f>
        <v>Exclude from Completed Sales</v>
      </c>
      <c r="AE562" s="6">
        <f t="shared" si="137"/>
        <v>1130.1199999999999</v>
      </c>
      <c r="AF562" s="6" t="str">
        <f t="shared" si="138"/>
        <v/>
      </c>
      <c r="AG562" s="6">
        <v>848.62</v>
      </c>
      <c r="AH562" s="6">
        <v>281.5</v>
      </c>
      <c r="AI562" s="6">
        <f t="shared" si="139"/>
        <v>281.49999999999989</v>
      </c>
      <c r="AJ562" s="11">
        <f t="shared" si="140"/>
        <v>0.249088592361873</v>
      </c>
      <c r="AK562" s="11" t="str">
        <f t="shared" si="141"/>
        <v>January</v>
      </c>
      <c r="AL562" s="12">
        <f t="shared" si="142"/>
        <v>2024</v>
      </c>
      <c r="AM562" s="6" t="s">
        <v>54</v>
      </c>
      <c r="AN562" s="6" t="s">
        <v>98</v>
      </c>
      <c r="AO562" s="6" t="str">
        <f t="shared" si="134"/>
        <v>Cancelled</v>
      </c>
    </row>
    <row r="563" spans="1:41">
      <c r="A563" s="6" t="s">
        <v>2719</v>
      </c>
      <c r="B563" s="7" t="s">
        <v>782</v>
      </c>
      <c r="C563" s="8">
        <v>45852</v>
      </c>
      <c r="D563" s="7" t="s">
        <v>2720</v>
      </c>
      <c r="E563" s="9">
        <v>45856</v>
      </c>
      <c r="F563" s="9" t="str">
        <f t="shared" si="127"/>
        <v>Valid</v>
      </c>
      <c r="G563" s="10">
        <f t="shared" si="128"/>
        <v>4</v>
      </c>
      <c r="H563" s="10" t="str">
        <f t="shared" si="129"/>
        <v>Valid</v>
      </c>
      <c r="I563" s="6" t="s">
        <v>2721</v>
      </c>
      <c r="J563" s="6" t="s">
        <v>127</v>
      </c>
      <c r="K563" s="6" t="s">
        <v>127</v>
      </c>
      <c r="L563" s="6" t="s">
        <v>46</v>
      </c>
      <c r="M563" s="7" t="str">
        <f t="shared" si="130"/>
        <v>Consumer</v>
      </c>
      <c r="N563" s="6" t="s">
        <v>47</v>
      </c>
      <c r="O563" s="7" t="str">
        <f t="shared" si="131"/>
        <v>North</v>
      </c>
      <c r="P563" s="6" t="s">
        <v>174</v>
      </c>
      <c r="Q563" s="6" t="s">
        <v>175</v>
      </c>
      <c r="R563" s="6" t="s">
        <v>106</v>
      </c>
      <c r="S563" s="7" t="str">
        <f t="shared" si="132"/>
        <v>Technology</v>
      </c>
      <c r="T563" s="6" t="s">
        <v>114</v>
      </c>
      <c r="U563" s="6" t="s">
        <v>2722</v>
      </c>
      <c r="V563" s="6" t="s">
        <v>76</v>
      </c>
      <c r="W563" s="7" t="str">
        <f t="shared" si="133"/>
        <v>First Class</v>
      </c>
      <c r="X563" s="6">
        <v>4</v>
      </c>
      <c r="Y563" s="6">
        <v>725.22</v>
      </c>
      <c r="Z563" s="6">
        <v>0</v>
      </c>
      <c r="AA563" s="6">
        <f t="shared" si="135"/>
        <v>0</v>
      </c>
      <c r="AB563" s="6" t="str">
        <f t="shared" si="136"/>
        <v>Valid</v>
      </c>
      <c r="AC563" s="6">
        <v>2900.88</v>
      </c>
      <c r="AD563" s="6" t="str">
        <f>IF(OR(AO563="Cancelled",AM563="Failed"),"Exclude from Completed Sales","Include in Completed Sales")</f>
        <v>Include in Completed Sales</v>
      </c>
      <c r="AE563" s="6">
        <f t="shared" si="137"/>
        <v>2900.88</v>
      </c>
      <c r="AF563" s="6" t="str">
        <f t="shared" si="138"/>
        <v/>
      </c>
      <c r="AG563" s="6">
        <v>2391.85</v>
      </c>
      <c r="AH563" s="6">
        <v>509.03</v>
      </c>
      <c r="AI563" s="6">
        <f t="shared" si="139"/>
        <v>509.0300000000002</v>
      </c>
      <c r="AJ563" s="11">
        <f t="shared" si="140"/>
        <v>0.17547433882132324</v>
      </c>
      <c r="AK563" s="11" t="str">
        <f t="shared" si="141"/>
        <v>July</v>
      </c>
      <c r="AL563" s="12">
        <f t="shared" si="142"/>
        <v>2025</v>
      </c>
      <c r="AM563" s="6" t="s">
        <v>157</v>
      </c>
      <c r="AN563" s="6" t="s">
        <v>145</v>
      </c>
      <c r="AO563" s="6" t="str">
        <f t="shared" si="134"/>
        <v>Returned</v>
      </c>
    </row>
    <row r="564" spans="1:41">
      <c r="A564" s="6" t="s">
        <v>2723</v>
      </c>
      <c r="B564" s="7" t="s">
        <v>2724</v>
      </c>
      <c r="C564" s="8">
        <v>45422</v>
      </c>
      <c r="D564" s="7" t="s">
        <v>2661</v>
      </c>
      <c r="E564" s="9">
        <v>45428</v>
      </c>
      <c r="F564" s="9" t="str">
        <f t="shared" si="127"/>
        <v>Valid</v>
      </c>
      <c r="G564" s="10">
        <f t="shared" si="128"/>
        <v>6</v>
      </c>
      <c r="H564" s="10" t="str">
        <f t="shared" si="129"/>
        <v>Valid</v>
      </c>
      <c r="I564" s="6" t="s">
        <v>2725</v>
      </c>
      <c r="J564" s="6" t="s">
        <v>45</v>
      </c>
      <c r="K564" s="6" t="s">
        <v>45</v>
      </c>
      <c r="L564" s="6" t="s">
        <v>46</v>
      </c>
      <c r="M564" s="7" t="str">
        <f t="shared" si="130"/>
        <v>Consumer</v>
      </c>
      <c r="N564" s="6" t="s">
        <v>47</v>
      </c>
      <c r="O564" s="7" t="str">
        <f t="shared" si="131"/>
        <v>North</v>
      </c>
      <c r="P564" s="6" t="s">
        <v>174</v>
      </c>
      <c r="Q564" s="6" t="s">
        <v>175</v>
      </c>
      <c r="R564" s="6" t="s">
        <v>50</v>
      </c>
      <c r="S564" s="7" t="str">
        <f t="shared" si="132"/>
        <v>Office Supplies</v>
      </c>
      <c r="T564" s="6" t="s">
        <v>218</v>
      </c>
      <c r="U564" s="6" t="s">
        <v>2726</v>
      </c>
      <c r="V564" s="6" t="s">
        <v>68</v>
      </c>
      <c r="W564" s="7" t="str">
        <f t="shared" si="133"/>
        <v>Same Day</v>
      </c>
      <c r="X564" s="6">
        <v>7</v>
      </c>
      <c r="Y564" s="6">
        <v>121.54</v>
      </c>
      <c r="Z564" s="6">
        <v>0.2</v>
      </c>
      <c r="AA564" s="6">
        <f t="shared" si="135"/>
        <v>0.2</v>
      </c>
      <c r="AB564" s="6" t="str">
        <f t="shared" si="136"/>
        <v>Valid</v>
      </c>
      <c r="AC564" s="6">
        <v>680.62</v>
      </c>
      <c r="AD564" s="6" t="str">
        <f>IF(OR(AO564="Cancelled",AM564="Failed"),"Exclude from Completed Sales","Include in Completed Sales")</f>
        <v>Exclude from Completed Sales</v>
      </c>
      <c r="AE564" s="6">
        <f t="shared" si="137"/>
        <v>680.62400000000014</v>
      </c>
      <c r="AF564" s="6" t="str">
        <f t="shared" si="138"/>
        <v/>
      </c>
      <c r="AG564" s="6">
        <v>463.49</v>
      </c>
      <c r="AH564" s="6">
        <v>217.13</v>
      </c>
      <c r="AI564" s="6">
        <f t="shared" si="139"/>
        <v>217.13400000000013</v>
      </c>
      <c r="AJ564" s="11">
        <f t="shared" si="140"/>
        <v>0.31902195632243363</v>
      </c>
      <c r="AK564" s="11" t="str">
        <f t="shared" si="141"/>
        <v>May</v>
      </c>
      <c r="AL564" s="12">
        <f t="shared" si="142"/>
        <v>2024</v>
      </c>
      <c r="AM564" s="6" t="s">
        <v>220</v>
      </c>
      <c r="AN564" s="6" t="s">
        <v>145</v>
      </c>
      <c r="AO564" s="6" t="str">
        <f t="shared" si="134"/>
        <v>Returned</v>
      </c>
    </row>
    <row r="565" spans="1:41">
      <c r="A565" s="6" t="s">
        <v>2727</v>
      </c>
      <c r="B565" s="7" t="s">
        <v>2728</v>
      </c>
      <c r="C565" s="8">
        <v>45418</v>
      </c>
      <c r="D565" s="7" t="s">
        <v>1804</v>
      </c>
      <c r="E565" s="9">
        <v>45424</v>
      </c>
      <c r="F565" s="9" t="str">
        <f t="shared" si="127"/>
        <v>Valid</v>
      </c>
      <c r="G565" s="10">
        <f t="shared" si="128"/>
        <v>6</v>
      </c>
      <c r="H565" s="10" t="str">
        <f t="shared" si="129"/>
        <v>Valid</v>
      </c>
      <c r="I565" s="6" t="s">
        <v>2729</v>
      </c>
      <c r="J565" s="6" t="s">
        <v>81</v>
      </c>
      <c r="K565" s="6" t="s">
        <v>81</v>
      </c>
      <c r="L565" s="6" t="s">
        <v>128</v>
      </c>
      <c r="M565" s="7" t="str">
        <f t="shared" si="130"/>
        <v>Corporate</v>
      </c>
      <c r="N565" s="6" t="s">
        <v>93</v>
      </c>
      <c r="O565" s="7" t="str">
        <f t="shared" si="131"/>
        <v>West</v>
      </c>
      <c r="P565" s="6" t="s">
        <v>269</v>
      </c>
      <c r="Q565" s="6" t="s">
        <v>270</v>
      </c>
      <c r="R565" s="6" t="s">
        <v>65</v>
      </c>
      <c r="S565" s="7" t="str">
        <f t="shared" si="132"/>
        <v>Furniture</v>
      </c>
      <c r="T565" s="6" t="s">
        <v>66</v>
      </c>
      <c r="U565" s="6" t="s">
        <v>2730</v>
      </c>
      <c r="V565" s="6" t="s">
        <v>87</v>
      </c>
      <c r="W565" s="7" t="str">
        <f t="shared" si="133"/>
        <v>Standard Class</v>
      </c>
      <c r="X565" s="6">
        <v>9</v>
      </c>
      <c r="Y565" s="6">
        <v>790.97</v>
      </c>
      <c r="Z565" s="6">
        <v>0.2</v>
      </c>
      <c r="AA565" s="6">
        <f t="shared" si="135"/>
        <v>0.2</v>
      </c>
      <c r="AB565" s="6" t="str">
        <f t="shared" si="136"/>
        <v>Valid</v>
      </c>
      <c r="AC565" s="6">
        <v>5694.98</v>
      </c>
      <c r="AD565" s="6" t="str">
        <f>IF(OR(AO565="Cancelled",AM565="Failed"),"Exclude from Completed Sales","Include in Completed Sales")</f>
        <v>Exclude from Completed Sales</v>
      </c>
      <c r="AE565" s="6">
        <f t="shared" si="137"/>
        <v>5694.9840000000004</v>
      </c>
      <c r="AF565" s="6" t="str">
        <f t="shared" si="138"/>
        <v/>
      </c>
      <c r="AG565" s="6">
        <v>4618.33</v>
      </c>
      <c r="AH565" s="6">
        <v>1076.6500000000001</v>
      </c>
      <c r="AI565" s="6">
        <f t="shared" si="139"/>
        <v>1076.6540000000005</v>
      </c>
      <c r="AJ565" s="11">
        <f t="shared" si="140"/>
        <v>0.1890530333360024</v>
      </c>
      <c r="AK565" s="11" t="str">
        <f t="shared" si="141"/>
        <v>May</v>
      </c>
      <c r="AL565" s="12">
        <f t="shared" si="142"/>
        <v>2024</v>
      </c>
      <c r="AM565" s="6" t="s">
        <v>157</v>
      </c>
      <c r="AN565" s="6" t="s">
        <v>98</v>
      </c>
      <c r="AO565" s="6" t="str">
        <f t="shared" si="134"/>
        <v>Cancelled</v>
      </c>
    </row>
    <row r="566" spans="1:41">
      <c r="A566" s="6" t="s">
        <v>2731</v>
      </c>
      <c r="B566" s="7" t="s">
        <v>125</v>
      </c>
      <c r="C566" s="8">
        <v>45606</v>
      </c>
      <c r="D566" s="7" t="s">
        <v>2732</v>
      </c>
      <c r="E566" s="9">
        <v>45610</v>
      </c>
      <c r="F566" s="9" t="str">
        <f t="shared" si="127"/>
        <v>Valid</v>
      </c>
      <c r="G566" s="10">
        <f t="shared" si="128"/>
        <v>4</v>
      </c>
      <c r="H566" s="10" t="str">
        <f t="shared" si="129"/>
        <v>Valid</v>
      </c>
      <c r="I566" s="6" t="s">
        <v>2733</v>
      </c>
      <c r="J566" s="6" t="s">
        <v>188</v>
      </c>
      <c r="K566" s="6" t="s">
        <v>188</v>
      </c>
      <c r="L566" s="6" t="s">
        <v>128</v>
      </c>
      <c r="M566" s="7" t="str">
        <f t="shared" si="130"/>
        <v>Corporate</v>
      </c>
      <c r="N566" s="6" t="s">
        <v>82</v>
      </c>
      <c r="O566" s="7" t="str">
        <f t="shared" si="131"/>
        <v>South</v>
      </c>
      <c r="P566" s="6" t="s">
        <v>120</v>
      </c>
      <c r="Q566" s="6" t="s">
        <v>121</v>
      </c>
      <c r="R566" s="6" t="s">
        <v>65</v>
      </c>
      <c r="S566" s="7" t="str">
        <f t="shared" si="132"/>
        <v>Furniture</v>
      </c>
      <c r="T566" s="6" t="s">
        <v>66</v>
      </c>
      <c r="U566" s="6" t="s">
        <v>2734</v>
      </c>
      <c r="V566" s="6" t="s">
        <v>76</v>
      </c>
      <c r="W566" s="7" t="str">
        <f t="shared" si="133"/>
        <v>First Class</v>
      </c>
      <c r="X566" s="6">
        <v>2</v>
      </c>
      <c r="Y566" s="6">
        <v>921.34</v>
      </c>
      <c r="Z566" s="6">
        <v>0.2</v>
      </c>
      <c r="AA566" s="6">
        <f t="shared" si="135"/>
        <v>0.2</v>
      </c>
      <c r="AB566" s="6" t="str">
        <f t="shared" si="136"/>
        <v>Valid</v>
      </c>
      <c r="AC566" s="6">
        <v>1474.14</v>
      </c>
      <c r="AD566" s="6" t="str">
        <f>IF(OR(AO566="Cancelled",AM566="Failed"),"Exclude from Completed Sales","Include in Completed Sales")</f>
        <v>Include in Completed Sales</v>
      </c>
      <c r="AE566" s="6">
        <f t="shared" si="137"/>
        <v>1474.1440000000002</v>
      </c>
      <c r="AF566" s="6" t="str">
        <f t="shared" si="138"/>
        <v/>
      </c>
      <c r="AG566" s="6">
        <v>968.46</v>
      </c>
      <c r="AH566" s="6">
        <v>505.68</v>
      </c>
      <c r="AI566" s="6">
        <f t="shared" si="139"/>
        <v>505.6840000000002</v>
      </c>
      <c r="AJ566" s="11">
        <f t="shared" si="140"/>
        <v>0.34303568715132315</v>
      </c>
      <c r="AK566" s="11" t="str">
        <f t="shared" si="141"/>
        <v>November</v>
      </c>
      <c r="AL566" s="12">
        <f t="shared" si="142"/>
        <v>2024</v>
      </c>
      <c r="AM566" s="6" t="s">
        <v>54</v>
      </c>
      <c r="AN566" s="6" t="s">
        <v>55</v>
      </c>
      <c r="AO566" s="6" t="str">
        <f t="shared" si="134"/>
        <v>Completed</v>
      </c>
    </row>
    <row r="567" spans="1:41">
      <c r="A567" s="6" t="s">
        <v>2735</v>
      </c>
      <c r="B567" s="7" t="s">
        <v>2736</v>
      </c>
      <c r="C567" s="8">
        <v>45876</v>
      </c>
      <c r="D567" s="7" t="s">
        <v>260</v>
      </c>
      <c r="E567" s="9">
        <v>45882</v>
      </c>
      <c r="F567" s="9" t="str">
        <f t="shared" si="127"/>
        <v>Valid</v>
      </c>
      <c r="G567" s="10">
        <f t="shared" si="128"/>
        <v>6</v>
      </c>
      <c r="H567" s="10" t="str">
        <f t="shared" si="129"/>
        <v>Valid</v>
      </c>
      <c r="I567" s="6" t="s">
        <v>2737</v>
      </c>
      <c r="J567" s="6" t="s">
        <v>60</v>
      </c>
      <c r="K567" s="6" t="s">
        <v>60</v>
      </c>
      <c r="L567" s="6" t="s">
        <v>128</v>
      </c>
      <c r="M567" s="7" t="str">
        <f t="shared" si="130"/>
        <v>Corporate</v>
      </c>
      <c r="N567" s="6" t="s">
        <v>47</v>
      </c>
      <c r="O567" s="7" t="str">
        <f t="shared" si="131"/>
        <v>North</v>
      </c>
      <c r="P567" s="6" t="s">
        <v>526</v>
      </c>
      <c r="Q567" s="6" t="s">
        <v>527</v>
      </c>
      <c r="R567" s="6" t="s">
        <v>106</v>
      </c>
      <c r="S567" s="7" t="str">
        <f t="shared" si="132"/>
        <v>Technology</v>
      </c>
      <c r="T567" s="6" t="s">
        <v>243</v>
      </c>
      <c r="U567" s="6" t="s">
        <v>2738</v>
      </c>
      <c r="V567" s="6" t="s">
        <v>87</v>
      </c>
      <c r="W567" s="7" t="str">
        <f t="shared" si="133"/>
        <v>Standard Class</v>
      </c>
      <c r="X567" s="6">
        <v>6</v>
      </c>
      <c r="Y567" s="6">
        <v>1921.86</v>
      </c>
      <c r="Z567" s="6">
        <v>0.2</v>
      </c>
      <c r="AA567" s="6">
        <f t="shared" si="135"/>
        <v>0.2</v>
      </c>
      <c r="AB567" s="6" t="str">
        <f t="shared" si="136"/>
        <v>Valid</v>
      </c>
      <c r="AC567" s="6">
        <v>9224.93</v>
      </c>
      <c r="AD567" s="6" t="str">
        <f>IF(OR(AO567="Cancelled",AM567="Failed"),"Exclude from Completed Sales","Include in Completed Sales")</f>
        <v>Exclude from Completed Sales</v>
      </c>
      <c r="AE567" s="6">
        <f t="shared" si="137"/>
        <v>9224.9279999999999</v>
      </c>
      <c r="AF567" s="6" t="str">
        <f t="shared" si="138"/>
        <v>Refunded</v>
      </c>
      <c r="AG567" s="6">
        <v>7005.2</v>
      </c>
      <c r="AH567" s="6">
        <v>2219.73</v>
      </c>
      <c r="AI567" s="6">
        <f t="shared" si="139"/>
        <v>2219.7280000000001</v>
      </c>
      <c r="AJ567" s="11">
        <f t="shared" si="140"/>
        <v>0.24062279944081949</v>
      </c>
      <c r="AK567" s="11" t="str">
        <f t="shared" si="141"/>
        <v>August</v>
      </c>
      <c r="AL567" s="12">
        <f t="shared" si="142"/>
        <v>2025</v>
      </c>
      <c r="AM567" s="6" t="s">
        <v>144</v>
      </c>
      <c r="AN567" s="6" t="s">
        <v>98</v>
      </c>
      <c r="AO567" s="6" t="str">
        <f t="shared" si="134"/>
        <v>Cancelled</v>
      </c>
    </row>
    <row r="568" spans="1:41">
      <c r="A568" s="6" t="s">
        <v>2739</v>
      </c>
      <c r="B568" s="7" t="s">
        <v>2458</v>
      </c>
      <c r="C568" s="8">
        <v>45515</v>
      </c>
      <c r="D568" s="7" t="s">
        <v>2740</v>
      </c>
      <c r="E568" s="9">
        <v>45523</v>
      </c>
      <c r="F568" s="9" t="str">
        <f t="shared" si="127"/>
        <v>Valid</v>
      </c>
      <c r="G568" s="10">
        <f t="shared" si="128"/>
        <v>8</v>
      </c>
      <c r="H568" s="10" t="str">
        <f t="shared" si="129"/>
        <v>Valid</v>
      </c>
      <c r="I568" s="6" t="s">
        <v>2741</v>
      </c>
      <c r="J568" s="6" t="s">
        <v>188</v>
      </c>
      <c r="K568" s="6" t="s">
        <v>188</v>
      </c>
      <c r="L568" s="6" t="s">
        <v>61</v>
      </c>
      <c r="M568" s="7" t="str">
        <f t="shared" si="130"/>
        <v>Small Business</v>
      </c>
      <c r="N568" s="6" t="s">
        <v>93</v>
      </c>
      <c r="O568" s="7" t="str">
        <f t="shared" si="131"/>
        <v>West</v>
      </c>
      <c r="P568" s="6" t="s">
        <v>94</v>
      </c>
      <c r="Q568" s="6" t="s">
        <v>95</v>
      </c>
      <c r="R568" s="6" t="s">
        <v>50</v>
      </c>
      <c r="S568" s="7" t="str">
        <f t="shared" si="132"/>
        <v>Office Supplies</v>
      </c>
      <c r="T568" s="6" t="s">
        <v>51</v>
      </c>
      <c r="U568" s="6" t="s">
        <v>2742</v>
      </c>
      <c r="V568" s="6" t="s">
        <v>68</v>
      </c>
      <c r="W568" s="7" t="str">
        <f t="shared" si="133"/>
        <v>Same Day</v>
      </c>
      <c r="X568" s="6">
        <v>2</v>
      </c>
      <c r="Y568" s="6">
        <v>2617.89</v>
      </c>
      <c r="Z568" s="6">
        <v>0.1</v>
      </c>
      <c r="AA568" s="6">
        <f t="shared" si="135"/>
        <v>0.1</v>
      </c>
      <c r="AB568" s="6" t="str">
        <f t="shared" si="136"/>
        <v>Valid</v>
      </c>
      <c r="AC568" s="6">
        <v>4712.2</v>
      </c>
      <c r="AD568" s="6" t="str">
        <f>IF(OR(AO568="Cancelled",AM568="Failed"),"Exclude from Completed Sales","Include in Completed Sales")</f>
        <v>Exclude from Completed Sales</v>
      </c>
      <c r="AE568" s="6">
        <f t="shared" si="137"/>
        <v>4712.2020000000002</v>
      </c>
      <c r="AF568" s="6" t="str">
        <f t="shared" si="138"/>
        <v/>
      </c>
      <c r="AG568" s="6">
        <v>3851.91</v>
      </c>
      <c r="AH568" s="6">
        <v>860.29</v>
      </c>
      <c r="AI568" s="6">
        <f t="shared" si="139"/>
        <v>860.29200000000037</v>
      </c>
      <c r="AJ568" s="11">
        <f t="shared" si="140"/>
        <v>0.18256687637754077</v>
      </c>
      <c r="AK568" s="11" t="str">
        <f t="shared" si="141"/>
        <v>August</v>
      </c>
      <c r="AL568" s="12">
        <f t="shared" si="142"/>
        <v>2024</v>
      </c>
      <c r="AM568" s="6" t="s">
        <v>220</v>
      </c>
      <c r="AN568" s="6" t="s">
        <v>145</v>
      </c>
      <c r="AO568" s="6" t="str">
        <f t="shared" si="134"/>
        <v>Returned</v>
      </c>
    </row>
    <row r="569" spans="1:41">
      <c r="A569" s="6" t="s">
        <v>2743</v>
      </c>
      <c r="B569" s="7" t="s">
        <v>2744</v>
      </c>
      <c r="C569" s="8">
        <v>45328</v>
      </c>
      <c r="D569" s="7" t="s">
        <v>2745</v>
      </c>
      <c r="E569" s="9">
        <v>45332</v>
      </c>
      <c r="F569" s="9" t="str">
        <f t="shared" si="127"/>
        <v>Valid</v>
      </c>
      <c r="G569" s="10">
        <f t="shared" si="128"/>
        <v>4</v>
      </c>
      <c r="H569" s="10" t="str">
        <f t="shared" si="129"/>
        <v>Valid</v>
      </c>
      <c r="I569" s="6" t="s">
        <v>2746</v>
      </c>
      <c r="J569" s="6" t="s">
        <v>81</v>
      </c>
      <c r="K569" s="6" t="s">
        <v>81</v>
      </c>
      <c r="L569" s="6" t="s">
        <v>135</v>
      </c>
      <c r="M569" s="7" t="str">
        <f t="shared" si="130"/>
        <v>Home Office</v>
      </c>
      <c r="N569" s="6" t="s">
        <v>47</v>
      </c>
      <c r="O569" s="7" t="str">
        <f t="shared" si="131"/>
        <v>North</v>
      </c>
      <c r="P569" s="6" t="s">
        <v>194</v>
      </c>
      <c r="Q569" s="6" t="s">
        <v>195</v>
      </c>
      <c r="R569" s="6" t="s">
        <v>65</v>
      </c>
      <c r="S569" s="7" t="str">
        <f t="shared" si="132"/>
        <v>Furniture</v>
      </c>
      <c r="T569" s="6" t="s">
        <v>85</v>
      </c>
      <c r="U569" s="6" t="s">
        <v>920</v>
      </c>
      <c r="V569" s="6" t="s">
        <v>68</v>
      </c>
      <c r="W569" s="7" t="str">
        <f t="shared" si="133"/>
        <v>Same Day</v>
      </c>
      <c r="X569" s="6">
        <v>1</v>
      </c>
      <c r="Y569" s="6">
        <v>1374.06</v>
      </c>
      <c r="Z569" s="6">
        <v>0.05</v>
      </c>
      <c r="AA569" s="6">
        <f t="shared" si="135"/>
        <v>0.05</v>
      </c>
      <c r="AB569" s="6" t="str">
        <f t="shared" si="136"/>
        <v>Valid</v>
      </c>
      <c r="AC569" s="6">
        <v>1305.3599999999999</v>
      </c>
      <c r="AD569" s="6" t="str">
        <f>IF(OR(AO569="Cancelled",AM569="Failed"),"Exclude from Completed Sales","Include in Completed Sales")</f>
        <v>Include in Completed Sales</v>
      </c>
      <c r="AE569" s="6">
        <f t="shared" si="137"/>
        <v>1305.357</v>
      </c>
      <c r="AF569" s="6" t="str">
        <f t="shared" si="138"/>
        <v/>
      </c>
      <c r="AG569" s="6">
        <v>731.89</v>
      </c>
      <c r="AH569" s="6">
        <v>573.47</v>
      </c>
      <c r="AI569" s="6">
        <f t="shared" si="139"/>
        <v>573.46699999999998</v>
      </c>
      <c r="AJ569" s="11">
        <f t="shared" si="140"/>
        <v>0.4393181328939133</v>
      </c>
      <c r="AK569" s="11" t="str">
        <f t="shared" si="141"/>
        <v>February</v>
      </c>
      <c r="AL569" s="12">
        <f t="shared" si="142"/>
        <v>2024</v>
      </c>
      <c r="AM569" s="6" t="s">
        <v>54</v>
      </c>
      <c r="AN569" s="6" t="s">
        <v>55</v>
      </c>
      <c r="AO569" s="6" t="str">
        <f t="shared" si="134"/>
        <v>Completed</v>
      </c>
    </row>
    <row r="570" spans="1:41">
      <c r="A570" s="6" t="s">
        <v>2747</v>
      </c>
      <c r="B570" s="7" t="s">
        <v>1739</v>
      </c>
      <c r="C570" s="8">
        <v>45312</v>
      </c>
      <c r="D570" s="7" t="s">
        <v>2748</v>
      </c>
      <c r="E570" s="9">
        <v>45315</v>
      </c>
      <c r="F570" s="9" t="str">
        <f t="shared" si="127"/>
        <v>Valid</v>
      </c>
      <c r="G570" s="10">
        <f t="shared" si="128"/>
        <v>3</v>
      </c>
      <c r="H570" s="10" t="str">
        <f t="shared" si="129"/>
        <v>Valid</v>
      </c>
      <c r="I570" s="6" t="s">
        <v>2749</v>
      </c>
      <c r="J570" s="6" t="s">
        <v>386</v>
      </c>
      <c r="K570" s="6" t="s">
        <v>386</v>
      </c>
      <c r="L570" s="6" t="s">
        <v>128</v>
      </c>
      <c r="M570" s="7" t="str">
        <f t="shared" si="130"/>
        <v>Corporate</v>
      </c>
      <c r="N570" s="6" t="s">
        <v>47</v>
      </c>
      <c r="O570" s="7" t="str">
        <f t="shared" si="131"/>
        <v>North</v>
      </c>
      <c r="P570" s="6" t="s">
        <v>174</v>
      </c>
      <c r="Q570" s="6" t="s">
        <v>175</v>
      </c>
      <c r="R570" s="6" t="s">
        <v>106</v>
      </c>
      <c r="S570" s="7" t="str">
        <f t="shared" si="132"/>
        <v>Technology</v>
      </c>
      <c r="T570" s="6" t="s">
        <v>402</v>
      </c>
      <c r="U570" s="6" t="s">
        <v>2750</v>
      </c>
      <c r="V570" s="6" t="s">
        <v>68</v>
      </c>
      <c r="W570" s="7" t="str">
        <f t="shared" si="133"/>
        <v>Same Day</v>
      </c>
      <c r="X570" s="6">
        <v>1</v>
      </c>
      <c r="Y570" s="6">
        <v>3806.3</v>
      </c>
      <c r="Z570" s="6">
        <v>0.25</v>
      </c>
      <c r="AA570" s="6">
        <f t="shared" si="135"/>
        <v>0.25</v>
      </c>
      <c r="AB570" s="6" t="str">
        <f t="shared" si="136"/>
        <v>Valid</v>
      </c>
      <c r="AC570" s="6">
        <v>2854.73</v>
      </c>
      <c r="AD570" s="6" t="str">
        <f>IF(OR(AO570="Cancelled",AM570="Failed"),"Exclude from Completed Sales","Include in Completed Sales")</f>
        <v>Include in Completed Sales</v>
      </c>
      <c r="AE570" s="6">
        <f t="shared" si="137"/>
        <v>2854.7250000000004</v>
      </c>
      <c r="AF570" s="6" t="str">
        <f t="shared" si="138"/>
        <v/>
      </c>
      <c r="AG570" s="6">
        <v>1968.12</v>
      </c>
      <c r="AH570" s="6">
        <v>886.61</v>
      </c>
      <c r="AI570" s="6">
        <f t="shared" si="139"/>
        <v>886.60500000000047</v>
      </c>
      <c r="AJ570" s="11">
        <f t="shared" si="140"/>
        <v>0.31057457373302172</v>
      </c>
      <c r="AK570" s="11" t="str">
        <f t="shared" si="141"/>
        <v>January</v>
      </c>
      <c r="AL570" s="12">
        <f t="shared" si="142"/>
        <v>2024</v>
      </c>
      <c r="AM570" s="6" t="s">
        <v>54</v>
      </c>
      <c r="AN570" s="6" t="s">
        <v>55</v>
      </c>
      <c r="AO570" s="6" t="str">
        <f t="shared" si="134"/>
        <v>Completed</v>
      </c>
    </row>
    <row r="571" spans="1:41">
      <c r="A571" s="6" t="s">
        <v>2751</v>
      </c>
      <c r="B571" s="7" t="s">
        <v>2752</v>
      </c>
      <c r="C571" s="8">
        <v>45908</v>
      </c>
      <c r="D571" s="7" t="s">
        <v>2753</v>
      </c>
      <c r="E571" s="9">
        <v>45910</v>
      </c>
      <c r="F571" s="9" t="str">
        <f t="shared" si="127"/>
        <v>Valid</v>
      </c>
      <c r="G571" s="10">
        <f t="shared" si="128"/>
        <v>2</v>
      </c>
      <c r="H571" s="10" t="str">
        <f t="shared" si="129"/>
        <v>Valid</v>
      </c>
      <c r="I571" s="6" t="s">
        <v>2754</v>
      </c>
      <c r="J571" s="6" t="s">
        <v>168</v>
      </c>
      <c r="K571" s="6" t="s">
        <v>168</v>
      </c>
      <c r="L571" s="6" t="s">
        <v>135</v>
      </c>
      <c r="M571" s="7" t="str">
        <f t="shared" si="130"/>
        <v>Home Office</v>
      </c>
      <c r="N571" s="6" t="s">
        <v>93</v>
      </c>
      <c r="O571" s="7" t="str">
        <f t="shared" si="131"/>
        <v>West</v>
      </c>
      <c r="P571" s="6" t="s">
        <v>94</v>
      </c>
      <c r="Q571" s="6" t="s">
        <v>95</v>
      </c>
      <c r="R571" s="6" t="s">
        <v>65</v>
      </c>
      <c r="S571" s="7" t="str">
        <f t="shared" si="132"/>
        <v>Furniture</v>
      </c>
      <c r="T571" s="6" t="s">
        <v>85</v>
      </c>
      <c r="U571" s="6" t="s">
        <v>2755</v>
      </c>
      <c r="V571" s="6" t="s">
        <v>87</v>
      </c>
      <c r="W571" s="7" t="str">
        <f t="shared" si="133"/>
        <v>Standard Class</v>
      </c>
      <c r="X571" s="6">
        <v>6</v>
      </c>
      <c r="Y571" s="6">
        <v>3251.17</v>
      </c>
      <c r="Z571" s="6">
        <v>0.25</v>
      </c>
      <c r="AA571" s="6">
        <f t="shared" si="135"/>
        <v>0.25</v>
      </c>
      <c r="AB571" s="6" t="str">
        <f t="shared" si="136"/>
        <v>Valid</v>
      </c>
      <c r="AC571" s="6">
        <v>14630.26</v>
      </c>
      <c r="AD571" s="6" t="str">
        <f>IF(OR(AO571="Cancelled",AM571="Failed"),"Exclude from Completed Sales","Include in Completed Sales")</f>
        <v>Include in Completed Sales</v>
      </c>
      <c r="AE571" s="6">
        <f t="shared" si="137"/>
        <v>14630.264999999999</v>
      </c>
      <c r="AF571" s="6" t="str">
        <f t="shared" si="138"/>
        <v>Refunded</v>
      </c>
      <c r="AG571" s="6">
        <v>11906.36</v>
      </c>
      <c r="AH571" s="6">
        <v>2723.9</v>
      </c>
      <c r="AI571" s="6">
        <f t="shared" si="139"/>
        <v>2723.9049999999988</v>
      </c>
      <c r="AJ571" s="11">
        <f t="shared" si="140"/>
        <v>0.18618288868998606</v>
      </c>
      <c r="AK571" s="11" t="str">
        <f t="shared" si="141"/>
        <v>September</v>
      </c>
      <c r="AL571" s="12">
        <f t="shared" si="142"/>
        <v>2025</v>
      </c>
      <c r="AM571" s="6" t="s">
        <v>144</v>
      </c>
      <c r="AN571" s="6" t="s">
        <v>145</v>
      </c>
      <c r="AO571" s="6" t="str">
        <f t="shared" si="134"/>
        <v>Returned</v>
      </c>
    </row>
    <row r="572" spans="1:41">
      <c r="A572" s="6" t="s">
        <v>2756</v>
      </c>
      <c r="B572" s="7" t="s">
        <v>941</v>
      </c>
      <c r="C572" s="8">
        <v>45887</v>
      </c>
      <c r="D572" s="7" t="s">
        <v>718</v>
      </c>
      <c r="E572" s="9">
        <v>45891</v>
      </c>
      <c r="F572" s="9" t="str">
        <f t="shared" si="127"/>
        <v>Valid</v>
      </c>
      <c r="G572" s="10">
        <f t="shared" si="128"/>
        <v>4</v>
      </c>
      <c r="H572" s="10" t="str">
        <f t="shared" si="129"/>
        <v>Valid</v>
      </c>
      <c r="I572" s="6" t="s">
        <v>2757</v>
      </c>
      <c r="J572" s="6" t="s">
        <v>81</v>
      </c>
      <c r="K572" s="6" t="s">
        <v>81</v>
      </c>
      <c r="L572" s="6" t="s">
        <v>46</v>
      </c>
      <c r="M572" s="7" t="str">
        <f t="shared" si="130"/>
        <v>Consumer</v>
      </c>
      <c r="N572" s="6" t="s">
        <v>62</v>
      </c>
      <c r="O572" s="7" t="str">
        <f t="shared" si="131"/>
        <v>East</v>
      </c>
      <c r="P572" s="6" t="s">
        <v>331</v>
      </c>
      <c r="Q572" s="6" t="s">
        <v>332</v>
      </c>
      <c r="R572" s="6" t="s">
        <v>65</v>
      </c>
      <c r="S572" s="7" t="str">
        <f t="shared" si="132"/>
        <v>Furniture</v>
      </c>
      <c r="T572" s="6" t="s">
        <v>85</v>
      </c>
      <c r="U572" s="6" t="s">
        <v>2758</v>
      </c>
      <c r="V572" s="6" t="s">
        <v>53</v>
      </c>
      <c r="W572" s="7" t="str">
        <f t="shared" si="133"/>
        <v>Second Class</v>
      </c>
      <c r="X572" s="6">
        <v>3</v>
      </c>
      <c r="Y572" s="6">
        <v>3946.44</v>
      </c>
      <c r="Z572" s="6">
        <v>0.25</v>
      </c>
      <c r="AA572" s="6">
        <f t="shared" si="135"/>
        <v>0.25</v>
      </c>
      <c r="AB572" s="6" t="str">
        <f t="shared" si="136"/>
        <v>Valid</v>
      </c>
      <c r="AC572" s="6">
        <v>8879.49</v>
      </c>
      <c r="AD572" s="6" t="str">
        <f>IF(OR(AO572="Cancelled",AM572="Failed"),"Exclude from Completed Sales","Include in Completed Sales")</f>
        <v>Exclude from Completed Sales</v>
      </c>
      <c r="AE572" s="6">
        <f t="shared" si="137"/>
        <v>8879.49</v>
      </c>
      <c r="AF572" s="6" t="str">
        <f t="shared" si="138"/>
        <v/>
      </c>
      <c r="AG572" s="6">
        <v>6344.57</v>
      </c>
      <c r="AH572" s="6">
        <v>2534.92</v>
      </c>
      <c r="AI572" s="6">
        <f t="shared" si="139"/>
        <v>2534.92</v>
      </c>
      <c r="AJ572" s="11">
        <f t="shared" si="140"/>
        <v>0.28548035979543873</v>
      </c>
      <c r="AK572" s="11" t="str">
        <f t="shared" si="141"/>
        <v>August</v>
      </c>
      <c r="AL572" s="12">
        <f t="shared" si="142"/>
        <v>2025</v>
      </c>
      <c r="AM572" s="6" t="s">
        <v>220</v>
      </c>
      <c r="AN572" s="6" t="s">
        <v>145</v>
      </c>
      <c r="AO572" s="6" t="str">
        <f t="shared" si="134"/>
        <v>Returned</v>
      </c>
    </row>
    <row r="573" spans="1:41">
      <c r="A573" s="6" t="s">
        <v>2759</v>
      </c>
      <c r="B573" s="7" t="s">
        <v>2695</v>
      </c>
      <c r="C573" s="8">
        <v>45698</v>
      </c>
      <c r="D573" s="7" t="s">
        <v>2760</v>
      </c>
      <c r="E573" s="9">
        <v>45702</v>
      </c>
      <c r="F573" s="9" t="str">
        <f t="shared" si="127"/>
        <v>Valid</v>
      </c>
      <c r="G573" s="10">
        <f t="shared" si="128"/>
        <v>4</v>
      </c>
      <c r="H573" s="10" t="str">
        <f t="shared" si="129"/>
        <v>Valid</v>
      </c>
      <c r="I573" s="6" t="s">
        <v>2761</v>
      </c>
      <c r="J573" s="6" t="s">
        <v>162</v>
      </c>
      <c r="K573" s="6" t="s">
        <v>162</v>
      </c>
      <c r="L573" s="6" t="s">
        <v>61</v>
      </c>
      <c r="M573" s="7" t="str">
        <f t="shared" si="130"/>
        <v>Small Business</v>
      </c>
      <c r="N573" s="6" t="s">
        <v>47</v>
      </c>
      <c r="O573" s="7" t="str">
        <f t="shared" si="131"/>
        <v>North</v>
      </c>
      <c r="P573" s="6" t="s">
        <v>194</v>
      </c>
      <c r="Q573" s="6" t="s">
        <v>195</v>
      </c>
      <c r="R573" s="6" t="s">
        <v>106</v>
      </c>
      <c r="S573" s="7" t="str">
        <f t="shared" si="132"/>
        <v>Technology</v>
      </c>
      <c r="T573" s="6" t="s">
        <v>243</v>
      </c>
      <c r="U573" s="6" t="s">
        <v>2762</v>
      </c>
      <c r="V573" s="6"/>
      <c r="W573" s="7" t="str">
        <f t="shared" si="133"/>
        <v>Unknown</v>
      </c>
      <c r="X573" s="6">
        <v>5</v>
      </c>
      <c r="Y573" s="6">
        <v>4276.29</v>
      </c>
      <c r="Z573" s="6">
        <v>0</v>
      </c>
      <c r="AA573" s="6">
        <f t="shared" si="135"/>
        <v>0</v>
      </c>
      <c r="AB573" s="6" t="str">
        <f t="shared" si="136"/>
        <v>Valid</v>
      </c>
      <c r="AC573" s="6">
        <v>21381.45</v>
      </c>
      <c r="AD573" s="6" t="str">
        <f>IF(OR(AO573="Cancelled",AM573="Failed"),"Exclude from Completed Sales","Include in Completed Sales")</f>
        <v>Exclude from Completed Sales</v>
      </c>
      <c r="AE573" s="6">
        <f t="shared" si="137"/>
        <v>21381.45</v>
      </c>
      <c r="AF573" s="6" t="str">
        <f t="shared" si="138"/>
        <v/>
      </c>
      <c r="AG573" s="6">
        <v>13240.21</v>
      </c>
      <c r="AH573" s="6">
        <v>8141.24</v>
      </c>
      <c r="AI573" s="6">
        <f t="shared" si="139"/>
        <v>8141.2400000000016</v>
      </c>
      <c r="AJ573" s="11">
        <f t="shared" si="140"/>
        <v>0.38076182859441249</v>
      </c>
      <c r="AK573" s="11" t="str">
        <f t="shared" si="141"/>
        <v>February</v>
      </c>
      <c r="AL573" s="12">
        <f t="shared" si="142"/>
        <v>2025</v>
      </c>
      <c r="AM573" s="6" t="s">
        <v>220</v>
      </c>
      <c r="AN573" s="6" t="s">
        <v>145</v>
      </c>
      <c r="AO573" s="6" t="str">
        <f t="shared" si="134"/>
        <v>Returned</v>
      </c>
    </row>
    <row r="574" spans="1:41">
      <c r="A574" s="6" t="s">
        <v>2763</v>
      </c>
      <c r="B574" s="7" t="s">
        <v>2764</v>
      </c>
      <c r="C574" s="8">
        <v>45293</v>
      </c>
      <c r="D574" s="7" t="s">
        <v>2765</v>
      </c>
      <c r="E574" s="9">
        <v>45300</v>
      </c>
      <c r="F574" s="9" t="str">
        <f t="shared" si="127"/>
        <v>Valid</v>
      </c>
      <c r="G574" s="10">
        <f t="shared" si="128"/>
        <v>7</v>
      </c>
      <c r="H574" s="10" t="str">
        <f t="shared" si="129"/>
        <v>Valid</v>
      </c>
      <c r="I574" s="6" t="s">
        <v>2766</v>
      </c>
      <c r="J574" s="6" t="s">
        <v>230</v>
      </c>
      <c r="K574" s="6" t="s">
        <v>230</v>
      </c>
      <c r="L574" s="6" t="s">
        <v>128</v>
      </c>
      <c r="M574" s="7" t="str">
        <f t="shared" si="130"/>
        <v>Corporate</v>
      </c>
      <c r="N574" s="6" t="s">
        <v>47</v>
      </c>
      <c r="O574" s="7" t="str">
        <f t="shared" si="131"/>
        <v>North</v>
      </c>
      <c r="P574" s="6" t="s">
        <v>526</v>
      </c>
      <c r="Q574" s="6" t="s">
        <v>527</v>
      </c>
      <c r="R574" s="6" t="s">
        <v>106</v>
      </c>
      <c r="S574" s="7" t="str">
        <f t="shared" si="132"/>
        <v>Technology</v>
      </c>
      <c r="T574" s="6" t="s">
        <v>243</v>
      </c>
      <c r="U574" s="6" t="s">
        <v>2767</v>
      </c>
      <c r="V574" s="6" t="s">
        <v>87</v>
      </c>
      <c r="W574" s="7" t="str">
        <f t="shared" si="133"/>
        <v>Standard Class</v>
      </c>
      <c r="X574" s="6">
        <v>3</v>
      </c>
      <c r="Y574" s="6">
        <v>739.56</v>
      </c>
      <c r="Z574" s="6">
        <v>0.2</v>
      </c>
      <c r="AA574" s="6">
        <f t="shared" si="135"/>
        <v>0.2</v>
      </c>
      <c r="AB574" s="6" t="str">
        <f t="shared" si="136"/>
        <v>Valid</v>
      </c>
      <c r="AC574" s="6">
        <v>1774.94</v>
      </c>
      <c r="AD574" s="6" t="str">
        <f>IF(OR(AO574="Cancelled",AM574="Failed"),"Exclude from Completed Sales","Include in Completed Sales")</f>
        <v>Include in Completed Sales</v>
      </c>
      <c r="AE574" s="6">
        <f t="shared" si="137"/>
        <v>1774.944</v>
      </c>
      <c r="AF574" s="6" t="str">
        <f t="shared" si="138"/>
        <v/>
      </c>
      <c r="AG574" s="6">
        <v>1007.4</v>
      </c>
      <c r="AH574" s="6">
        <v>767.54</v>
      </c>
      <c r="AI574" s="6">
        <f t="shared" si="139"/>
        <v>767.54399999999998</v>
      </c>
      <c r="AJ574" s="11">
        <f t="shared" si="140"/>
        <v>0.43243279787982042</v>
      </c>
      <c r="AK574" s="11" t="str">
        <f t="shared" si="141"/>
        <v>January</v>
      </c>
      <c r="AL574" s="12">
        <f t="shared" si="142"/>
        <v>2024</v>
      </c>
      <c r="AM574" s="6" t="s">
        <v>54</v>
      </c>
      <c r="AN574" s="6" t="s">
        <v>55</v>
      </c>
      <c r="AO574" s="6" t="str">
        <f t="shared" si="134"/>
        <v>Completed</v>
      </c>
    </row>
    <row r="575" spans="1:41">
      <c r="A575" s="6" t="s">
        <v>2768</v>
      </c>
      <c r="B575" s="7" t="s">
        <v>2769</v>
      </c>
      <c r="C575" s="8">
        <v>45922</v>
      </c>
      <c r="D575" s="7" t="s">
        <v>2770</v>
      </c>
      <c r="E575" s="9">
        <v>45926</v>
      </c>
      <c r="F575" s="9" t="str">
        <f t="shared" si="127"/>
        <v>Valid</v>
      </c>
      <c r="G575" s="10">
        <f t="shared" si="128"/>
        <v>4</v>
      </c>
      <c r="H575" s="10" t="str">
        <f t="shared" si="129"/>
        <v>Valid</v>
      </c>
      <c r="I575" s="6" t="s">
        <v>2771</v>
      </c>
      <c r="J575" s="6" t="s">
        <v>73</v>
      </c>
      <c r="K575" s="6" t="s">
        <v>73</v>
      </c>
      <c r="L575" s="6" t="s">
        <v>46</v>
      </c>
      <c r="M575" s="7" t="str">
        <f t="shared" si="130"/>
        <v>Consumer</v>
      </c>
      <c r="N575" s="6" t="s">
        <v>82</v>
      </c>
      <c r="O575" s="7" t="str">
        <f t="shared" si="131"/>
        <v>South</v>
      </c>
      <c r="P575" s="6" t="s">
        <v>120</v>
      </c>
      <c r="Q575" s="6" t="s">
        <v>121</v>
      </c>
      <c r="R575" s="6" t="s">
        <v>106</v>
      </c>
      <c r="S575" s="7" t="str">
        <f t="shared" si="132"/>
        <v>Technology</v>
      </c>
      <c r="T575" s="6" t="s">
        <v>243</v>
      </c>
      <c r="U575" s="6" t="s">
        <v>2772</v>
      </c>
      <c r="V575" s="6" t="s">
        <v>87</v>
      </c>
      <c r="W575" s="7" t="str">
        <f t="shared" si="133"/>
        <v>Standard Class</v>
      </c>
      <c r="X575" s="6">
        <v>1</v>
      </c>
      <c r="Y575" s="6">
        <v>573.65</v>
      </c>
      <c r="Z575" s="6">
        <v>0</v>
      </c>
      <c r="AA575" s="6">
        <f t="shared" si="135"/>
        <v>0</v>
      </c>
      <c r="AB575" s="6" t="str">
        <f t="shared" si="136"/>
        <v>Valid</v>
      </c>
      <c r="AC575" s="6">
        <v>573.65</v>
      </c>
      <c r="AD575" s="6" t="str">
        <f>IF(OR(AO575="Cancelled",AM575="Failed"),"Exclude from Completed Sales","Include in Completed Sales")</f>
        <v>Include in Completed Sales</v>
      </c>
      <c r="AE575" s="6">
        <f t="shared" si="137"/>
        <v>573.65</v>
      </c>
      <c r="AF575" s="6" t="str">
        <f t="shared" si="138"/>
        <v/>
      </c>
      <c r="AG575" s="6">
        <v>322.67</v>
      </c>
      <c r="AH575" s="6">
        <v>250.98</v>
      </c>
      <c r="AI575" s="6">
        <f t="shared" si="139"/>
        <v>250.97999999999996</v>
      </c>
      <c r="AJ575" s="11">
        <f t="shared" si="140"/>
        <v>0.43751416368866031</v>
      </c>
      <c r="AK575" s="11" t="str">
        <f t="shared" si="141"/>
        <v>September</v>
      </c>
      <c r="AL575" s="12">
        <f t="shared" si="142"/>
        <v>2025</v>
      </c>
      <c r="AM575" s="6" t="s">
        <v>54</v>
      </c>
      <c r="AN575" s="6" t="s">
        <v>55</v>
      </c>
      <c r="AO575" s="6" t="str">
        <f t="shared" si="134"/>
        <v>Completed</v>
      </c>
    </row>
    <row r="576" spans="1:41">
      <c r="A576" s="6" t="s">
        <v>2773</v>
      </c>
      <c r="B576" s="7" t="s">
        <v>2774</v>
      </c>
      <c r="C576" s="8">
        <v>45342</v>
      </c>
      <c r="D576" s="7" t="s">
        <v>1665</v>
      </c>
      <c r="E576" s="9">
        <v>45347</v>
      </c>
      <c r="F576" s="9" t="str">
        <f t="shared" si="127"/>
        <v>Valid</v>
      </c>
      <c r="G576" s="10">
        <f t="shared" si="128"/>
        <v>5</v>
      </c>
      <c r="H576" s="10" t="str">
        <f t="shared" si="129"/>
        <v>Valid</v>
      </c>
      <c r="I576" s="6" t="s">
        <v>1246</v>
      </c>
      <c r="J576" s="6" t="s">
        <v>230</v>
      </c>
      <c r="K576" s="6" t="s">
        <v>230</v>
      </c>
      <c r="L576" s="6" t="s">
        <v>135</v>
      </c>
      <c r="M576" s="7" t="str">
        <f t="shared" si="130"/>
        <v>Home Office</v>
      </c>
      <c r="N576" s="6" t="s">
        <v>47</v>
      </c>
      <c r="O576" s="7" t="str">
        <f t="shared" si="131"/>
        <v>North</v>
      </c>
      <c r="P576" s="6" t="s">
        <v>174</v>
      </c>
      <c r="Q576" s="6" t="s">
        <v>175</v>
      </c>
      <c r="R576" s="6" t="s">
        <v>106</v>
      </c>
      <c r="S576" s="7" t="str">
        <f t="shared" si="132"/>
        <v>Technology</v>
      </c>
      <c r="T576" s="6" t="s">
        <v>402</v>
      </c>
      <c r="U576" s="6" t="s">
        <v>2775</v>
      </c>
      <c r="V576" s="6" t="s">
        <v>87</v>
      </c>
      <c r="W576" s="7" t="str">
        <f t="shared" si="133"/>
        <v>Standard Class</v>
      </c>
      <c r="X576" s="6">
        <v>4</v>
      </c>
      <c r="Y576" s="6">
        <v>1355.8</v>
      </c>
      <c r="Z576" s="6">
        <v>0</v>
      </c>
      <c r="AA576" s="6">
        <f t="shared" si="135"/>
        <v>0</v>
      </c>
      <c r="AB576" s="6" t="str">
        <f t="shared" si="136"/>
        <v>Valid</v>
      </c>
      <c r="AC576" s="6">
        <v>5423.2</v>
      </c>
      <c r="AD576" s="6" t="str">
        <f>IF(OR(AO576="Cancelled",AM576="Failed"),"Exclude from Completed Sales","Include in Completed Sales")</f>
        <v>Include in Completed Sales</v>
      </c>
      <c r="AE576" s="6">
        <f t="shared" si="137"/>
        <v>5423.2</v>
      </c>
      <c r="AF576" s="6" t="str">
        <f t="shared" si="138"/>
        <v/>
      </c>
      <c r="AG576" s="6">
        <v>4072.44</v>
      </c>
      <c r="AH576" s="6">
        <v>1350.76</v>
      </c>
      <c r="AI576" s="6">
        <f t="shared" si="139"/>
        <v>1350.7599999999998</v>
      </c>
      <c r="AJ576" s="11">
        <f t="shared" si="140"/>
        <v>0.24907065938929043</v>
      </c>
      <c r="AK576" s="11" t="str">
        <f t="shared" si="141"/>
        <v>February</v>
      </c>
      <c r="AL576" s="12">
        <f t="shared" si="142"/>
        <v>2024</v>
      </c>
      <c r="AM576" s="6" t="s">
        <v>54</v>
      </c>
      <c r="AN576" s="6" t="s">
        <v>55</v>
      </c>
      <c r="AO576" s="6" t="str">
        <f t="shared" si="134"/>
        <v>Completed</v>
      </c>
    </row>
    <row r="577" spans="1:41">
      <c r="A577" s="6" t="s">
        <v>2776</v>
      </c>
      <c r="B577" s="7" t="s">
        <v>2777</v>
      </c>
      <c r="C577" s="8">
        <v>45727</v>
      </c>
      <c r="D577" s="7" t="s">
        <v>2778</v>
      </c>
      <c r="E577" s="9">
        <v>45730</v>
      </c>
      <c r="F577" s="9" t="str">
        <f t="shared" si="127"/>
        <v>Valid</v>
      </c>
      <c r="G577" s="10">
        <f t="shared" si="128"/>
        <v>3</v>
      </c>
      <c r="H577" s="10" t="str">
        <f t="shared" si="129"/>
        <v>Valid</v>
      </c>
      <c r="I577" s="6" t="s">
        <v>2779</v>
      </c>
      <c r="J577" s="6" t="s">
        <v>188</v>
      </c>
      <c r="K577" s="6" t="s">
        <v>188</v>
      </c>
      <c r="L577" s="6" t="s">
        <v>135</v>
      </c>
      <c r="M577" s="7" t="str">
        <f t="shared" si="130"/>
        <v>Home Office</v>
      </c>
      <c r="N577" s="6" t="s">
        <v>82</v>
      </c>
      <c r="O577" s="7" t="str">
        <f t="shared" si="131"/>
        <v>South</v>
      </c>
      <c r="P577" s="6" t="s">
        <v>262</v>
      </c>
      <c r="Q577" s="6" t="s">
        <v>263</v>
      </c>
      <c r="R577" s="6" t="s">
        <v>65</v>
      </c>
      <c r="S577" s="7" t="str">
        <f t="shared" si="132"/>
        <v>Furniture</v>
      </c>
      <c r="T577" s="6" t="s">
        <v>85</v>
      </c>
      <c r="U577" s="6" t="s">
        <v>2780</v>
      </c>
      <c r="V577" s="6" t="s">
        <v>68</v>
      </c>
      <c r="W577" s="7" t="str">
        <f t="shared" si="133"/>
        <v>Same Day</v>
      </c>
      <c r="X577" s="6">
        <v>4</v>
      </c>
      <c r="Y577" s="6">
        <v>1244.82</v>
      </c>
      <c r="Z577" s="6">
        <v>0.2</v>
      </c>
      <c r="AA577" s="6">
        <f t="shared" si="135"/>
        <v>0.2</v>
      </c>
      <c r="AB577" s="6" t="str">
        <f t="shared" si="136"/>
        <v>Valid</v>
      </c>
      <c r="AC577" s="6">
        <v>3983.42</v>
      </c>
      <c r="AD577" s="6" t="str">
        <f>IF(OR(AO577="Cancelled",AM577="Failed"),"Exclude from Completed Sales","Include in Completed Sales")</f>
        <v>Exclude from Completed Sales</v>
      </c>
      <c r="AE577" s="6">
        <f t="shared" si="137"/>
        <v>3983.424</v>
      </c>
      <c r="AF577" s="6" t="str">
        <f t="shared" si="138"/>
        <v/>
      </c>
      <c r="AG577" s="6">
        <v>3174.91</v>
      </c>
      <c r="AH577" s="6">
        <v>808.51</v>
      </c>
      <c r="AI577" s="6">
        <f t="shared" si="139"/>
        <v>808.51400000000012</v>
      </c>
      <c r="AJ577" s="11">
        <f t="shared" si="140"/>
        <v>0.2029696060474607</v>
      </c>
      <c r="AK577" s="11" t="str">
        <f t="shared" si="141"/>
        <v>March</v>
      </c>
      <c r="AL577" s="12">
        <f t="shared" si="142"/>
        <v>2025</v>
      </c>
      <c r="AM577" s="6" t="s">
        <v>220</v>
      </c>
      <c r="AN577" s="6" t="s">
        <v>145</v>
      </c>
      <c r="AO577" s="6" t="str">
        <f t="shared" si="134"/>
        <v>Returned</v>
      </c>
    </row>
    <row r="578" spans="1:41">
      <c r="A578" s="6" t="s">
        <v>2781</v>
      </c>
      <c r="B578" s="7" t="s">
        <v>2782</v>
      </c>
      <c r="C578" s="8">
        <v>45339</v>
      </c>
      <c r="D578" s="7" t="s">
        <v>2783</v>
      </c>
      <c r="E578" s="9">
        <v>45345</v>
      </c>
      <c r="F578" s="9" t="str">
        <f t="shared" ref="F578:F641" si="143">IF(E578&lt;C578,"Invalid Shipping Record","Valid")</f>
        <v>Valid</v>
      </c>
      <c r="G578" s="10">
        <f t="shared" ref="G578:G641" si="144">E578-C578</f>
        <v>6</v>
      </c>
      <c r="H578" s="10" t="str">
        <f t="shared" ref="H578:H641" si="145">IF(OR(C578="",E578=""),"Missing Date",IF(OR(NOT(ISNUMBER(C578)),NOT(ISNUMBER(E578))),"Invalid Date",IF(E578&lt;C578,"Invalid Shipping Record","Valid")))</f>
        <v>Valid</v>
      </c>
      <c r="I578" s="6" t="s">
        <v>2784</v>
      </c>
      <c r="J578" s="6" t="s">
        <v>200</v>
      </c>
      <c r="K578" s="6" t="s">
        <v>200</v>
      </c>
      <c r="L578" s="6" t="s">
        <v>135</v>
      </c>
      <c r="M578" s="7" t="str">
        <f t="shared" ref="M578:M641" si="146">PROPER(TRIM(L578))</f>
        <v>Home Office</v>
      </c>
      <c r="N578" s="6"/>
      <c r="O578" s="7" t="str">
        <f t="shared" ref="O578:O641" si="147">IF(TRIM(N578)="","Unknown",PROPER(TRIM(N578)))</f>
        <v>Unknown</v>
      </c>
      <c r="P578" s="6" t="s">
        <v>206</v>
      </c>
      <c r="Q578" s="6" t="s">
        <v>207</v>
      </c>
      <c r="R578" s="6" t="s">
        <v>50</v>
      </c>
      <c r="S578" s="7" t="str">
        <f t="shared" ref="S578:S641" si="148">PROPER(TRIM(R578))</f>
        <v>Office Supplies</v>
      </c>
      <c r="T578" s="6" t="s">
        <v>218</v>
      </c>
      <c r="U578" s="6" t="s">
        <v>2785</v>
      </c>
      <c r="V578" s="6" t="s">
        <v>87</v>
      </c>
      <c r="W578" s="7" t="str">
        <f t="shared" ref="W578:W641" si="149">IF(TRIM(V578)="","Unknown",PROPER(TRIM(V578)))</f>
        <v>Standard Class</v>
      </c>
      <c r="X578" s="6">
        <v>9</v>
      </c>
      <c r="Y578" s="6">
        <v>2614.46</v>
      </c>
      <c r="Z578" s="6">
        <v>0</v>
      </c>
      <c r="AA578" s="6">
        <f t="shared" si="135"/>
        <v>0</v>
      </c>
      <c r="AB578" s="6" t="str">
        <f t="shared" si="136"/>
        <v>Valid</v>
      </c>
      <c r="AC578" s="6">
        <v>23530.14</v>
      </c>
      <c r="AD578" s="6" t="str">
        <f>IF(OR(AO578="Cancelled",AM578="Failed"),"Exclude from Completed Sales","Include in Completed Sales")</f>
        <v>Include in Completed Sales</v>
      </c>
      <c r="AE578" s="6">
        <f t="shared" si="137"/>
        <v>23530.14</v>
      </c>
      <c r="AF578" s="6" t="str">
        <f t="shared" si="138"/>
        <v>Refunded</v>
      </c>
      <c r="AG578" s="6">
        <v>19537.79</v>
      </c>
      <c r="AH578" s="6">
        <v>3992.35</v>
      </c>
      <c r="AI578" s="6">
        <f t="shared" si="139"/>
        <v>3992.3499999999985</v>
      </c>
      <c r="AJ578" s="11">
        <f t="shared" si="140"/>
        <v>0.16966962372514566</v>
      </c>
      <c r="AK578" s="11" t="str">
        <f t="shared" si="141"/>
        <v>February</v>
      </c>
      <c r="AL578" s="12">
        <f t="shared" si="142"/>
        <v>2024</v>
      </c>
      <c r="AM578" s="6" t="s">
        <v>144</v>
      </c>
      <c r="AN578" s="6" t="s">
        <v>145</v>
      </c>
      <c r="AO578" s="6" t="str">
        <f t="shared" ref="AO578:AO641" si="150">PROPER(TRIM(AN578))</f>
        <v>Returned</v>
      </c>
    </row>
    <row r="579" spans="1:41">
      <c r="A579" s="6" t="s">
        <v>2786</v>
      </c>
      <c r="B579" s="7" t="s">
        <v>455</v>
      </c>
      <c r="C579" s="8">
        <v>45897</v>
      </c>
      <c r="D579" s="7" t="s">
        <v>2787</v>
      </c>
      <c r="E579" s="9">
        <v>45903</v>
      </c>
      <c r="F579" s="9" t="str">
        <f t="shared" si="143"/>
        <v>Valid</v>
      </c>
      <c r="G579" s="10">
        <f t="shared" si="144"/>
        <v>6</v>
      </c>
      <c r="H579" s="10" t="str">
        <f t="shared" si="145"/>
        <v>Valid</v>
      </c>
      <c r="I579" s="6" t="s">
        <v>2788</v>
      </c>
      <c r="J579" s="6" t="s">
        <v>162</v>
      </c>
      <c r="K579" s="6" t="s">
        <v>162</v>
      </c>
      <c r="L579" s="6" t="s">
        <v>128</v>
      </c>
      <c r="M579" s="7" t="str">
        <f t="shared" si="146"/>
        <v>Corporate</v>
      </c>
      <c r="N579" s="6" t="s">
        <v>93</v>
      </c>
      <c r="O579" s="7" t="str">
        <f t="shared" si="147"/>
        <v>West</v>
      </c>
      <c r="P579" s="6" t="s">
        <v>104</v>
      </c>
      <c r="Q579" s="6" t="s">
        <v>105</v>
      </c>
      <c r="R579" s="6" t="s">
        <v>65</v>
      </c>
      <c r="S579" s="7" t="str">
        <f t="shared" si="148"/>
        <v>Furniture</v>
      </c>
      <c r="T579" s="6" t="s">
        <v>85</v>
      </c>
      <c r="U579" s="6" t="s">
        <v>2789</v>
      </c>
      <c r="V579" s="6" t="s">
        <v>87</v>
      </c>
      <c r="W579" s="7" t="str">
        <f t="shared" si="149"/>
        <v>Standard Class</v>
      </c>
      <c r="X579" s="6">
        <v>7</v>
      </c>
      <c r="Y579" s="6">
        <v>268.45</v>
      </c>
      <c r="Z579" s="6">
        <v>0</v>
      </c>
      <c r="AA579" s="6">
        <f t="shared" ref="AA579:AA642" si="151">IF(Z579="",0,Z579)</f>
        <v>0</v>
      </c>
      <c r="AB579" s="6" t="str">
        <f t="shared" ref="AB579:AB642" si="152">IF(AA579&lt;0,"Invalid - Negative Discount",IF(AA579&gt;1,"Invalid - Discount Above Limit","Valid"))</f>
        <v>Valid</v>
      </c>
      <c r="AC579" s="6">
        <v>1879.15</v>
      </c>
      <c r="AD579" s="6" t="str">
        <f>IF(OR(AO579="Cancelled",AM579="Failed"),"Exclude from Completed Sales","Include in Completed Sales")</f>
        <v>Include in Completed Sales</v>
      </c>
      <c r="AE579" s="6">
        <f t="shared" ref="AE579:AE642" si="153">X579*Y579*(1-AA579)</f>
        <v>1879.1499999999999</v>
      </c>
      <c r="AF579" s="6" t="str">
        <f t="shared" ref="AF579:AF642" si="154">IF(TRIM(AM579)="Refunded","Refunded","")</f>
        <v/>
      </c>
      <c r="AG579" s="6">
        <v>1134.9000000000001</v>
      </c>
      <c r="AH579" s="6">
        <v>744.25</v>
      </c>
      <c r="AI579" s="6">
        <f t="shared" ref="AI579:AI642" si="155">AE579-AG579</f>
        <v>744.24999999999977</v>
      </c>
      <c r="AJ579" s="11">
        <f t="shared" ref="AJ579:AJ642" si="156">IF(AE579=0,0,AI579/AE579)</f>
        <v>0.39605672777585599</v>
      </c>
      <c r="AK579" s="11" t="str">
        <f t="shared" ref="AK579:AK642" si="157">TEXT(C579,"mmmm")</f>
        <v>August</v>
      </c>
      <c r="AL579" s="12">
        <f t="shared" ref="AL579:AL642" si="158">YEAR(C579)</f>
        <v>2025</v>
      </c>
      <c r="AM579" s="6" t="s">
        <v>54</v>
      </c>
      <c r="AN579" s="6" t="s">
        <v>55</v>
      </c>
      <c r="AO579" s="6" t="str">
        <f t="shared" si="150"/>
        <v>Completed</v>
      </c>
    </row>
    <row r="580" spans="1:41">
      <c r="A580" s="6" t="s">
        <v>2790</v>
      </c>
      <c r="B580" s="7" t="s">
        <v>2791</v>
      </c>
      <c r="C580" s="8">
        <v>45343</v>
      </c>
      <c r="D580" s="7" t="s">
        <v>2792</v>
      </c>
      <c r="E580" s="9">
        <v>45345</v>
      </c>
      <c r="F580" s="9" t="str">
        <f t="shared" si="143"/>
        <v>Valid</v>
      </c>
      <c r="G580" s="10">
        <f t="shared" si="144"/>
        <v>2</v>
      </c>
      <c r="H580" s="10" t="str">
        <f t="shared" si="145"/>
        <v>Valid</v>
      </c>
      <c r="I580" s="6" t="s">
        <v>437</v>
      </c>
      <c r="J580" s="6" t="s">
        <v>113</v>
      </c>
      <c r="K580" s="6" t="s">
        <v>113</v>
      </c>
      <c r="L580" s="6" t="s">
        <v>61</v>
      </c>
      <c r="M580" s="7" t="str">
        <f t="shared" si="146"/>
        <v>Small Business</v>
      </c>
      <c r="N580" s="6" t="s">
        <v>93</v>
      </c>
      <c r="O580" s="7" t="str">
        <f t="shared" si="147"/>
        <v>West</v>
      </c>
      <c r="P580" s="6" t="s">
        <v>255</v>
      </c>
      <c r="Q580" s="6" t="s">
        <v>256</v>
      </c>
      <c r="R580" s="6" t="s">
        <v>106</v>
      </c>
      <c r="S580" s="7" t="str">
        <f t="shared" si="148"/>
        <v>Technology</v>
      </c>
      <c r="T580" s="6" t="s">
        <v>114</v>
      </c>
      <c r="U580" s="6" t="s">
        <v>2793</v>
      </c>
      <c r="V580" s="6" t="s">
        <v>76</v>
      </c>
      <c r="W580" s="7" t="str">
        <f t="shared" si="149"/>
        <v>First Class</v>
      </c>
      <c r="X580" s="6">
        <v>6</v>
      </c>
      <c r="Y580" s="6">
        <v>2633.65</v>
      </c>
      <c r="Z580" s="6">
        <v>0.05</v>
      </c>
      <c r="AA580" s="6">
        <f t="shared" si="151"/>
        <v>0.05</v>
      </c>
      <c r="AB580" s="6" t="str">
        <f t="shared" si="152"/>
        <v>Valid</v>
      </c>
      <c r="AC580" s="6">
        <v>15011.81</v>
      </c>
      <c r="AD580" s="6" t="str">
        <f>IF(OR(AO580="Cancelled",AM580="Failed"),"Exclude from Completed Sales","Include in Completed Sales")</f>
        <v>Include in Completed Sales</v>
      </c>
      <c r="AE580" s="6">
        <f t="shared" si="153"/>
        <v>15011.805</v>
      </c>
      <c r="AF580" s="6" t="str">
        <f t="shared" si="154"/>
        <v/>
      </c>
      <c r="AG580" s="6">
        <v>9660.36</v>
      </c>
      <c r="AH580" s="6">
        <v>5351.45</v>
      </c>
      <c r="AI580" s="6">
        <f t="shared" si="155"/>
        <v>5351.4449999999997</v>
      </c>
      <c r="AJ580" s="11">
        <f t="shared" si="156"/>
        <v>0.35648244831317749</v>
      </c>
      <c r="AK580" s="11" t="str">
        <f t="shared" si="157"/>
        <v>February</v>
      </c>
      <c r="AL580" s="12">
        <f t="shared" si="158"/>
        <v>2024</v>
      </c>
      <c r="AM580" s="6" t="s">
        <v>54</v>
      </c>
      <c r="AN580" s="6" t="s">
        <v>55</v>
      </c>
      <c r="AO580" s="6" t="str">
        <f t="shared" si="150"/>
        <v>Completed</v>
      </c>
    </row>
    <row r="581" spans="1:41">
      <c r="A581" s="6" t="s">
        <v>2794</v>
      </c>
      <c r="B581" s="7" t="s">
        <v>2795</v>
      </c>
      <c r="C581" s="8">
        <v>45462</v>
      </c>
      <c r="D581" s="7" t="s">
        <v>2796</v>
      </c>
      <c r="E581" s="9">
        <v>45467</v>
      </c>
      <c r="F581" s="9" t="str">
        <f t="shared" si="143"/>
        <v>Valid</v>
      </c>
      <c r="G581" s="10">
        <f t="shared" si="144"/>
        <v>5</v>
      </c>
      <c r="H581" s="10" t="str">
        <f t="shared" si="145"/>
        <v>Valid</v>
      </c>
      <c r="I581" s="6" t="s">
        <v>2797</v>
      </c>
      <c r="J581" s="6" t="s">
        <v>182</v>
      </c>
      <c r="K581" s="6" t="s">
        <v>182</v>
      </c>
      <c r="L581" s="6" t="s">
        <v>61</v>
      </c>
      <c r="M581" s="7" t="str">
        <f t="shared" si="146"/>
        <v>Small Business</v>
      </c>
      <c r="N581" s="6" t="s">
        <v>82</v>
      </c>
      <c r="O581" s="7" t="str">
        <f t="shared" si="147"/>
        <v>South</v>
      </c>
      <c r="P581" s="6" t="s">
        <v>359</v>
      </c>
      <c r="Q581" s="6" t="s">
        <v>360</v>
      </c>
      <c r="R581" s="6" t="s">
        <v>50</v>
      </c>
      <c r="S581" s="7" t="str">
        <f t="shared" si="148"/>
        <v>Office Supplies</v>
      </c>
      <c r="T581" s="6" t="s">
        <v>176</v>
      </c>
      <c r="U581" s="6" t="s">
        <v>2798</v>
      </c>
      <c r="V581" s="6" t="s">
        <v>68</v>
      </c>
      <c r="W581" s="7" t="str">
        <f t="shared" si="149"/>
        <v>Same Day</v>
      </c>
      <c r="X581" s="6">
        <v>1</v>
      </c>
      <c r="Y581" s="6">
        <v>3202.41</v>
      </c>
      <c r="Z581" s="6">
        <v>0</v>
      </c>
      <c r="AA581" s="6">
        <f t="shared" si="151"/>
        <v>0</v>
      </c>
      <c r="AB581" s="6" t="str">
        <f t="shared" si="152"/>
        <v>Valid</v>
      </c>
      <c r="AC581" s="6">
        <v>3202.41</v>
      </c>
      <c r="AD581" s="6" t="str">
        <f>IF(OR(AO581="Cancelled",AM581="Failed"),"Exclude from Completed Sales","Include in Completed Sales")</f>
        <v>Include in Completed Sales</v>
      </c>
      <c r="AE581" s="6">
        <f t="shared" si="153"/>
        <v>3202.41</v>
      </c>
      <c r="AF581" s="6" t="str">
        <f t="shared" si="154"/>
        <v/>
      </c>
      <c r="AG581" s="6">
        <v>2608.44</v>
      </c>
      <c r="AH581" s="6">
        <v>593.97</v>
      </c>
      <c r="AI581" s="6">
        <f t="shared" si="155"/>
        <v>593.9699999999998</v>
      </c>
      <c r="AJ581" s="11">
        <f t="shared" si="156"/>
        <v>0.18547593843386695</v>
      </c>
      <c r="AK581" s="11" t="str">
        <f t="shared" si="157"/>
        <v>June</v>
      </c>
      <c r="AL581" s="12">
        <f t="shared" si="158"/>
        <v>2024</v>
      </c>
      <c r="AM581" s="6" t="s">
        <v>54</v>
      </c>
      <c r="AN581" s="6" t="s">
        <v>55</v>
      </c>
      <c r="AO581" s="6" t="str">
        <f t="shared" si="150"/>
        <v>Completed</v>
      </c>
    </row>
    <row r="582" spans="1:41">
      <c r="A582" s="6" t="s">
        <v>2799</v>
      </c>
      <c r="B582" s="7" t="s">
        <v>2800</v>
      </c>
      <c r="C582" s="8">
        <v>45722</v>
      </c>
      <c r="D582" s="7" t="s">
        <v>1479</v>
      </c>
      <c r="E582" s="9">
        <v>45729</v>
      </c>
      <c r="F582" s="9" t="str">
        <f t="shared" si="143"/>
        <v>Valid</v>
      </c>
      <c r="G582" s="10">
        <f t="shared" si="144"/>
        <v>7</v>
      </c>
      <c r="H582" s="10" t="str">
        <f t="shared" si="145"/>
        <v>Valid</v>
      </c>
      <c r="I582" s="6" t="s">
        <v>2801</v>
      </c>
      <c r="J582" s="6" t="s">
        <v>386</v>
      </c>
      <c r="K582" s="6" t="s">
        <v>386</v>
      </c>
      <c r="L582" s="6" t="s">
        <v>46</v>
      </c>
      <c r="M582" s="7" t="str">
        <f t="shared" si="146"/>
        <v>Consumer</v>
      </c>
      <c r="N582" s="6" t="s">
        <v>82</v>
      </c>
      <c r="O582" s="7" t="str">
        <f t="shared" si="147"/>
        <v>South</v>
      </c>
      <c r="P582" s="6" t="s">
        <v>262</v>
      </c>
      <c r="Q582" s="6" t="s">
        <v>263</v>
      </c>
      <c r="R582" s="6" t="s">
        <v>65</v>
      </c>
      <c r="S582" s="7" t="str">
        <f t="shared" si="148"/>
        <v>Furniture</v>
      </c>
      <c r="T582" s="6" t="s">
        <v>96</v>
      </c>
      <c r="U582" s="6" t="s">
        <v>2802</v>
      </c>
      <c r="V582" s="6" t="s">
        <v>87</v>
      </c>
      <c r="W582" s="7" t="str">
        <f t="shared" si="149"/>
        <v>Standard Class</v>
      </c>
      <c r="X582" s="6">
        <v>3</v>
      </c>
      <c r="Y582" s="6">
        <v>163.72</v>
      </c>
      <c r="Z582" s="6">
        <v>0.15</v>
      </c>
      <c r="AA582" s="6">
        <f t="shared" si="151"/>
        <v>0.15</v>
      </c>
      <c r="AB582" s="6" t="str">
        <f t="shared" si="152"/>
        <v>Valid</v>
      </c>
      <c r="AC582" s="6">
        <v>417.49</v>
      </c>
      <c r="AD582" s="6" t="str">
        <f>IF(OR(AO582="Cancelled",AM582="Failed"),"Exclude from Completed Sales","Include in Completed Sales")</f>
        <v>Exclude from Completed Sales</v>
      </c>
      <c r="AE582" s="6">
        <f t="shared" si="153"/>
        <v>417.48599999999999</v>
      </c>
      <c r="AF582" s="6" t="str">
        <f t="shared" si="154"/>
        <v/>
      </c>
      <c r="AG582" s="6">
        <v>261.67</v>
      </c>
      <c r="AH582" s="6">
        <v>155.82</v>
      </c>
      <c r="AI582" s="6">
        <f t="shared" si="155"/>
        <v>155.81599999999997</v>
      </c>
      <c r="AJ582" s="11">
        <f t="shared" si="156"/>
        <v>0.37322449136018926</v>
      </c>
      <c r="AK582" s="11" t="str">
        <f t="shared" si="157"/>
        <v>March</v>
      </c>
      <c r="AL582" s="12">
        <f t="shared" si="158"/>
        <v>2025</v>
      </c>
      <c r="AM582" s="6" t="s">
        <v>220</v>
      </c>
      <c r="AN582" s="6" t="s">
        <v>145</v>
      </c>
      <c r="AO582" s="6" t="str">
        <f t="shared" si="150"/>
        <v>Returned</v>
      </c>
    </row>
    <row r="583" spans="1:41">
      <c r="A583" s="6" t="s">
        <v>2803</v>
      </c>
      <c r="B583" s="7" t="s">
        <v>1363</v>
      </c>
      <c r="C583" s="8">
        <v>45878</v>
      </c>
      <c r="D583" s="7" t="s">
        <v>2804</v>
      </c>
      <c r="E583" s="9">
        <v>45879</v>
      </c>
      <c r="F583" s="9" t="str">
        <f t="shared" si="143"/>
        <v>Valid</v>
      </c>
      <c r="G583" s="10">
        <f t="shared" si="144"/>
        <v>1</v>
      </c>
      <c r="H583" s="10" t="str">
        <f t="shared" si="145"/>
        <v>Valid</v>
      </c>
      <c r="I583" s="6" t="s">
        <v>2805</v>
      </c>
      <c r="J583" s="6" t="s">
        <v>113</v>
      </c>
      <c r="K583" s="6" t="s">
        <v>113</v>
      </c>
      <c r="L583" s="6" t="s">
        <v>46</v>
      </c>
      <c r="M583" s="7" t="str">
        <f t="shared" si="146"/>
        <v>Consumer</v>
      </c>
      <c r="N583" s="6" t="s">
        <v>47</v>
      </c>
      <c r="O583" s="7" t="str">
        <f t="shared" si="147"/>
        <v>North</v>
      </c>
      <c r="P583" s="6" t="s">
        <v>526</v>
      </c>
      <c r="Q583" s="6" t="s">
        <v>527</v>
      </c>
      <c r="R583" s="6" t="s">
        <v>50</v>
      </c>
      <c r="S583" s="7" t="str">
        <f t="shared" si="148"/>
        <v>Office Supplies</v>
      </c>
      <c r="T583" s="6" t="s">
        <v>74</v>
      </c>
      <c r="U583" s="6" t="s">
        <v>2806</v>
      </c>
      <c r="V583" s="6" t="s">
        <v>53</v>
      </c>
      <c r="W583" s="7" t="str">
        <f t="shared" si="149"/>
        <v>Second Class</v>
      </c>
      <c r="X583" s="6">
        <v>4</v>
      </c>
      <c r="Y583" s="6">
        <v>4080.95</v>
      </c>
      <c r="Z583" s="6">
        <v>0</v>
      </c>
      <c r="AA583" s="6">
        <f t="shared" si="151"/>
        <v>0</v>
      </c>
      <c r="AB583" s="6" t="str">
        <f t="shared" si="152"/>
        <v>Valid</v>
      </c>
      <c r="AC583" s="6">
        <v>16323.8</v>
      </c>
      <c r="AD583" s="6" t="str">
        <f>IF(OR(AO583="Cancelled",AM583="Failed"),"Exclude from Completed Sales","Include in Completed Sales")</f>
        <v>Include in Completed Sales</v>
      </c>
      <c r="AE583" s="6">
        <f t="shared" si="153"/>
        <v>16323.8</v>
      </c>
      <c r="AF583" s="6" t="str">
        <f t="shared" si="154"/>
        <v>Refunded</v>
      </c>
      <c r="AG583" s="6">
        <v>9965.7900000000009</v>
      </c>
      <c r="AH583" s="6">
        <v>6358.01</v>
      </c>
      <c r="AI583" s="6">
        <f t="shared" si="155"/>
        <v>6358.0099999999984</v>
      </c>
      <c r="AJ583" s="11">
        <f t="shared" si="156"/>
        <v>0.38949325524693995</v>
      </c>
      <c r="AK583" s="11" t="str">
        <f t="shared" si="157"/>
        <v>August</v>
      </c>
      <c r="AL583" s="12">
        <f t="shared" si="158"/>
        <v>2025</v>
      </c>
      <c r="AM583" s="6" t="s">
        <v>144</v>
      </c>
      <c r="AN583" s="6" t="s">
        <v>145</v>
      </c>
      <c r="AO583" s="6" t="str">
        <f t="shared" si="150"/>
        <v>Returned</v>
      </c>
    </row>
    <row r="584" spans="1:41">
      <c r="A584" s="6" t="s">
        <v>2807</v>
      </c>
      <c r="B584" s="7" t="s">
        <v>2808</v>
      </c>
      <c r="C584" s="8">
        <v>45580</v>
      </c>
      <c r="D584" s="7" t="s">
        <v>2809</v>
      </c>
      <c r="E584" s="9">
        <v>45585</v>
      </c>
      <c r="F584" s="9" t="str">
        <f t="shared" si="143"/>
        <v>Valid</v>
      </c>
      <c r="G584" s="10">
        <f t="shared" si="144"/>
        <v>5</v>
      </c>
      <c r="H584" s="10" t="str">
        <f t="shared" si="145"/>
        <v>Valid</v>
      </c>
      <c r="I584" s="6" t="s">
        <v>2810</v>
      </c>
      <c r="J584" s="6" t="s">
        <v>92</v>
      </c>
      <c r="K584" s="6" t="s">
        <v>92</v>
      </c>
      <c r="L584" s="6" t="s">
        <v>46</v>
      </c>
      <c r="M584" s="7" t="str">
        <f t="shared" si="146"/>
        <v>Consumer</v>
      </c>
      <c r="N584" s="6" t="s">
        <v>62</v>
      </c>
      <c r="O584" s="7" t="str">
        <f t="shared" si="147"/>
        <v>East</v>
      </c>
      <c r="P584" s="6" t="s">
        <v>63</v>
      </c>
      <c r="Q584" s="6" t="s">
        <v>64</v>
      </c>
      <c r="R584" s="6" t="s">
        <v>50</v>
      </c>
      <c r="S584" s="7" t="str">
        <f t="shared" si="148"/>
        <v>Office Supplies</v>
      </c>
      <c r="T584" s="6" t="s">
        <v>74</v>
      </c>
      <c r="U584" s="6" t="s">
        <v>2811</v>
      </c>
      <c r="V584" s="6" t="s">
        <v>76</v>
      </c>
      <c r="W584" s="7" t="str">
        <f t="shared" si="149"/>
        <v>First Class</v>
      </c>
      <c r="X584" s="6">
        <v>5</v>
      </c>
      <c r="Y584" s="6">
        <v>671.24</v>
      </c>
      <c r="Z584" s="6">
        <v>0</v>
      </c>
      <c r="AA584" s="6">
        <f t="shared" si="151"/>
        <v>0</v>
      </c>
      <c r="AB584" s="6" t="str">
        <f t="shared" si="152"/>
        <v>Valid</v>
      </c>
      <c r="AC584" s="6">
        <v>3356.2</v>
      </c>
      <c r="AD584" s="6" t="str">
        <f>IF(OR(AO584="Cancelled",AM584="Failed"),"Exclude from Completed Sales","Include in Completed Sales")</f>
        <v>Include in Completed Sales</v>
      </c>
      <c r="AE584" s="6">
        <f t="shared" si="153"/>
        <v>3356.2</v>
      </c>
      <c r="AF584" s="6" t="str">
        <f t="shared" si="154"/>
        <v/>
      </c>
      <c r="AG584" s="6">
        <v>2205.7199999999998</v>
      </c>
      <c r="AH584" s="6">
        <v>1150.48</v>
      </c>
      <c r="AI584" s="6">
        <f t="shared" si="155"/>
        <v>1150.48</v>
      </c>
      <c r="AJ584" s="11">
        <f t="shared" si="156"/>
        <v>0.34279244383528995</v>
      </c>
      <c r="AK584" s="11" t="str">
        <f t="shared" si="157"/>
        <v>October</v>
      </c>
      <c r="AL584" s="12">
        <f t="shared" si="158"/>
        <v>2024</v>
      </c>
      <c r="AM584" s="6" t="s">
        <v>157</v>
      </c>
      <c r="AN584" s="6" t="s">
        <v>145</v>
      </c>
      <c r="AO584" s="6" t="str">
        <f t="shared" si="150"/>
        <v>Returned</v>
      </c>
    </row>
    <row r="585" spans="1:41">
      <c r="A585" s="6" t="s">
        <v>2812</v>
      </c>
      <c r="B585" s="7" t="s">
        <v>646</v>
      </c>
      <c r="C585" s="8">
        <v>45350</v>
      </c>
      <c r="D585" s="7" t="s">
        <v>2813</v>
      </c>
      <c r="E585" s="9">
        <v>45350</v>
      </c>
      <c r="F585" s="9" t="str">
        <f t="shared" si="143"/>
        <v>Valid</v>
      </c>
      <c r="G585" s="10">
        <f t="shared" si="144"/>
        <v>0</v>
      </c>
      <c r="H585" s="10" t="str">
        <f t="shared" si="145"/>
        <v>Valid</v>
      </c>
      <c r="I585" s="6" t="s">
        <v>2814</v>
      </c>
      <c r="J585" s="6" t="s">
        <v>200</v>
      </c>
      <c r="K585" s="6" t="s">
        <v>200</v>
      </c>
      <c r="L585" s="6" t="s">
        <v>61</v>
      </c>
      <c r="M585" s="7" t="str">
        <f t="shared" si="146"/>
        <v>Small Business</v>
      </c>
      <c r="N585" s="6" t="s">
        <v>62</v>
      </c>
      <c r="O585" s="7" t="str">
        <f t="shared" si="147"/>
        <v>East</v>
      </c>
      <c r="P585" s="6" t="s">
        <v>141</v>
      </c>
      <c r="Q585" s="6" t="s">
        <v>142</v>
      </c>
      <c r="R585" s="6" t="s">
        <v>50</v>
      </c>
      <c r="S585" s="7" t="str">
        <f t="shared" si="148"/>
        <v>Office Supplies</v>
      </c>
      <c r="T585" s="6" t="s">
        <v>176</v>
      </c>
      <c r="U585" s="6" t="s">
        <v>2815</v>
      </c>
      <c r="V585" s="6" t="s">
        <v>76</v>
      </c>
      <c r="W585" s="7" t="str">
        <f t="shared" si="149"/>
        <v>First Class</v>
      </c>
      <c r="X585" s="6">
        <v>1</v>
      </c>
      <c r="Y585" s="6">
        <v>2626.84</v>
      </c>
      <c r="Z585" s="6">
        <v>0.2</v>
      </c>
      <c r="AA585" s="6">
        <f t="shared" si="151"/>
        <v>0.2</v>
      </c>
      <c r="AB585" s="6" t="str">
        <f t="shared" si="152"/>
        <v>Valid</v>
      </c>
      <c r="AC585" s="6">
        <v>2101.4699999999998</v>
      </c>
      <c r="AD585" s="6" t="str">
        <f>IF(OR(AO585="Cancelled",AM585="Failed"),"Exclude from Completed Sales","Include in Completed Sales")</f>
        <v>Exclude from Completed Sales</v>
      </c>
      <c r="AE585" s="6">
        <f t="shared" si="153"/>
        <v>2101.4720000000002</v>
      </c>
      <c r="AF585" s="6" t="str">
        <f t="shared" si="154"/>
        <v/>
      </c>
      <c r="AG585" s="6">
        <v>1217.83</v>
      </c>
      <c r="AH585" s="6">
        <v>883.64</v>
      </c>
      <c r="AI585" s="6">
        <f t="shared" si="155"/>
        <v>883.64200000000028</v>
      </c>
      <c r="AJ585" s="11">
        <f t="shared" si="156"/>
        <v>0.42048716328364127</v>
      </c>
      <c r="AK585" s="11" t="str">
        <f t="shared" si="157"/>
        <v>February</v>
      </c>
      <c r="AL585" s="12">
        <f t="shared" si="158"/>
        <v>2024</v>
      </c>
      <c r="AM585" s="6" t="s">
        <v>220</v>
      </c>
      <c r="AN585" s="6" t="s">
        <v>145</v>
      </c>
      <c r="AO585" s="6" t="str">
        <f t="shared" si="150"/>
        <v>Returned</v>
      </c>
    </row>
    <row r="586" spans="1:41">
      <c r="A586" s="6" t="s">
        <v>2816</v>
      </c>
      <c r="B586" s="7" t="s">
        <v>2817</v>
      </c>
      <c r="C586" s="8">
        <v>45508</v>
      </c>
      <c r="D586" s="7" t="s">
        <v>2818</v>
      </c>
      <c r="E586" s="9">
        <v>45514</v>
      </c>
      <c r="F586" s="9" t="str">
        <f t="shared" si="143"/>
        <v>Valid</v>
      </c>
      <c r="G586" s="10">
        <f t="shared" si="144"/>
        <v>6</v>
      </c>
      <c r="H586" s="10" t="str">
        <f t="shared" si="145"/>
        <v>Valid</v>
      </c>
      <c r="I586" s="6" t="s">
        <v>2819</v>
      </c>
      <c r="J586" s="6" t="s">
        <v>103</v>
      </c>
      <c r="K586" s="6" t="s">
        <v>103</v>
      </c>
      <c r="L586" s="6" t="s">
        <v>46</v>
      </c>
      <c r="M586" s="7" t="str">
        <f t="shared" si="146"/>
        <v>Consumer</v>
      </c>
      <c r="N586" s="6" t="s">
        <v>62</v>
      </c>
      <c r="O586" s="7" t="str">
        <f t="shared" si="147"/>
        <v>East</v>
      </c>
      <c r="P586" s="6" t="s">
        <v>206</v>
      </c>
      <c r="Q586" s="6" t="s">
        <v>207</v>
      </c>
      <c r="R586" s="6" t="s">
        <v>50</v>
      </c>
      <c r="S586" s="7" t="str">
        <f t="shared" si="148"/>
        <v>Office Supplies</v>
      </c>
      <c r="T586" s="6" t="s">
        <v>74</v>
      </c>
      <c r="U586" s="6" t="s">
        <v>2820</v>
      </c>
      <c r="V586" s="6" t="s">
        <v>68</v>
      </c>
      <c r="W586" s="7" t="str">
        <f t="shared" si="149"/>
        <v>Same Day</v>
      </c>
      <c r="X586" s="6">
        <v>1</v>
      </c>
      <c r="Y586" s="6">
        <v>984.93</v>
      </c>
      <c r="Z586" s="6">
        <v>0.15</v>
      </c>
      <c r="AA586" s="6">
        <f t="shared" si="151"/>
        <v>0.15</v>
      </c>
      <c r="AB586" s="6" t="str">
        <f t="shared" si="152"/>
        <v>Valid</v>
      </c>
      <c r="AC586" s="6">
        <v>837.19</v>
      </c>
      <c r="AD586" s="6" t="str">
        <f>IF(OR(AO586="Cancelled",AM586="Failed"),"Exclude from Completed Sales","Include in Completed Sales")</f>
        <v>Include in Completed Sales</v>
      </c>
      <c r="AE586" s="6">
        <f t="shared" si="153"/>
        <v>837.19049999999993</v>
      </c>
      <c r="AF586" s="6" t="str">
        <f t="shared" si="154"/>
        <v/>
      </c>
      <c r="AG586" s="6">
        <v>583.79</v>
      </c>
      <c r="AH586" s="6">
        <v>253.4</v>
      </c>
      <c r="AI586" s="6">
        <f t="shared" si="155"/>
        <v>253.40049999999997</v>
      </c>
      <c r="AJ586" s="11">
        <f t="shared" si="156"/>
        <v>0.30267961712417901</v>
      </c>
      <c r="AK586" s="11" t="str">
        <f t="shared" si="157"/>
        <v>August</v>
      </c>
      <c r="AL586" s="12">
        <f t="shared" si="158"/>
        <v>2024</v>
      </c>
      <c r="AM586" s="6" t="s">
        <v>157</v>
      </c>
      <c r="AN586" s="6" t="s">
        <v>145</v>
      </c>
      <c r="AO586" s="6" t="str">
        <f t="shared" si="150"/>
        <v>Returned</v>
      </c>
    </row>
    <row r="587" spans="1:41">
      <c r="A587" s="6" t="s">
        <v>2821</v>
      </c>
      <c r="B587" s="7" t="s">
        <v>1708</v>
      </c>
      <c r="C587" s="8">
        <v>45830</v>
      </c>
      <c r="D587" s="7" t="s">
        <v>2822</v>
      </c>
      <c r="E587" s="9">
        <v>45833</v>
      </c>
      <c r="F587" s="9" t="str">
        <f t="shared" si="143"/>
        <v>Valid</v>
      </c>
      <c r="G587" s="10">
        <f t="shared" si="144"/>
        <v>3</v>
      </c>
      <c r="H587" s="10" t="str">
        <f t="shared" si="145"/>
        <v>Valid</v>
      </c>
      <c r="I587" s="6" t="s">
        <v>2823</v>
      </c>
      <c r="J587" s="6" t="s">
        <v>230</v>
      </c>
      <c r="K587" s="6" t="s">
        <v>230</v>
      </c>
      <c r="L587" s="6" t="s">
        <v>61</v>
      </c>
      <c r="M587" s="7" t="str">
        <f t="shared" si="146"/>
        <v>Small Business</v>
      </c>
      <c r="N587" s="6" t="s">
        <v>1070</v>
      </c>
      <c r="O587" s="7" t="str">
        <f t="shared" si="147"/>
        <v>West</v>
      </c>
      <c r="P587" s="6" t="s">
        <v>94</v>
      </c>
      <c r="Q587" s="6" t="s">
        <v>95</v>
      </c>
      <c r="R587" s="6" t="s">
        <v>106</v>
      </c>
      <c r="S587" s="7" t="str">
        <f t="shared" si="148"/>
        <v>Technology</v>
      </c>
      <c r="T587" s="6" t="s">
        <v>243</v>
      </c>
      <c r="U587" s="6" t="s">
        <v>2824</v>
      </c>
      <c r="V587" s="6" t="s">
        <v>76</v>
      </c>
      <c r="W587" s="7" t="str">
        <f t="shared" si="149"/>
        <v>First Class</v>
      </c>
      <c r="X587" s="6">
        <v>8</v>
      </c>
      <c r="Y587" s="6">
        <v>3453.66</v>
      </c>
      <c r="Z587" s="6">
        <v>0</v>
      </c>
      <c r="AA587" s="6">
        <f t="shared" si="151"/>
        <v>0</v>
      </c>
      <c r="AB587" s="6" t="str">
        <f t="shared" si="152"/>
        <v>Valid</v>
      </c>
      <c r="AC587" s="6">
        <v>27629.279999999999</v>
      </c>
      <c r="AD587" s="6" t="str">
        <f>IF(OR(AO587="Cancelled",AM587="Failed"),"Exclude from Completed Sales","Include in Completed Sales")</f>
        <v>Include in Completed Sales</v>
      </c>
      <c r="AE587" s="6">
        <f t="shared" si="153"/>
        <v>27629.279999999999</v>
      </c>
      <c r="AF587" s="6" t="str">
        <f t="shared" si="154"/>
        <v/>
      </c>
      <c r="AG587" s="6">
        <v>22026.48</v>
      </c>
      <c r="AH587" s="6">
        <v>5602.8</v>
      </c>
      <c r="AI587" s="6">
        <f t="shared" si="155"/>
        <v>5602.7999999999993</v>
      </c>
      <c r="AJ587" s="11">
        <f t="shared" si="156"/>
        <v>0.20278487170132553</v>
      </c>
      <c r="AK587" s="11" t="str">
        <f t="shared" si="157"/>
        <v>June</v>
      </c>
      <c r="AL587" s="12">
        <f t="shared" si="158"/>
        <v>2025</v>
      </c>
      <c r="AM587" s="6" t="s">
        <v>54</v>
      </c>
      <c r="AN587" s="6" t="s">
        <v>55</v>
      </c>
      <c r="AO587" s="6" t="str">
        <f t="shared" si="150"/>
        <v>Completed</v>
      </c>
    </row>
    <row r="588" spans="1:41">
      <c r="A588" s="6" t="s">
        <v>2825</v>
      </c>
      <c r="B588" s="7" t="s">
        <v>2826</v>
      </c>
      <c r="C588" s="8">
        <v>45759</v>
      </c>
      <c r="D588" s="7" t="s">
        <v>2827</v>
      </c>
      <c r="E588" s="9">
        <v>45759</v>
      </c>
      <c r="F588" s="9" t="str">
        <f t="shared" si="143"/>
        <v>Valid</v>
      </c>
      <c r="G588" s="10">
        <f t="shared" si="144"/>
        <v>0</v>
      </c>
      <c r="H588" s="10" t="str">
        <f t="shared" si="145"/>
        <v>Valid</v>
      </c>
      <c r="I588" s="6" t="s">
        <v>2828</v>
      </c>
      <c r="J588" s="6" t="s">
        <v>60</v>
      </c>
      <c r="K588" s="6" t="s">
        <v>60</v>
      </c>
      <c r="L588" s="6" t="s">
        <v>135</v>
      </c>
      <c r="M588" s="7" t="str">
        <f t="shared" si="146"/>
        <v>Home Office</v>
      </c>
      <c r="N588" s="6" t="s">
        <v>47</v>
      </c>
      <c r="O588" s="7" t="str">
        <f t="shared" si="147"/>
        <v>North</v>
      </c>
      <c r="P588" s="6" t="s">
        <v>174</v>
      </c>
      <c r="Q588" s="6" t="s">
        <v>175</v>
      </c>
      <c r="R588" s="6" t="s">
        <v>50</v>
      </c>
      <c r="S588" s="7" t="str">
        <f t="shared" si="148"/>
        <v>Office Supplies</v>
      </c>
      <c r="T588" s="6" t="s">
        <v>218</v>
      </c>
      <c r="U588" s="6" t="s">
        <v>2829</v>
      </c>
      <c r="V588" s="6" t="s">
        <v>53</v>
      </c>
      <c r="W588" s="7" t="str">
        <f t="shared" si="149"/>
        <v>Second Class</v>
      </c>
      <c r="X588" s="6">
        <v>7</v>
      </c>
      <c r="Y588" s="6">
        <v>1334.2</v>
      </c>
      <c r="Z588" s="6">
        <v>0.2</v>
      </c>
      <c r="AA588" s="6">
        <f t="shared" si="151"/>
        <v>0.2</v>
      </c>
      <c r="AB588" s="6" t="str">
        <f t="shared" si="152"/>
        <v>Valid</v>
      </c>
      <c r="AC588" s="6">
        <v>7471.52</v>
      </c>
      <c r="AD588" s="6" t="str">
        <f>IF(OR(AO588="Cancelled",AM588="Failed"),"Exclude from Completed Sales","Include in Completed Sales")</f>
        <v>Include in Completed Sales</v>
      </c>
      <c r="AE588" s="6">
        <f t="shared" si="153"/>
        <v>7471.52</v>
      </c>
      <c r="AF588" s="6" t="str">
        <f t="shared" si="154"/>
        <v/>
      </c>
      <c r="AG588" s="6">
        <v>6184.32</v>
      </c>
      <c r="AH588" s="6">
        <v>1287.2</v>
      </c>
      <c r="AI588" s="6">
        <f t="shared" si="155"/>
        <v>1287.2000000000007</v>
      </c>
      <c r="AJ588" s="11">
        <f t="shared" si="156"/>
        <v>0.17228087457438387</v>
      </c>
      <c r="AK588" s="11" t="str">
        <f t="shared" si="157"/>
        <v>April</v>
      </c>
      <c r="AL588" s="12">
        <f t="shared" si="158"/>
        <v>2025</v>
      </c>
      <c r="AM588" s="6" t="s">
        <v>54</v>
      </c>
      <c r="AN588" s="6" t="s">
        <v>55</v>
      </c>
      <c r="AO588" s="6" t="str">
        <f t="shared" si="150"/>
        <v>Completed</v>
      </c>
    </row>
    <row r="589" spans="1:41">
      <c r="A589" s="6" t="s">
        <v>2830</v>
      </c>
      <c r="B589" s="7" t="s">
        <v>2831</v>
      </c>
      <c r="C589" s="8">
        <v>45861</v>
      </c>
      <c r="D589" s="7" t="s">
        <v>2832</v>
      </c>
      <c r="E589" s="9">
        <v>45869</v>
      </c>
      <c r="F589" s="9" t="str">
        <f t="shared" si="143"/>
        <v>Valid</v>
      </c>
      <c r="G589" s="10">
        <f t="shared" si="144"/>
        <v>8</v>
      </c>
      <c r="H589" s="10" t="str">
        <f t="shared" si="145"/>
        <v>Valid</v>
      </c>
      <c r="I589" s="6" t="s">
        <v>2833</v>
      </c>
      <c r="J589" s="6" t="s">
        <v>386</v>
      </c>
      <c r="K589" s="6" t="s">
        <v>386</v>
      </c>
      <c r="L589" s="6" t="s">
        <v>135</v>
      </c>
      <c r="M589" s="7" t="str">
        <f t="shared" si="146"/>
        <v>Home Office</v>
      </c>
      <c r="N589" s="6" t="s">
        <v>93</v>
      </c>
      <c r="O589" s="7" t="str">
        <f t="shared" si="147"/>
        <v>West</v>
      </c>
      <c r="P589" s="6" t="s">
        <v>104</v>
      </c>
      <c r="Q589" s="6" t="s">
        <v>105</v>
      </c>
      <c r="R589" s="6" t="s">
        <v>106</v>
      </c>
      <c r="S589" s="7" t="str">
        <f t="shared" si="148"/>
        <v>Technology</v>
      </c>
      <c r="T589" s="6" t="s">
        <v>107</v>
      </c>
      <c r="U589" s="6" t="s">
        <v>2834</v>
      </c>
      <c r="V589" s="6" t="s">
        <v>76</v>
      </c>
      <c r="W589" s="7" t="str">
        <f t="shared" si="149"/>
        <v>First Class</v>
      </c>
      <c r="X589" s="6">
        <v>1</v>
      </c>
      <c r="Y589" s="6">
        <v>4253.84</v>
      </c>
      <c r="Z589" s="6">
        <v>0.15</v>
      </c>
      <c r="AA589" s="6">
        <f t="shared" si="151"/>
        <v>0.15</v>
      </c>
      <c r="AB589" s="6" t="str">
        <f t="shared" si="152"/>
        <v>Valid</v>
      </c>
      <c r="AC589" s="6">
        <v>3615.76</v>
      </c>
      <c r="AD589" s="6" t="str">
        <f>IF(OR(AO589="Cancelled",AM589="Failed"),"Exclude from Completed Sales","Include in Completed Sales")</f>
        <v>Exclude from Completed Sales</v>
      </c>
      <c r="AE589" s="6">
        <f t="shared" si="153"/>
        <v>3615.7640000000001</v>
      </c>
      <c r="AF589" s="6" t="str">
        <f t="shared" si="154"/>
        <v>Refunded</v>
      </c>
      <c r="AG589" s="6">
        <v>2951.52</v>
      </c>
      <c r="AH589" s="6">
        <v>664.24</v>
      </c>
      <c r="AI589" s="6">
        <f t="shared" si="155"/>
        <v>664.24400000000014</v>
      </c>
      <c r="AJ589" s="11">
        <f t="shared" si="156"/>
        <v>0.18370778623826114</v>
      </c>
      <c r="AK589" s="11" t="str">
        <f t="shared" si="157"/>
        <v>July</v>
      </c>
      <c r="AL589" s="12">
        <f t="shared" si="158"/>
        <v>2025</v>
      </c>
      <c r="AM589" s="6" t="s">
        <v>144</v>
      </c>
      <c r="AN589" s="6" t="s">
        <v>98</v>
      </c>
      <c r="AO589" s="6" t="str">
        <f t="shared" si="150"/>
        <v>Cancelled</v>
      </c>
    </row>
    <row r="590" spans="1:41">
      <c r="A590" s="6" t="s">
        <v>2835</v>
      </c>
      <c r="B590" s="7" t="s">
        <v>2836</v>
      </c>
      <c r="C590" s="8">
        <v>45727</v>
      </c>
      <c r="D590" s="7" t="s">
        <v>2837</v>
      </c>
      <c r="E590" s="9">
        <v>45731</v>
      </c>
      <c r="F590" s="9" t="str">
        <f t="shared" si="143"/>
        <v>Valid</v>
      </c>
      <c r="G590" s="10">
        <f t="shared" si="144"/>
        <v>4</v>
      </c>
      <c r="H590" s="10" t="str">
        <f t="shared" si="145"/>
        <v>Valid</v>
      </c>
      <c r="I590" s="6" t="s">
        <v>2838</v>
      </c>
      <c r="J590" s="6" t="s">
        <v>182</v>
      </c>
      <c r="K590" s="6" t="s">
        <v>182</v>
      </c>
      <c r="L590" s="6" t="s">
        <v>135</v>
      </c>
      <c r="M590" s="7" t="str">
        <f t="shared" si="146"/>
        <v>Home Office</v>
      </c>
      <c r="N590" s="6" t="s">
        <v>82</v>
      </c>
      <c r="O590" s="7" t="str">
        <f t="shared" si="147"/>
        <v>South</v>
      </c>
      <c r="P590" s="6" t="s">
        <v>249</v>
      </c>
      <c r="Q590" s="6" t="s">
        <v>250</v>
      </c>
      <c r="R590" s="6" t="s">
        <v>106</v>
      </c>
      <c r="S590" s="7" t="str">
        <f t="shared" si="148"/>
        <v>Technology</v>
      </c>
      <c r="T590" s="6" t="s">
        <v>107</v>
      </c>
      <c r="U590" s="6" t="s">
        <v>2839</v>
      </c>
      <c r="V590" s="6" t="s">
        <v>53</v>
      </c>
      <c r="W590" s="7" t="str">
        <f t="shared" si="149"/>
        <v>Second Class</v>
      </c>
      <c r="X590" s="6">
        <v>8</v>
      </c>
      <c r="Y590" s="6">
        <v>4446.3599999999997</v>
      </c>
      <c r="Z590" s="6">
        <v>0.1</v>
      </c>
      <c r="AA590" s="6">
        <f t="shared" si="151"/>
        <v>0.1</v>
      </c>
      <c r="AB590" s="6" t="str">
        <f t="shared" si="152"/>
        <v>Valid</v>
      </c>
      <c r="AC590" s="6">
        <v>32013.79</v>
      </c>
      <c r="AD590" s="6" t="str">
        <f>IF(OR(AO590="Cancelled",AM590="Failed"),"Exclude from Completed Sales","Include in Completed Sales")</f>
        <v>Exclude from Completed Sales</v>
      </c>
      <c r="AE590" s="6">
        <f t="shared" si="153"/>
        <v>32013.791999999998</v>
      </c>
      <c r="AF590" s="6" t="str">
        <f t="shared" si="154"/>
        <v>Refunded</v>
      </c>
      <c r="AG590" s="6">
        <v>20896.88</v>
      </c>
      <c r="AH590" s="6">
        <v>11116.91</v>
      </c>
      <c r="AI590" s="6">
        <f t="shared" si="155"/>
        <v>11116.911999999997</v>
      </c>
      <c r="AJ590" s="11">
        <f t="shared" si="156"/>
        <v>0.34725383359771933</v>
      </c>
      <c r="AK590" s="11" t="str">
        <f t="shared" si="157"/>
        <v>March</v>
      </c>
      <c r="AL590" s="12">
        <f t="shared" si="158"/>
        <v>2025</v>
      </c>
      <c r="AM590" s="6" t="s">
        <v>144</v>
      </c>
      <c r="AN590" s="6" t="s">
        <v>98</v>
      </c>
      <c r="AO590" s="6" t="str">
        <f t="shared" si="150"/>
        <v>Cancelled</v>
      </c>
    </row>
    <row r="591" spans="1:41">
      <c r="A591" s="6" t="s">
        <v>2840</v>
      </c>
      <c r="B591" s="7" t="s">
        <v>2841</v>
      </c>
      <c r="C591" s="8">
        <v>45632</v>
      </c>
      <c r="D591" s="7" t="s">
        <v>2842</v>
      </c>
      <c r="E591" s="9">
        <v>45638</v>
      </c>
      <c r="F591" s="9" t="str">
        <f t="shared" si="143"/>
        <v>Valid</v>
      </c>
      <c r="G591" s="10">
        <f t="shared" si="144"/>
        <v>6</v>
      </c>
      <c r="H591" s="10" t="str">
        <f t="shared" si="145"/>
        <v>Valid</v>
      </c>
      <c r="I591" s="6" t="s">
        <v>2843</v>
      </c>
      <c r="J591" s="6" t="s">
        <v>200</v>
      </c>
      <c r="K591" s="6" t="s">
        <v>200</v>
      </c>
      <c r="L591" s="6" t="s">
        <v>128</v>
      </c>
      <c r="M591" s="7" t="str">
        <f t="shared" si="146"/>
        <v>Corporate</v>
      </c>
      <c r="N591" s="6" t="s">
        <v>47</v>
      </c>
      <c r="O591" s="7" t="str">
        <f t="shared" si="147"/>
        <v>North</v>
      </c>
      <c r="P591" s="6" t="s">
        <v>194</v>
      </c>
      <c r="Q591" s="6" t="s">
        <v>195</v>
      </c>
      <c r="R591" s="6" t="s">
        <v>106</v>
      </c>
      <c r="S591" s="7" t="str">
        <f t="shared" si="148"/>
        <v>Technology</v>
      </c>
      <c r="T591" s="6" t="s">
        <v>243</v>
      </c>
      <c r="U591" s="6" t="s">
        <v>2844</v>
      </c>
      <c r="V591" s="6" t="s">
        <v>76</v>
      </c>
      <c r="W591" s="7" t="str">
        <f t="shared" si="149"/>
        <v>First Class</v>
      </c>
      <c r="X591" s="6">
        <v>3</v>
      </c>
      <c r="Y591" s="6">
        <v>524.75</v>
      </c>
      <c r="Z591" s="6">
        <v>0</v>
      </c>
      <c r="AA591" s="6">
        <f t="shared" si="151"/>
        <v>0</v>
      </c>
      <c r="AB591" s="6" t="str">
        <f t="shared" si="152"/>
        <v>Valid</v>
      </c>
      <c r="AC591" s="6">
        <v>1574.25</v>
      </c>
      <c r="AD591" s="6" t="str">
        <f>IF(OR(AO591="Cancelled",AM591="Failed"),"Exclude from Completed Sales","Include in Completed Sales")</f>
        <v>Include in Completed Sales</v>
      </c>
      <c r="AE591" s="6">
        <f t="shared" si="153"/>
        <v>1574.25</v>
      </c>
      <c r="AF591" s="6" t="str">
        <f t="shared" si="154"/>
        <v/>
      </c>
      <c r="AG591" s="6">
        <v>1326.12</v>
      </c>
      <c r="AH591" s="6">
        <v>248.13</v>
      </c>
      <c r="AI591" s="6">
        <f t="shared" si="155"/>
        <v>248.13000000000011</v>
      </c>
      <c r="AJ591" s="11">
        <f t="shared" si="156"/>
        <v>0.15761791329204389</v>
      </c>
      <c r="AK591" s="11" t="str">
        <f t="shared" si="157"/>
        <v>December</v>
      </c>
      <c r="AL591" s="12">
        <f t="shared" si="158"/>
        <v>2024</v>
      </c>
      <c r="AM591" s="6" t="s">
        <v>54</v>
      </c>
      <c r="AN591" s="6" t="s">
        <v>55</v>
      </c>
      <c r="AO591" s="6" t="str">
        <f t="shared" si="150"/>
        <v>Completed</v>
      </c>
    </row>
    <row r="592" spans="1:41">
      <c r="A592" s="6" t="s">
        <v>2845</v>
      </c>
      <c r="B592" s="7" t="s">
        <v>293</v>
      </c>
      <c r="C592" s="8">
        <v>45441</v>
      </c>
      <c r="D592" s="7" t="s">
        <v>2846</v>
      </c>
      <c r="E592" s="9">
        <v>45441</v>
      </c>
      <c r="F592" s="9" t="str">
        <f t="shared" si="143"/>
        <v>Valid</v>
      </c>
      <c r="G592" s="10">
        <f t="shared" si="144"/>
        <v>0</v>
      </c>
      <c r="H592" s="10" t="str">
        <f t="shared" si="145"/>
        <v>Valid</v>
      </c>
      <c r="I592" s="6" t="s">
        <v>2847</v>
      </c>
      <c r="J592" s="6" t="s">
        <v>182</v>
      </c>
      <c r="K592" s="6" t="s">
        <v>182</v>
      </c>
      <c r="L592" s="6" t="s">
        <v>135</v>
      </c>
      <c r="M592" s="7" t="str">
        <f t="shared" si="146"/>
        <v>Home Office</v>
      </c>
      <c r="N592" s="6" t="s">
        <v>47</v>
      </c>
      <c r="O592" s="7" t="str">
        <f t="shared" si="147"/>
        <v>North</v>
      </c>
      <c r="P592" s="6" t="s">
        <v>526</v>
      </c>
      <c r="Q592" s="6" t="s">
        <v>527</v>
      </c>
      <c r="R592" s="6" t="s">
        <v>65</v>
      </c>
      <c r="S592" s="7" t="str">
        <f t="shared" si="148"/>
        <v>Furniture</v>
      </c>
      <c r="T592" s="6" t="s">
        <v>96</v>
      </c>
      <c r="U592" s="6" t="s">
        <v>2848</v>
      </c>
      <c r="V592" s="6" t="s">
        <v>68</v>
      </c>
      <c r="W592" s="7" t="str">
        <f t="shared" si="149"/>
        <v>Same Day</v>
      </c>
      <c r="X592" s="6">
        <v>6</v>
      </c>
      <c r="Y592" s="6">
        <v>3430.35</v>
      </c>
      <c r="Z592" s="6">
        <v>0</v>
      </c>
      <c r="AA592" s="6">
        <f t="shared" si="151"/>
        <v>0</v>
      </c>
      <c r="AB592" s="6" t="str">
        <f t="shared" si="152"/>
        <v>Valid</v>
      </c>
      <c r="AC592" s="6">
        <v>20582.099999999999</v>
      </c>
      <c r="AD592" s="6" t="str">
        <f>IF(OR(AO592="Cancelled",AM592="Failed"),"Exclude from Completed Sales","Include in Completed Sales")</f>
        <v>Exclude from Completed Sales</v>
      </c>
      <c r="AE592" s="6">
        <f t="shared" si="153"/>
        <v>20582.099999999999</v>
      </c>
      <c r="AF592" s="6" t="str">
        <f t="shared" si="154"/>
        <v/>
      </c>
      <c r="AG592" s="6">
        <v>15897.65</v>
      </c>
      <c r="AH592" s="6">
        <v>4684.45</v>
      </c>
      <c r="AI592" s="6">
        <f t="shared" si="155"/>
        <v>4684.4499999999989</v>
      </c>
      <c r="AJ592" s="11">
        <f t="shared" si="156"/>
        <v>0.22759825285077806</v>
      </c>
      <c r="AK592" s="11" t="str">
        <f t="shared" si="157"/>
        <v>May</v>
      </c>
      <c r="AL592" s="12">
        <f t="shared" si="158"/>
        <v>2024</v>
      </c>
      <c r="AM592" s="6" t="s">
        <v>157</v>
      </c>
      <c r="AN592" s="6" t="s">
        <v>98</v>
      </c>
      <c r="AO592" s="6" t="str">
        <f t="shared" si="150"/>
        <v>Cancelled</v>
      </c>
    </row>
    <row r="593" spans="1:41">
      <c r="A593" s="6" t="s">
        <v>2849</v>
      </c>
      <c r="B593" s="7" t="s">
        <v>2850</v>
      </c>
      <c r="C593" s="8">
        <v>45344</v>
      </c>
      <c r="D593" s="7" t="s">
        <v>2851</v>
      </c>
      <c r="E593" s="9">
        <v>45346</v>
      </c>
      <c r="F593" s="9" t="str">
        <f t="shared" si="143"/>
        <v>Valid</v>
      </c>
      <c r="G593" s="10">
        <f t="shared" si="144"/>
        <v>2</v>
      </c>
      <c r="H593" s="10" t="str">
        <f t="shared" si="145"/>
        <v>Valid</v>
      </c>
      <c r="I593" s="6" t="s">
        <v>2852</v>
      </c>
      <c r="J593" s="6" t="s">
        <v>188</v>
      </c>
      <c r="K593" s="6" t="s">
        <v>188</v>
      </c>
      <c r="L593" s="6" t="s">
        <v>46</v>
      </c>
      <c r="M593" s="7" t="str">
        <f t="shared" si="146"/>
        <v>Consumer</v>
      </c>
      <c r="N593" s="6" t="s">
        <v>82</v>
      </c>
      <c r="O593" s="7" t="str">
        <f t="shared" si="147"/>
        <v>South</v>
      </c>
      <c r="P593" s="6" t="s">
        <v>249</v>
      </c>
      <c r="Q593" s="6" t="s">
        <v>250</v>
      </c>
      <c r="R593" s="6" t="s">
        <v>106</v>
      </c>
      <c r="S593" s="7" t="str">
        <f t="shared" si="148"/>
        <v>Technology</v>
      </c>
      <c r="T593" s="6" t="s">
        <v>114</v>
      </c>
      <c r="U593" s="6" t="s">
        <v>2853</v>
      </c>
      <c r="V593" s="6" t="s">
        <v>76</v>
      </c>
      <c r="W593" s="7" t="str">
        <f t="shared" si="149"/>
        <v>First Class</v>
      </c>
      <c r="X593" s="6">
        <v>3</v>
      </c>
      <c r="Y593" s="6">
        <v>3545.08</v>
      </c>
      <c r="Z593" s="6">
        <v>0</v>
      </c>
      <c r="AA593" s="6">
        <f t="shared" si="151"/>
        <v>0</v>
      </c>
      <c r="AB593" s="6" t="str">
        <f t="shared" si="152"/>
        <v>Valid</v>
      </c>
      <c r="AC593" s="6">
        <v>10635.24</v>
      </c>
      <c r="AD593" s="6" t="str">
        <f>IF(OR(AO593="Cancelled",AM593="Failed"),"Exclude from Completed Sales","Include in Completed Sales")</f>
        <v>Exclude from Completed Sales</v>
      </c>
      <c r="AE593" s="6">
        <f t="shared" si="153"/>
        <v>10635.24</v>
      </c>
      <c r="AF593" s="6" t="str">
        <f t="shared" si="154"/>
        <v/>
      </c>
      <c r="AG593" s="6">
        <v>6031.88</v>
      </c>
      <c r="AH593" s="6">
        <v>4603.3599999999997</v>
      </c>
      <c r="AI593" s="6">
        <f t="shared" si="155"/>
        <v>4603.3599999999997</v>
      </c>
      <c r="AJ593" s="11">
        <f t="shared" si="156"/>
        <v>0.43284025560307055</v>
      </c>
      <c r="AK593" s="11" t="str">
        <f t="shared" si="157"/>
        <v>February</v>
      </c>
      <c r="AL593" s="12">
        <f t="shared" si="158"/>
        <v>2024</v>
      </c>
      <c r="AM593" s="6" t="s">
        <v>220</v>
      </c>
      <c r="AN593" s="6" t="s">
        <v>145</v>
      </c>
      <c r="AO593" s="6" t="str">
        <f t="shared" si="150"/>
        <v>Returned</v>
      </c>
    </row>
    <row r="594" spans="1:41">
      <c r="A594" s="6" t="s">
        <v>2854</v>
      </c>
      <c r="B594" s="7" t="s">
        <v>859</v>
      </c>
      <c r="C594" s="8">
        <v>45355</v>
      </c>
      <c r="D594" s="7" t="s">
        <v>917</v>
      </c>
      <c r="E594" s="9">
        <v>45360</v>
      </c>
      <c r="F594" s="9" t="str">
        <f t="shared" si="143"/>
        <v>Valid</v>
      </c>
      <c r="G594" s="10">
        <f t="shared" si="144"/>
        <v>5</v>
      </c>
      <c r="H594" s="10" t="str">
        <f t="shared" si="145"/>
        <v>Valid</v>
      </c>
      <c r="I594" s="6" t="s">
        <v>2855</v>
      </c>
      <c r="J594" s="6" t="s">
        <v>60</v>
      </c>
      <c r="K594" s="6" t="s">
        <v>60</v>
      </c>
      <c r="L594" s="6" t="s">
        <v>46</v>
      </c>
      <c r="M594" s="7" t="str">
        <f t="shared" si="146"/>
        <v>Consumer</v>
      </c>
      <c r="N594" s="6" t="s">
        <v>62</v>
      </c>
      <c r="O594" s="7" t="str">
        <f t="shared" si="147"/>
        <v>East</v>
      </c>
      <c r="P594" s="6" t="s">
        <v>141</v>
      </c>
      <c r="Q594" s="6" t="s">
        <v>142</v>
      </c>
      <c r="R594" s="6" t="s">
        <v>106</v>
      </c>
      <c r="S594" s="7" t="str">
        <f t="shared" si="148"/>
        <v>Technology</v>
      </c>
      <c r="T594" s="6" t="s">
        <v>107</v>
      </c>
      <c r="U594" s="6" t="s">
        <v>2856</v>
      </c>
      <c r="V594" s="6" t="s">
        <v>68</v>
      </c>
      <c r="W594" s="7" t="str">
        <f t="shared" si="149"/>
        <v>Same Day</v>
      </c>
      <c r="X594" s="6">
        <v>8</v>
      </c>
      <c r="Y594" s="6">
        <v>4401.41</v>
      </c>
      <c r="Z594" s="6">
        <v>0.15</v>
      </c>
      <c r="AA594" s="6">
        <f t="shared" si="151"/>
        <v>0.15</v>
      </c>
      <c r="AB594" s="6" t="str">
        <f t="shared" si="152"/>
        <v>Valid</v>
      </c>
      <c r="AC594" s="6">
        <v>29929.59</v>
      </c>
      <c r="AD594" s="6" t="str">
        <f>IF(OR(AO594="Cancelled",AM594="Failed"),"Exclude from Completed Sales","Include in Completed Sales")</f>
        <v>Include in Completed Sales</v>
      </c>
      <c r="AE594" s="6">
        <f t="shared" si="153"/>
        <v>29929.588</v>
      </c>
      <c r="AF594" s="6" t="str">
        <f t="shared" si="154"/>
        <v/>
      </c>
      <c r="AG594" s="6">
        <v>22436.03</v>
      </c>
      <c r="AH594" s="6">
        <v>7493.56</v>
      </c>
      <c r="AI594" s="6">
        <f t="shared" si="155"/>
        <v>7493.5580000000009</v>
      </c>
      <c r="AJ594" s="11">
        <f t="shared" si="156"/>
        <v>0.25037290857461858</v>
      </c>
      <c r="AK594" s="11" t="str">
        <f t="shared" si="157"/>
        <v>March</v>
      </c>
      <c r="AL594" s="12">
        <f t="shared" si="158"/>
        <v>2024</v>
      </c>
      <c r="AM594" s="6" t="s">
        <v>54</v>
      </c>
      <c r="AN594" s="6" t="s">
        <v>55</v>
      </c>
      <c r="AO594" s="6" t="str">
        <f t="shared" si="150"/>
        <v>Completed</v>
      </c>
    </row>
    <row r="595" spans="1:41">
      <c r="A595" s="6" t="s">
        <v>2857</v>
      </c>
      <c r="B595" s="7" t="s">
        <v>1378</v>
      </c>
      <c r="C595" s="8">
        <v>45927</v>
      </c>
      <c r="D595" s="7" t="s">
        <v>2858</v>
      </c>
      <c r="E595" s="9">
        <v>45929</v>
      </c>
      <c r="F595" s="9" t="str">
        <f t="shared" si="143"/>
        <v>Valid</v>
      </c>
      <c r="G595" s="10">
        <f t="shared" si="144"/>
        <v>2</v>
      </c>
      <c r="H595" s="10" t="str">
        <f t="shared" si="145"/>
        <v>Valid</v>
      </c>
      <c r="I595" s="6" t="s">
        <v>2549</v>
      </c>
      <c r="J595" s="6" t="s">
        <v>81</v>
      </c>
      <c r="K595" s="6" t="s">
        <v>81</v>
      </c>
      <c r="L595" s="6" t="s">
        <v>135</v>
      </c>
      <c r="M595" s="7" t="str">
        <f t="shared" si="146"/>
        <v>Home Office</v>
      </c>
      <c r="N595" s="6" t="s">
        <v>47</v>
      </c>
      <c r="O595" s="7" t="str">
        <f t="shared" si="147"/>
        <v>North</v>
      </c>
      <c r="P595" s="6" t="s">
        <v>194</v>
      </c>
      <c r="Q595" s="6" t="s">
        <v>195</v>
      </c>
      <c r="R595" s="6" t="s">
        <v>65</v>
      </c>
      <c r="S595" s="7" t="str">
        <f t="shared" si="148"/>
        <v>Furniture</v>
      </c>
      <c r="T595" s="6" t="s">
        <v>66</v>
      </c>
      <c r="U595" s="6" t="s">
        <v>2859</v>
      </c>
      <c r="V595" s="6" t="s">
        <v>53</v>
      </c>
      <c r="W595" s="7" t="str">
        <f t="shared" si="149"/>
        <v>Second Class</v>
      </c>
      <c r="X595" s="6">
        <v>9</v>
      </c>
      <c r="Y595" s="6">
        <v>4100.1099999999997</v>
      </c>
      <c r="Z595" s="6">
        <v>0.25</v>
      </c>
      <c r="AA595" s="6">
        <f t="shared" si="151"/>
        <v>0.25</v>
      </c>
      <c r="AB595" s="6" t="str">
        <f t="shared" si="152"/>
        <v>Valid</v>
      </c>
      <c r="AC595" s="6">
        <v>27675.74</v>
      </c>
      <c r="AD595" s="6" t="str">
        <f>IF(OR(AO595="Cancelled",AM595="Failed"),"Exclude from Completed Sales","Include in Completed Sales")</f>
        <v>Include in Completed Sales</v>
      </c>
      <c r="AE595" s="6">
        <f t="shared" si="153"/>
        <v>27675.7425</v>
      </c>
      <c r="AF595" s="6" t="str">
        <f t="shared" si="154"/>
        <v/>
      </c>
      <c r="AG595" s="6">
        <v>15571.08</v>
      </c>
      <c r="AH595" s="6">
        <v>12104.66</v>
      </c>
      <c r="AI595" s="6">
        <f t="shared" si="155"/>
        <v>12104.6625</v>
      </c>
      <c r="AJ595" s="11">
        <f t="shared" si="156"/>
        <v>0.4373744444254748</v>
      </c>
      <c r="AK595" s="11" t="str">
        <f t="shared" si="157"/>
        <v>September</v>
      </c>
      <c r="AL595" s="12">
        <f t="shared" si="158"/>
        <v>2025</v>
      </c>
      <c r="AM595" s="6" t="s">
        <v>54</v>
      </c>
      <c r="AN595" s="6" t="s">
        <v>55</v>
      </c>
      <c r="AO595" s="6" t="str">
        <f t="shared" si="150"/>
        <v>Completed</v>
      </c>
    </row>
    <row r="596" spans="1:41">
      <c r="A596" s="6" t="s">
        <v>2860</v>
      </c>
      <c r="B596" s="7" t="s">
        <v>2861</v>
      </c>
      <c r="C596" s="8">
        <v>45554</v>
      </c>
      <c r="D596" s="7" t="s">
        <v>1155</v>
      </c>
      <c r="E596" s="9">
        <v>45556</v>
      </c>
      <c r="F596" s="9" t="str">
        <f t="shared" si="143"/>
        <v>Valid</v>
      </c>
      <c r="G596" s="10">
        <f t="shared" si="144"/>
        <v>2</v>
      </c>
      <c r="H596" s="10" t="str">
        <f t="shared" si="145"/>
        <v>Valid</v>
      </c>
      <c r="I596" s="6" t="s">
        <v>2862</v>
      </c>
      <c r="J596" s="6" t="s">
        <v>45</v>
      </c>
      <c r="K596" s="6" t="s">
        <v>45</v>
      </c>
      <c r="L596" s="6" t="s">
        <v>61</v>
      </c>
      <c r="M596" s="7" t="str">
        <f t="shared" si="146"/>
        <v>Small Business</v>
      </c>
      <c r="N596" s="6" t="s">
        <v>62</v>
      </c>
      <c r="O596" s="7" t="str">
        <f t="shared" si="147"/>
        <v>East</v>
      </c>
      <c r="P596" s="6" t="s">
        <v>141</v>
      </c>
      <c r="Q596" s="6" t="s">
        <v>142</v>
      </c>
      <c r="R596" s="6" t="s">
        <v>65</v>
      </c>
      <c r="S596" s="7" t="str">
        <f t="shared" si="148"/>
        <v>Furniture</v>
      </c>
      <c r="T596" s="6" t="s">
        <v>96</v>
      </c>
      <c r="U596" s="6" t="s">
        <v>2863</v>
      </c>
      <c r="V596" s="6" t="s">
        <v>76</v>
      </c>
      <c r="W596" s="7" t="str">
        <f t="shared" si="149"/>
        <v>First Class</v>
      </c>
      <c r="X596" s="6">
        <v>3</v>
      </c>
      <c r="Y596" s="6">
        <v>3981.76</v>
      </c>
      <c r="Z596" s="6">
        <v>0</v>
      </c>
      <c r="AA596" s="6">
        <f t="shared" si="151"/>
        <v>0</v>
      </c>
      <c r="AB596" s="6" t="str">
        <f t="shared" si="152"/>
        <v>Valid</v>
      </c>
      <c r="AC596" s="6">
        <v>11945.28</v>
      </c>
      <c r="AD596" s="6" t="str">
        <f>IF(OR(AO596="Cancelled",AM596="Failed"),"Exclude from Completed Sales","Include in Completed Sales")</f>
        <v>Include in Completed Sales</v>
      </c>
      <c r="AE596" s="6">
        <f t="shared" si="153"/>
        <v>11945.28</v>
      </c>
      <c r="AF596" s="6" t="str">
        <f t="shared" si="154"/>
        <v/>
      </c>
      <c r="AG596" s="6">
        <v>9700.31</v>
      </c>
      <c r="AH596" s="6">
        <v>2244.9699999999998</v>
      </c>
      <c r="AI596" s="6">
        <f t="shared" si="155"/>
        <v>2244.9700000000012</v>
      </c>
      <c r="AJ596" s="11">
        <f t="shared" si="156"/>
        <v>0.18793782983739193</v>
      </c>
      <c r="AK596" s="11" t="str">
        <f t="shared" si="157"/>
        <v>September</v>
      </c>
      <c r="AL596" s="12">
        <f t="shared" si="158"/>
        <v>2024</v>
      </c>
      <c r="AM596" s="6" t="s">
        <v>54</v>
      </c>
      <c r="AN596" s="6" t="s">
        <v>55</v>
      </c>
      <c r="AO596" s="6" t="str">
        <f t="shared" si="150"/>
        <v>Completed</v>
      </c>
    </row>
    <row r="597" spans="1:41">
      <c r="A597" s="6" t="s">
        <v>2864</v>
      </c>
      <c r="B597" s="7" t="s">
        <v>2865</v>
      </c>
      <c r="C597" s="8">
        <v>45699</v>
      </c>
      <c r="D597" s="7" t="s">
        <v>2866</v>
      </c>
      <c r="E597" s="9">
        <v>45704</v>
      </c>
      <c r="F597" s="9" t="str">
        <f t="shared" si="143"/>
        <v>Valid</v>
      </c>
      <c r="G597" s="10">
        <f t="shared" si="144"/>
        <v>5</v>
      </c>
      <c r="H597" s="10" t="str">
        <f t="shared" si="145"/>
        <v>Valid</v>
      </c>
      <c r="I597" s="6" t="s">
        <v>2867</v>
      </c>
      <c r="J597" s="6" t="s">
        <v>60</v>
      </c>
      <c r="K597" s="6" t="s">
        <v>60</v>
      </c>
      <c r="L597" s="6" t="s">
        <v>128</v>
      </c>
      <c r="M597" s="7" t="str">
        <f t="shared" si="146"/>
        <v>Corporate</v>
      </c>
      <c r="N597" s="6" t="s">
        <v>47</v>
      </c>
      <c r="O597" s="7" t="str">
        <f t="shared" si="147"/>
        <v>North</v>
      </c>
      <c r="P597" s="6" t="s">
        <v>194</v>
      </c>
      <c r="Q597" s="6" t="s">
        <v>195</v>
      </c>
      <c r="R597" s="6" t="s">
        <v>106</v>
      </c>
      <c r="S597" s="7" t="str">
        <f t="shared" si="148"/>
        <v>Technology</v>
      </c>
      <c r="T597" s="6" t="s">
        <v>243</v>
      </c>
      <c r="U597" s="6" t="s">
        <v>2868</v>
      </c>
      <c r="V597" s="6" t="s">
        <v>76</v>
      </c>
      <c r="W597" s="7" t="str">
        <f t="shared" si="149"/>
        <v>First Class</v>
      </c>
      <c r="X597" s="6">
        <v>8</v>
      </c>
      <c r="Y597" s="6">
        <v>1825.56</v>
      </c>
      <c r="Z597" s="6">
        <v>0.1</v>
      </c>
      <c r="AA597" s="6">
        <f t="shared" si="151"/>
        <v>0.1</v>
      </c>
      <c r="AB597" s="6" t="str">
        <f t="shared" si="152"/>
        <v>Valid</v>
      </c>
      <c r="AC597" s="6">
        <v>13144.03</v>
      </c>
      <c r="AD597" s="6" t="str">
        <f>IF(OR(AO597="Cancelled",AM597="Failed"),"Exclude from Completed Sales","Include in Completed Sales")</f>
        <v>Include in Completed Sales</v>
      </c>
      <c r="AE597" s="6">
        <f t="shared" si="153"/>
        <v>13144.031999999999</v>
      </c>
      <c r="AF597" s="6" t="str">
        <f t="shared" si="154"/>
        <v/>
      </c>
      <c r="AG597" s="6">
        <v>9764</v>
      </c>
      <c r="AH597" s="6">
        <v>3380.03</v>
      </c>
      <c r="AI597" s="6">
        <f t="shared" si="155"/>
        <v>3380.0319999999992</v>
      </c>
      <c r="AJ597" s="11">
        <f t="shared" si="156"/>
        <v>0.25715336055176974</v>
      </c>
      <c r="AK597" s="11" t="str">
        <f t="shared" si="157"/>
        <v>February</v>
      </c>
      <c r="AL597" s="12">
        <f t="shared" si="158"/>
        <v>2025</v>
      </c>
      <c r="AM597" s="6" t="s">
        <v>54</v>
      </c>
      <c r="AN597" s="6" t="s">
        <v>55</v>
      </c>
      <c r="AO597" s="6" t="str">
        <f t="shared" si="150"/>
        <v>Completed</v>
      </c>
    </row>
    <row r="598" spans="1:41">
      <c r="A598" s="6" t="s">
        <v>2869</v>
      </c>
      <c r="B598" s="7" t="s">
        <v>1460</v>
      </c>
      <c r="C598" s="8">
        <v>45392</v>
      </c>
      <c r="D598" s="7" t="s">
        <v>431</v>
      </c>
      <c r="E598" s="9">
        <v>45398</v>
      </c>
      <c r="F598" s="9" t="str">
        <f t="shared" si="143"/>
        <v>Valid</v>
      </c>
      <c r="G598" s="10">
        <f t="shared" si="144"/>
        <v>6</v>
      </c>
      <c r="H598" s="10" t="str">
        <f t="shared" si="145"/>
        <v>Valid</v>
      </c>
      <c r="I598" s="6" t="s">
        <v>2870</v>
      </c>
      <c r="J598" s="6" t="s">
        <v>127</v>
      </c>
      <c r="K598" s="6" t="s">
        <v>127</v>
      </c>
      <c r="L598" s="6" t="s">
        <v>46</v>
      </c>
      <c r="M598" s="7" t="str">
        <f t="shared" si="146"/>
        <v>Consumer</v>
      </c>
      <c r="N598" s="6" t="s">
        <v>82</v>
      </c>
      <c r="O598" s="7" t="str">
        <f t="shared" si="147"/>
        <v>South</v>
      </c>
      <c r="P598" s="6" t="s">
        <v>262</v>
      </c>
      <c r="Q598" s="6" t="s">
        <v>263</v>
      </c>
      <c r="R598" s="6" t="s">
        <v>65</v>
      </c>
      <c r="S598" s="7" t="str">
        <f t="shared" si="148"/>
        <v>Furniture</v>
      </c>
      <c r="T598" s="6" t="s">
        <v>96</v>
      </c>
      <c r="U598" s="6" t="s">
        <v>2871</v>
      </c>
      <c r="V598" s="6" t="s">
        <v>53</v>
      </c>
      <c r="W598" s="7" t="str">
        <f t="shared" si="149"/>
        <v>Second Class</v>
      </c>
      <c r="X598" s="6">
        <v>9</v>
      </c>
      <c r="Y598" s="6">
        <v>2723.26</v>
      </c>
      <c r="Z598" s="6">
        <v>0.25</v>
      </c>
      <c r="AA598" s="6">
        <f t="shared" si="151"/>
        <v>0.25</v>
      </c>
      <c r="AB598" s="6" t="str">
        <f t="shared" si="152"/>
        <v>Valid</v>
      </c>
      <c r="AC598" s="6">
        <v>18382.009999999998</v>
      </c>
      <c r="AD598" s="6" t="str">
        <f>IF(OR(AO598="Cancelled",AM598="Failed"),"Exclude from Completed Sales","Include in Completed Sales")</f>
        <v>Include in Completed Sales</v>
      </c>
      <c r="AE598" s="6">
        <f t="shared" si="153"/>
        <v>18382.005000000005</v>
      </c>
      <c r="AF598" s="6" t="str">
        <f t="shared" si="154"/>
        <v/>
      </c>
      <c r="AG598" s="6">
        <v>13108.2</v>
      </c>
      <c r="AH598" s="6">
        <v>5273.81</v>
      </c>
      <c r="AI598" s="6">
        <f t="shared" si="155"/>
        <v>5273.8050000000039</v>
      </c>
      <c r="AJ598" s="11">
        <f t="shared" si="156"/>
        <v>0.28690042245119629</v>
      </c>
      <c r="AK598" s="11" t="str">
        <f t="shared" si="157"/>
        <v>April</v>
      </c>
      <c r="AL598" s="12">
        <f t="shared" si="158"/>
        <v>2024</v>
      </c>
      <c r="AM598" s="6" t="s">
        <v>54</v>
      </c>
      <c r="AN598" s="6" t="s">
        <v>55</v>
      </c>
      <c r="AO598" s="6" t="str">
        <f t="shared" si="150"/>
        <v>Completed</v>
      </c>
    </row>
    <row r="599" spans="1:41">
      <c r="A599" s="6" t="s">
        <v>2872</v>
      </c>
      <c r="B599" s="7" t="s">
        <v>2873</v>
      </c>
      <c r="C599" s="8">
        <v>45846</v>
      </c>
      <c r="D599" s="7" t="s">
        <v>508</v>
      </c>
      <c r="E599" s="9">
        <v>45846</v>
      </c>
      <c r="F599" s="9" t="str">
        <f t="shared" si="143"/>
        <v>Valid</v>
      </c>
      <c r="G599" s="10">
        <f t="shared" si="144"/>
        <v>0</v>
      </c>
      <c r="H599" s="10" t="str">
        <f t="shared" si="145"/>
        <v>Valid</v>
      </c>
      <c r="I599" s="6" t="s">
        <v>2874</v>
      </c>
      <c r="J599" s="6" t="s">
        <v>127</v>
      </c>
      <c r="K599" s="6" t="s">
        <v>127</v>
      </c>
      <c r="L599" s="6" t="s">
        <v>46</v>
      </c>
      <c r="M599" s="7" t="str">
        <f t="shared" si="146"/>
        <v>Consumer</v>
      </c>
      <c r="N599" s="6" t="s">
        <v>82</v>
      </c>
      <c r="O599" s="7" t="str">
        <f t="shared" si="147"/>
        <v>South</v>
      </c>
      <c r="P599" s="6" t="s">
        <v>83</v>
      </c>
      <c r="Q599" s="6" t="s">
        <v>84</v>
      </c>
      <c r="R599" s="6" t="s">
        <v>106</v>
      </c>
      <c r="S599" s="7" t="str">
        <f t="shared" si="148"/>
        <v>Technology</v>
      </c>
      <c r="T599" s="6" t="s">
        <v>114</v>
      </c>
      <c r="U599" s="6" t="s">
        <v>2875</v>
      </c>
      <c r="V599" s="6" t="s">
        <v>68</v>
      </c>
      <c r="W599" s="7" t="str">
        <f t="shared" si="149"/>
        <v>Same Day</v>
      </c>
      <c r="X599" s="6">
        <v>9</v>
      </c>
      <c r="Y599" s="6">
        <v>274.88</v>
      </c>
      <c r="Z599" s="6">
        <v>0.25</v>
      </c>
      <c r="AA599" s="6">
        <f t="shared" si="151"/>
        <v>0.25</v>
      </c>
      <c r="AB599" s="6" t="str">
        <f t="shared" si="152"/>
        <v>Valid</v>
      </c>
      <c r="AC599" s="6">
        <v>1855.44</v>
      </c>
      <c r="AD599" s="6" t="str">
        <f>IF(OR(AO599="Cancelled",AM599="Failed"),"Exclude from Completed Sales","Include in Completed Sales")</f>
        <v>Include in Completed Sales</v>
      </c>
      <c r="AE599" s="6">
        <f t="shared" si="153"/>
        <v>1855.44</v>
      </c>
      <c r="AF599" s="6" t="str">
        <f t="shared" si="154"/>
        <v/>
      </c>
      <c r="AG599" s="6">
        <v>1262.74</v>
      </c>
      <c r="AH599" s="6">
        <v>592.70000000000005</v>
      </c>
      <c r="AI599" s="6">
        <f t="shared" si="155"/>
        <v>592.70000000000005</v>
      </c>
      <c r="AJ599" s="11">
        <f t="shared" si="156"/>
        <v>0.3194390548872505</v>
      </c>
      <c r="AK599" s="11" t="str">
        <f t="shared" si="157"/>
        <v>July</v>
      </c>
      <c r="AL599" s="12">
        <f t="shared" si="158"/>
        <v>2025</v>
      </c>
      <c r="AM599" s="6" t="s">
        <v>54</v>
      </c>
      <c r="AN599" s="6" t="s">
        <v>55</v>
      </c>
      <c r="AO599" s="6" t="str">
        <f t="shared" si="150"/>
        <v>Completed</v>
      </c>
    </row>
    <row r="600" spans="1:41">
      <c r="A600" s="6" t="s">
        <v>2876</v>
      </c>
      <c r="B600" s="7" t="s">
        <v>2459</v>
      </c>
      <c r="C600" s="8">
        <v>45521</v>
      </c>
      <c r="D600" s="7" t="s">
        <v>2877</v>
      </c>
      <c r="E600" s="9">
        <v>45528</v>
      </c>
      <c r="F600" s="9" t="str">
        <f t="shared" si="143"/>
        <v>Valid</v>
      </c>
      <c r="G600" s="10">
        <f t="shared" si="144"/>
        <v>7</v>
      </c>
      <c r="H600" s="10" t="str">
        <f t="shared" si="145"/>
        <v>Valid</v>
      </c>
      <c r="I600" s="6" t="s">
        <v>2878</v>
      </c>
      <c r="J600" s="6" t="s">
        <v>92</v>
      </c>
      <c r="K600" s="6" t="s">
        <v>92</v>
      </c>
      <c r="L600" s="6" t="s">
        <v>128</v>
      </c>
      <c r="M600" s="7" t="str">
        <f t="shared" si="146"/>
        <v>Corporate</v>
      </c>
      <c r="N600" s="6" t="s">
        <v>62</v>
      </c>
      <c r="O600" s="7" t="str">
        <f t="shared" si="147"/>
        <v>East</v>
      </c>
      <c r="P600" s="6" t="s">
        <v>141</v>
      </c>
      <c r="Q600" s="6" t="s">
        <v>142</v>
      </c>
      <c r="R600" s="6" t="s">
        <v>106</v>
      </c>
      <c r="S600" s="7" t="str">
        <f t="shared" si="148"/>
        <v>Technology</v>
      </c>
      <c r="T600" s="6" t="s">
        <v>114</v>
      </c>
      <c r="U600" s="6" t="s">
        <v>2879</v>
      </c>
      <c r="V600" s="6" t="s">
        <v>68</v>
      </c>
      <c r="W600" s="7" t="str">
        <f t="shared" si="149"/>
        <v>Same Day</v>
      </c>
      <c r="X600" s="6">
        <v>3</v>
      </c>
      <c r="Y600" s="6">
        <v>1490.69</v>
      </c>
      <c r="Z600" s="6">
        <v>0.25</v>
      </c>
      <c r="AA600" s="6">
        <f t="shared" si="151"/>
        <v>0.25</v>
      </c>
      <c r="AB600" s="6" t="str">
        <f t="shared" si="152"/>
        <v>Valid</v>
      </c>
      <c r="AC600" s="6">
        <v>3354.05</v>
      </c>
      <c r="AD600" s="6" t="str">
        <f>IF(OR(AO600="Cancelled",AM600="Failed"),"Exclude from Completed Sales","Include in Completed Sales")</f>
        <v>Include in Completed Sales</v>
      </c>
      <c r="AE600" s="6">
        <f t="shared" si="153"/>
        <v>3354.0524999999998</v>
      </c>
      <c r="AF600" s="6" t="str">
        <f t="shared" si="154"/>
        <v/>
      </c>
      <c r="AG600" s="6">
        <v>2672.67</v>
      </c>
      <c r="AH600" s="6">
        <v>681.38</v>
      </c>
      <c r="AI600" s="6">
        <f t="shared" si="155"/>
        <v>681.38249999999971</v>
      </c>
      <c r="AJ600" s="11">
        <f t="shared" si="156"/>
        <v>0.20315200790685289</v>
      </c>
      <c r="AK600" s="11" t="str">
        <f t="shared" si="157"/>
        <v>August</v>
      </c>
      <c r="AL600" s="12">
        <f t="shared" si="158"/>
        <v>2024</v>
      </c>
      <c r="AM600" s="6" t="s">
        <v>54</v>
      </c>
      <c r="AN600" s="6" t="s">
        <v>55</v>
      </c>
      <c r="AO600" s="6" t="str">
        <f t="shared" si="150"/>
        <v>Completed</v>
      </c>
    </row>
    <row r="601" spans="1:41">
      <c r="A601" s="6" t="s">
        <v>2880</v>
      </c>
      <c r="B601" s="7" t="s">
        <v>2881</v>
      </c>
      <c r="C601" s="8">
        <v>45523</v>
      </c>
      <c r="D601" s="7" t="s">
        <v>1646</v>
      </c>
      <c r="E601" s="9">
        <v>45525</v>
      </c>
      <c r="F601" s="9" t="str">
        <f t="shared" si="143"/>
        <v>Valid</v>
      </c>
      <c r="G601" s="10">
        <f t="shared" si="144"/>
        <v>2</v>
      </c>
      <c r="H601" s="10" t="str">
        <f t="shared" si="145"/>
        <v>Valid</v>
      </c>
      <c r="I601" s="6" t="s">
        <v>2882</v>
      </c>
      <c r="J601" s="6" t="s">
        <v>81</v>
      </c>
      <c r="K601" s="6" t="s">
        <v>81</v>
      </c>
      <c r="L601" s="6" t="s">
        <v>46</v>
      </c>
      <c r="M601" s="7" t="str">
        <f t="shared" si="146"/>
        <v>Consumer</v>
      </c>
      <c r="N601" s="6" t="s">
        <v>47</v>
      </c>
      <c r="O601" s="7" t="str">
        <f t="shared" si="147"/>
        <v>North</v>
      </c>
      <c r="P601" s="6" t="s">
        <v>174</v>
      </c>
      <c r="Q601" s="6" t="s">
        <v>175</v>
      </c>
      <c r="R601" s="6" t="s">
        <v>106</v>
      </c>
      <c r="S601" s="7" t="str">
        <f t="shared" si="148"/>
        <v>Technology</v>
      </c>
      <c r="T601" s="6" t="s">
        <v>243</v>
      </c>
      <c r="U601" s="6" t="s">
        <v>2883</v>
      </c>
      <c r="V601" s="6" t="s">
        <v>76</v>
      </c>
      <c r="W601" s="7" t="str">
        <f t="shared" si="149"/>
        <v>First Class</v>
      </c>
      <c r="X601" s="6">
        <v>3</v>
      </c>
      <c r="Y601" s="6">
        <v>1103.54</v>
      </c>
      <c r="Z601" s="6">
        <v>0.25</v>
      </c>
      <c r="AA601" s="6">
        <f t="shared" si="151"/>
        <v>0.25</v>
      </c>
      <c r="AB601" s="6" t="str">
        <f t="shared" si="152"/>
        <v>Valid</v>
      </c>
      <c r="AC601" s="6">
        <v>2482.9699999999998</v>
      </c>
      <c r="AD601" s="6" t="str">
        <f>IF(OR(AO601="Cancelled",AM601="Failed"),"Exclude from Completed Sales","Include in Completed Sales")</f>
        <v>Include in Completed Sales</v>
      </c>
      <c r="AE601" s="6">
        <f t="shared" si="153"/>
        <v>2482.9650000000001</v>
      </c>
      <c r="AF601" s="6" t="str">
        <f t="shared" si="154"/>
        <v/>
      </c>
      <c r="AG601" s="6">
        <v>1621.72</v>
      </c>
      <c r="AH601" s="6">
        <v>861.25</v>
      </c>
      <c r="AI601" s="6">
        <f t="shared" si="155"/>
        <v>861.24500000000012</v>
      </c>
      <c r="AJ601" s="11">
        <f t="shared" si="156"/>
        <v>0.34686151435884116</v>
      </c>
      <c r="AK601" s="11" t="str">
        <f t="shared" si="157"/>
        <v>August</v>
      </c>
      <c r="AL601" s="12">
        <f t="shared" si="158"/>
        <v>2024</v>
      </c>
      <c r="AM601" s="6" t="s">
        <v>54</v>
      </c>
      <c r="AN601" s="6" t="s">
        <v>55</v>
      </c>
      <c r="AO601" s="6" t="str">
        <f t="shared" si="150"/>
        <v>Completed</v>
      </c>
    </row>
    <row r="602" spans="1:41">
      <c r="A602" s="6" t="s">
        <v>2884</v>
      </c>
      <c r="B602" s="7" t="s">
        <v>2885</v>
      </c>
      <c r="C602" s="8">
        <v>45721</v>
      </c>
      <c r="D602" s="7" t="s">
        <v>2886</v>
      </c>
      <c r="E602" s="9">
        <v>45728</v>
      </c>
      <c r="F602" s="9" t="str">
        <f t="shared" si="143"/>
        <v>Valid</v>
      </c>
      <c r="G602" s="10">
        <f t="shared" si="144"/>
        <v>7</v>
      </c>
      <c r="H602" s="10" t="str">
        <f t="shared" si="145"/>
        <v>Valid</v>
      </c>
      <c r="I602" s="6" t="s">
        <v>2887</v>
      </c>
      <c r="J602" s="6" t="s">
        <v>92</v>
      </c>
      <c r="K602" s="6" t="s">
        <v>92</v>
      </c>
      <c r="L602" s="6" t="s">
        <v>128</v>
      </c>
      <c r="M602" s="7" t="str">
        <f t="shared" si="146"/>
        <v>Corporate</v>
      </c>
      <c r="N602" s="6" t="s">
        <v>93</v>
      </c>
      <c r="O602" s="7" t="str">
        <f t="shared" si="147"/>
        <v>West</v>
      </c>
      <c r="P602" s="6" t="s">
        <v>104</v>
      </c>
      <c r="Q602" s="6" t="s">
        <v>105</v>
      </c>
      <c r="R602" s="6" t="s">
        <v>50</v>
      </c>
      <c r="S602" s="7" t="str">
        <f t="shared" si="148"/>
        <v>Office Supplies</v>
      </c>
      <c r="T602" s="6" t="s">
        <v>176</v>
      </c>
      <c r="U602" s="6" t="s">
        <v>2888</v>
      </c>
      <c r="V602" s="6" t="s">
        <v>68</v>
      </c>
      <c r="W602" s="7" t="str">
        <f t="shared" si="149"/>
        <v>Same Day</v>
      </c>
      <c r="X602" s="6">
        <v>3</v>
      </c>
      <c r="Y602" s="6">
        <v>3682.75</v>
      </c>
      <c r="Z602" s="6"/>
      <c r="AA602" s="6">
        <f t="shared" si="151"/>
        <v>0</v>
      </c>
      <c r="AB602" s="6" t="str">
        <f t="shared" si="152"/>
        <v>Valid</v>
      </c>
      <c r="AC602" s="6">
        <v>11048.25</v>
      </c>
      <c r="AD602" s="6" t="str">
        <f>IF(OR(AO602="Cancelled",AM602="Failed"),"Exclude from Completed Sales","Include in Completed Sales")</f>
        <v>Include in Completed Sales</v>
      </c>
      <c r="AE602" s="6">
        <f t="shared" si="153"/>
        <v>11048.25</v>
      </c>
      <c r="AF602" s="6" t="str">
        <f t="shared" si="154"/>
        <v/>
      </c>
      <c r="AG602" s="6">
        <v>9062.7199999999993</v>
      </c>
      <c r="AH602" s="6">
        <v>1985.53</v>
      </c>
      <c r="AI602" s="6">
        <f t="shared" si="155"/>
        <v>1985.5300000000007</v>
      </c>
      <c r="AJ602" s="11">
        <f t="shared" si="156"/>
        <v>0.17971443441268986</v>
      </c>
      <c r="AK602" s="11" t="str">
        <f t="shared" si="157"/>
        <v>March</v>
      </c>
      <c r="AL602" s="12">
        <f t="shared" si="158"/>
        <v>2025</v>
      </c>
      <c r="AM602" s="6" t="s">
        <v>54</v>
      </c>
      <c r="AN602" s="6" t="s">
        <v>55</v>
      </c>
      <c r="AO602" s="6" t="str">
        <f t="shared" si="150"/>
        <v>Completed</v>
      </c>
    </row>
    <row r="603" spans="1:41">
      <c r="A603" s="6" t="s">
        <v>2889</v>
      </c>
      <c r="B603" s="7" t="s">
        <v>2890</v>
      </c>
      <c r="C603" s="8">
        <v>45317</v>
      </c>
      <c r="D603" s="7" t="s">
        <v>2891</v>
      </c>
      <c r="E603" s="9">
        <v>45322</v>
      </c>
      <c r="F603" s="9" t="str">
        <f t="shared" si="143"/>
        <v>Valid</v>
      </c>
      <c r="G603" s="10">
        <f t="shared" si="144"/>
        <v>5</v>
      </c>
      <c r="H603" s="10" t="str">
        <f t="shared" si="145"/>
        <v>Valid</v>
      </c>
      <c r="I603" s="6" t="s">
        <v>2892</v>
      </c>
      <c r="J603" s="6" t="s">
        <v>92</v>
      </c>
      <c r="K603" s="6" t="s">
        <v>92</v>
      </c>
      <c r="L603" s="6" t="s">
        <v>135</v>
      </c>
      <c r="M603" s="7" t="str">
        <f t="shared" si="146"/>
        <v>Home Office</v>
      </c>
      <c r="N603" s="6" t="s">
        <v>62</v>
      </c>
      <c r="O603" s="7" t="str">
        <f t="shared" si="147"/>
        <v>East</v>
      </c>
      <c r="P603" s="6" t="s">
        <v>141</v>
      </c>
      <c r="Q603" s="6" t="s">
        <v>142</v>
      </c>
      <c r="R603" s="6" t="s">
        <v>50</v>
      </c>
      <c r="S603" s="7" t="str">
        <f t="shared" si="148"/>
        <v>Office Supplies</v>
      </c>
      <c r="T603" s="6" t="s">
        <v>51</v>
      </c>
      <c r="U603" s="6" t="s">
        <v>2893</v>
      </c>
      <c r="V603" s="6" t="s">
        <v>53</v>
      </c>
      <c r="W603" s="7" t="str">
        <f t="shared" si="149"/>
        <v>Second Class</v>
      </c>
      <c r="X603" s="6">
        <v>5</v>
      </c>
      <c r="Y603" s="6">
        <v>1615.03</v>
      </c>
      <c r="Z603" s="6">
        <v>0.2</v>
      </c>
      <c r="AA603" s="6">
        <f t="shared" si="151"/>
        <v>0.2</v>
      </c>
      <c r="AB603" s="6" t="str">
        <f t="shared" si="152"/>
        <v>Valid</v>
      </c>
      <c r="AC603" s="6">
        <v>6460.12</v>
      </c>
      <c r="AD603" s="6" t="str">
        <f>IF(OR(AO603="Cancelled",AM603="Failed"),"Exclude from Completed Sales","Include in Completed Sales")</f>
        <v>Include in Completed Sales</v>
      </c>
      <c r="AE603" s="6">
        <f t="shared" si="153"/>
        <v>6460.12</v>
      </c>
      <c r="AF603" s="6" t="str">
        <f t="shared" si="154"/>
        <v/>
      </c>
      <c r="AG603" s="6">
        <v>3604.03</v>
      </c>
      <c r="AH603" s="6">
        <v>2856.09</v>
      </c>
      <c r="AI603" s="6">
        <f t="shared" si="155"/>
        <v>2856.0899999999997</v>
      </c>
      <c r="AJ603" s="11">
        <f t="shared" si="156"/>
        <v>0.44211098245853014</v>
      </c>
      <c r="AK603" s="11" t="str">
        <f t="shared" si="157"/>
        <v>January</v>
      </c>
      <c r="AL603" s="12">
        <f t="shared" si="158"/>
        <v>2024</v>
      </c>
      <c r="AM603" s="6" t="s">
        <v>54</v>
      </c>
      <c r="AN603" s="6" t="s">
        <v>55</v>
      </c>
      <c r="AO603" s="6" t="str">
        <f t="shared" si="150"/>
        <v>Completed</v>
      </c>
    </row>
    <row r="604" spans="1:41">
      <c r="A604" s="6" t="s">
        <v>2894</v>
      </c>
      <c r="B604" s="7" t="s">
        <v>2895</v>
      </c>
      <c r="C604" s="8">
        <v>45588</v>
      </c>
      <c r="D604" s="7" t="s">
        <v>2896</v>
      </c>
      <c r="E604" s="9">
        <v>45595</v>
      </c>
      <c r="F604" s="9" t="str">
        <f t="shared" si="143"/>
        <v>Valid</v>
      </c>
      <c r="G604" s="10">
        <f t="shared" si="144"/>
        <v>7</v>
      </c>
      <c r="H604" s="10" t="str">
        <f t="shared" si="145"/>
        <v>Valid</v>
      </c>
      <c r="I604" s="6" t="s">
        <v>2897</v>
      </c>
      <c r="J604" s="6" t="s">
        <v>182</v>
      </c>
      <c r="K604" s="6" t="s">
        <v>182</v>
      </c>
      <c r="L604" s="6" t="s">
        <v>46</v>
      </c>
      <c r="M604" s="7" t="str">
        <f t="shared" si="146"/>
        <v>Consumer</v>
      </c>
      <c r="N604" s="6" t="s">
        <v>62</v>
      </c>
      <c r="O604" s="7" t="str">
        <f t="shared" si="147"/>
        <v>East</v>
      </c>
      <c r="P604" s="6" t="s">
        <v>331</v>
      </c>
      <c r="Q604" s="6" t="s">
        <v>332</v>
      </c>
      <c r="R604" s="6" t="s">
        <v>106</v>
      </c>
      <c r="S604" s="7" t="str">
        <f t="shared" si="148"/>
        <v>Technology</v>
      </c>
      <c r="T604" s="6" t="s">
        <v>114</v>
      </c>
      <c r="U604" s="6" t="s">
        <v>2898</v>
      </c>
      <c r="V604" s="6" t="s">
        <v>53</v>
      </c>
      <c r="W604" s="7" t="str">
        <f t="shared" si="149"/>
        <v>Second Class</v>
      </c>
      <c r="X604" s="6">
        <v>9</v>
      </c>
      <c r="Y604" s="6">
        <v>3423.82</v>
      </c>
      <c r="Z604" s="6">
        <v>0.15</v>
      </c>
      <c r="AA604" s="6">
        <f t="shared" si="151"/>
        <v>0.15</v>
      </c>
      <c r="AB604" s="6" t="str">
        <f t="shared" si="152"/>
        <v>Valid</v>
      </c>
      <c r="AC604" s="6">
        <v>26192.22</v>
      </c>
      <c r="AD604" s="6" t="str">
        <f>IF(OR(AO604="Cancelled",AM604="Failed"),"Exclude from Completed Sales","Include in Completed Sales")</f>
        <v>Include in Completed Sales</v>
      </c>
      <c r="AE604" s="6">
        <f t="shared" si="153"/>
        <v>26192.223000000002</v>
      </c>
      <c r="AF604" s="6" t="str">
        <f t="shared" si="154"/>
        <v/>
      </c>
      <c r="AG604" s="6">
        <v>20795.55</v>
      </c>
      <c r="AH604" s="6">
        <v>5396.67</v>
      </c>
      <c r="AI604" s="6">
        <f t="shared" si="155"/>
        <v>5396.6730000000025</v>
      </c>
      <c r="AJ604" s="11">
        <f t="shared" si="156"/>
        <v>0.20604104508426041</v>
      </c>
      <c r="AK604" s="11" t="str">
        <f t="shared" si="157"/>
        <v>October</v>
      </c>
      <c r="AL604" s="12">
        <f t="shared" si="158"/>
        <v>2024</v>
      </c>
      <c r="AM604" s="6" t="s">
        <v>54</v>
      </c>
      <c r="AN604" s="6" t="s">
        <v>55</v>
      </c>
      <c r="AO604" s="6" t="str">
        <f t="shared" si="150"/>
        <v>Completed</v>
      </c>
    </row>
    <row r="605" spans="1:41">
      <c r="A605" s="6" t="s">
        <v>2899</v>
      </c>
      <c r="B605" s="7" t="s">
        <v>2900</v>
      </c>
      <c r="C605" s="8">
        <v>45660</v>
      </c>
      <c r="D605" s="7" t="s">
        <v>612</v>
      </c>
      <c r="E605" s="9">
        <v>45668</v>
      </c>
      <c r="F605" s="9" t="str">
        <f t="shared" si="143"/>
        <v>Valid</v>
      </c>
      <c r="G605" s="10">
        <f t="shared" si="144"/>
        <v>8</v>
      </c>
      <c r="H605" s="10" t="str">
        <f t="shared" si="145"/>
        <v>Valid</v>
      </c>
      <c r="I605" s="6" t="s">
        <v>500</v>
      </c>
      <c r="J605" s="6" t="s">
        <v>103</v>
      </c>
      <c r="K605" s="6" t="s">
        <v>103</v>
      </c>
      <c r="L605" s="6" t="s">
        <v>128</v>
      </c>
      <c r="M605" s="7" t="str">
        <f t="shared" si="146"/>
        <v>Corporate</v>
      </c>
      <c r="N605" s="6" t="s">
        <v>62</v>
      </c>
      <c r="O605" s="7" t="str">
        <f t="shared" si="147"/>
        <v>East</v>
      </c>
      <c r="P605" s="6" t="s">
        <v>206</v>
      </c>
      <c r="Q605" s="6" t="s">
        <v>207</v>
      </c>
      <c r="R605" s="6" t="s">
        <v>106</v>
      </c>
      <c r="S605" s="7" t="str">
        <f t="shared" si="148"/>
        <v>Technology</v>
      </c>
      <c r="T605" s="6" t="s">
        <v>107</v>
      </c>
      <c r="U605" s="6" t="s">
        <v>2901</v>
      </c>
      <c r="V605" s="6" t="s">
        <v>76</v>
      </c>
      <c r="W605" s="7" t="str">
        <f t="shared" si="149"/>
        <v>First Class</v>
      </c>
      <c r="X605" s="6">
        <v>8</v>
      </c>
      <c r="Y605" s="6">
        <v>2574.29</v>
      </c>
      <c r="Z605" s="6">
        <v>0.05</v>
      </c>
      <c r="AA605" s="6">
        <f t="shared" si="151"/>
        <v>0.05</v>
      </c>
      <c r="AB605" s="6" t="str">
        <f t="shared" si="152"/>
        <v>Valid</v>
      </c>
      <c r="AC605" s="6">
        <v>19564.599999999999</v>
      </c>
      <c r="AD605" s="6" t="str">
        <f>IF(OR(AO605="Cancelled",AM605="Failed"),"Exclude from Completed Sales","Include in Completed Sales")</f>
        <v>Exclude from Completed Sales</v>
      </c>
      <c r="AE605" s="6">
        <f t="shared" si="153"/>
        <v>19564.603999999999</v>
      </c>
      <c r="AF605" s="6" t="str">
        <f t="shared" si="154"/>
        <v/>
      </c>
      <c r="AG605" s="6">
        <v>11154.59</v>
      </c>
      <c r="AH605" s="6">
        <v>8410.01</v>
      </c>
      <c r="AI605" s="6">
        <f t="shared" si="155"/>
        <v>8410.0139999999992</v>
      </c>
      <c r="AJ605" s="11">
        <f t="shared" si="156"/>
        <v>0.42985863654587642</v>
      </c>
      <c r="AK605" s="11" t="str">
        <f t="shared" si="157"/>
        <v>January</v>
      </c>
      <c r="AL605" s="12">
        <f t="shared" si="158"/>
        <v>2025</v>
      </c>
      <c r="AM605" s="6" t="s">
        <v>157</v>
      </c>
      <c r="AN605" s="6" t="s">
        <v>98</v>
      </c>
      <c r="AO605" s="6" t="str">
        <f t="shared" si="150"/>
        <v>Cancelled</v>
      </c>
    </row>
    <row r="606" spans="1:41">
      <c r="A606" s="6" t="s">
        <v>2902</v>
      </c>
      <c r="B606" s="7" t="s">
        <v>2903</v>
      </c>
      <c r="C606" s="8">
        <v>45693</v>
      </c>
      <c r="D606" s="7" t="s">
        <v>2904</v>
      </c>
      <c r="E606" s="9">
        <v>45694</v>
      </c>
      <c r="F606" s="9" t="str">
        <f t="shared" si="143"/>
        <v>Valid</v>
      </c>
      <c r="G606" s="10">
        <f t="shared" si="144"/>
        <v>1</v>
      </c>
      <c r="H606" s="10" t="str">
        <f t="shared" si="145"/>
        <v>Valid</v>
      </c>
      <c r="I606" s="6" t="s">
        <v>2905</v>
      </c>
      <c r="J606" s="6" t="s">
        <v>92</v>
      </c>
      <c r="K606" s="6" t="s">
        <v>92</v>
      </c>
      <c r="L606" s="6" t="s">
        <v>46</v>
      </c>
      <c r="M606" s="7" t="str">
        <f t="shared" si="146"/>
        <v>Consumer</v>
      </c>
      <c r="N606" s="6" t="s">
        <v>93</v>
      </c>
      <c r="O606" s="7" t="str">
        <f t="shared" si="147"/>
        <v>West</v>
      </c>
      <c r="P606" s="6" t="s">
        <v>104</v>
      </c>
      <c r="Q606" s="6" t="s">
        <v>105</v>
      </c>
      <c r="R606" s="6" t="s">
        <v>50</v>
      </c>
      <c r="S606" s="7" t="str">
        <f t="shared" si="148"/>
        <v>Office Supplies</v>
      </c>
      <c r="T606" s="6" t="s">
        <v>218</v>
      </c>
      <c r="U606" s="6" t="s">
        <v>2906</v>
      </c>
      <c r="V606" s="6" t="s">
        <v>68</v>
      </c>
      <c r="W606" s="7" t="str">
        <f t="shared" si="149"/>
        <v>Same Day</v>
      </c>
      <c r="X606" s="6">
        <v>3</v>
      </c>
      <c r="Y606" s="6">
        <v>1076.3</v>
      </c>
      <c r="Z606" s="6">
        <v>0</v>
      </c>
      <c r="AA606" s="6">
        <f t="shared" si="151"/>
        <v>0</v>
      </c>
      <c r="AB606" s="6" t="str">
        <f t="shared" si="152"/>
        <v>Valid</v>
      </c>
      <c r="AC606" s="6">
        <v>3228.9</v>
      </c>
      <c r="AD606" s="6" t="str">
        <f>IF(OR(AO606="Cancelled",AM606="Failed"),"Exclude from Completed Sales","Include in Completed Sales")</f>
        <v>Include in Completed Sales</v>
      </c>
      <c r="AE606" s="6">
        <f t="shared" si="153"/>
        <v>3228.8999999999996</v>
      </c>
      <c r="AF606" s="6" t="str">
        <f t="shared" si="154"/>
        <v/>
      </c>
      <c r="AG606" s="6">
        <v>1853.23</v>
      </c>
      <c r="AH606" s="6">
        <v>1375.67</v>
      </c>
      <c r="AI606" s="6">
        <f t="shared" si="155"/>
        <v>1375.6699999999996</v>
      </c>
      <c r="AJ606" s="11">
        <f t="shared" si="156"/>
        <v>0.42604911889497965</v>
      </c>
      <c r="AK606" s="11" t="str">
        <f t="shared" si="157"/>
        <v>February</v>
      </c>
      <c r="AL606" s="12">
        <f t="shared" si="158"/>
        <v>2025</v>
      </c>
      <c r="AM606" s="6" t="s">
        <v>54</v>
      </c>
      <c r="AN606" s="6" t="s">
        <v>55</v>
      </c>
      <c r="AO606" s="6" t="str">
        <f t="shared" si="150"/>
        <v>Completed</v>
      </c>
    </row>
    <row r="607" spans="1:41">
      <c r="A607" s="6" t="s">
        <v>2907</v>
      </c>
      <c r="B607" s="7" t="s">
        <v>2633</v>
      </c>
      <c r="C607" s="8">
        <v>45847</v>
      </c>
      <c r="D607" s="7" t="s">
        <v>2908</v>
      </c>
      <c r="E607" s="9">
        <v>45851</v>
      </c>
      <c r="F607" s="9" t="str">
        <f t="shared" si="143"/>
        <v>Valid</v>
      </c>
      <c r="G607" s="10">
        <f t="shared" si="144"/>
        <v>4</v>
      </c>
      <c r="H607" s="10" t="str">
        <f t="shared" si="145"/>
        <v>Valid</v>
      </c>
      <c r="I607" s="6" t="s">
        <v>2909</v>
      </c>
      <c r="J607" s="6" t="s">
        <v>386</v>
      </c>
      <c r="K607" s="6" t="s">
        <v>386</v>
      </c>
      <c r="L607" s="6" t="s">
        <v>128</v>
      </c>
      <c r="M607" s="7" t="str">
        <f t="shared" si="146"/>
        <v>Corporate</v>
      </c>
      <c r="N607" s="6" t="s">
        <v>93</v>
      </c>
      <c r="O607" s="7" t="str">
        <f t="shared" si="147"/>
        <v>West</v>
      </c>
      <c r="P607" s="6" t="s">
        <v>269</v>
      </c>
      <c r="Q607" s="6" t="s">
        <v>270</v>
      </c>
      <c r="R607" s="6" t="s">
        <v>65</v>
      </c>
      <c r="S607" s="7" t="str">
        <f t="shared" si="148"/>
        <v>Furniture</v>
      </c>
      <c r="T607" s="6" t="s">
        <v>85</v>
      </c>
      <c r="U607" s="6" t="s">
        <v>2910</v>
      </c>
      <c r="V607" s="6" t="s">
        <v>53</v>
      </c>
      <c r="W607" s="7" t="str">
        <f t="shared" si="149"/>
        <v>Second Class</v>
      </c>
      <c r="X607" s="6">
        <v>5</v>
      </c>
      <c r="Y607" s="6">
        <v>1680.01</v>
      </c>
      <c r="Z607" s="6" t="s">
        <v>1190</v>
      </c>
      <c r="AA607" s="6" t="str">
        <f t="shared" si="151"/>
        <v>85%</v>
      </c>
      <c r="AB607" s="6" t="str">
        <f t="shared" si="152"/>
        <v>Invalid - Discount Above Limit</v>
      </c>
      <c r="AC607" s="6">
        <v>7560.04</v>
      </c>
      <c r="AD607" s="6" t="str">
        <f>IF(OR(AO607="Cancelled",AM607="Failed"),"Exclude from Completed Sales","Include in Completed Sales")</f>
        <v>Exclude from Completed Sales</v>
      </c>
      <c r="AE607" s="6">
        <f t="shared" si="153"/>
        <v>1260.0075000000002</v>
      </c>
      <c r="AF607" s="6" t="str">
        <f t="shared" si="154"/>
        <v/>
      </c>
      <c r="AG607" s="6">
        <v>6448.05</v>
      </c>
      <c r="AH607" s="6">
        <v>1111.99</v>
      </c>
      <c r="AI607" s="6">
        <f t="shared" si="155"/>
        <v>-5188.0424999999996</v>
      </c>
      <c r="AJ607" s="11">
        <f t="shared" si="156"/>
        <v>-4.1174695388717915</v>
      </c>
      <c r="AK607" s="11" t="str">
        <f t="shared" si="157"/>
        <v>July</v>
      </c>
      <c r="AL607" s="12">
        <f t="shared" si="158"/>
        <v>2025</v>
      </c>
      <c r="AM607" s="6" t="s">
        <v>54</v>
      </c>
      <c r="AN607" s="6" t="s">
        <v>98</v>
      </c>
      <c r="AO607" s="6" t="str">
        <f t="shared" si="150"/>
        <v>Cancelled</v>
      </c>
    </row>
    <row r="608" spans="1:41">
      <c r="A608" s="6" t="s">
        <v>2911</v>
      </c>
      <c r="B608" s="7" t="s">
        <v>2912</v>
      </c>
      <c r="C608" s="8">
        <v>45710</v>
      </c>
      <c r="D608" s="7" t="s">
        <v>2548</v>
      </c>
      <c r="E608" s="9">
        <v>45716</v>
      </c>
      <c r="F608" s="9" t="str">
        <f t="shared" si="143"/>
        <v>Valid</v>
      </c>
      <c r="G608" s="10">
        <f t="shared" si="144"/>
        <v>6</v>
      </c>
      <c r="H608" s="10" t="str">
        <f t="shared" si="145"/>
        <v>Valid</v>
      </c>
      <c r="I608" s="6" t="s">
        <v>2913</v>
      </c>
      <c r="J608" s="6" t="s">
        <v>168</v>
      </c>
      <c r="K608" s="6" t="s">
        <v>168</v>
      </c>
      <c r="L608" s="6" t="s">
        <v>135</v>
      </c>
      <c r="M608" s="7" t="str">
        <f t="shared" si="146"/>
        <v>Home Office</v>
      </c>
      <c r="N608" s="6" t="s">
        <v>93</v>
      </c>
      <c r="O608" s="7" t="str">
        <f t="shared" si="147"/>
        <v>West</v>
      </c>
      <c r="P608" s="6" t="s">
        <v>104</v>
      </c>
      <c r="Q608" s="6" t="s">
        <v>105</v>
      </c>
      <c r="R608" s="6" t="s">
        <v>106</v>
      </c>
      <c r="S608" s="7" t="str">
        <f t="shared" si="148"/>
        <v>Technology</v>
      </c>
      <c r="T608" s="6" t="s">
        <v>114</v>
      </c>
      <c r="U608" s="6" t="s">
        <v>2914</v>
      </c>
      <c r="V608" s="6" t="s">
        <v>68</v>
      </c>
      <c r="W608" s="7" t="str">
        <f t="shared" si="149"/>
        <v>Same Day</v>
      </c>
      <c r="X608" s="6">
        <v>3</v>
      </c>
      <c r="Y608" s="6">
        <v>3890.81</v>
      </c>
      <c r="Z608" s="6">
        <v>0.25</v>
      </c>
      <c r="AA608" s="6">
        <f t="shared" si="151"/>
        <v>0.25</v>
      </c>
      <c r="AB608" s="6" t="str">
        <f t="shared" si="152"/>
        <v>Valid</v>
      </c>
      <c r="AC608" s="6">
        <v>8754.32</v>
      </c>
      <c r="AD608" s="6" t="str">
        <f>IF(OR(AO608="Cancelled",AM608="Failed"),"Exclude from Completed Sales","Include in Completed Sales")</f>
        <v>Include in Completed Sales</v>
      </c>
      <c r="AE608" s="6">
        <f t="shared" si="153"/>
        <v>8754.3225000000002</v>
      </c>
      <c r="AF608" s="6" t="str">
        <f t="shared" si="154"/>
        <v/>
      </c>
      <c r="AG608" s="6">
        <v>6238.9</v>
      </c>
      <c r="AH608" s="6">
        <v>2515.42</v>
      </c>
      <c r="AI608" s="6">
        <f t="shared" si="155"/>
        <v>2515.4225000000006</v>
      </c>
      <c r="AJ608" s="11">
        <f t="shared" si="156"/>
        <v>0.28733491369549163</v>
      </c>
      <c r="AK608" s="11" t="str">
        <f t="shared" si="157"/>
        <v>February</v>
      </c>
      <c r="AL608" s="12">
        <f t="shared" si="158"/>
        <v>2025</v>
      </c>
      <c r="AM608" s="6" t="s">
        <v>54</v>
      </c>
      <c r="AN608" s="6" t="s">
        <v>55</v>
      </c>
      <c r="AO608" s="6" t="str">
        <f t="shared" si="150"/>
        <v>Completed</v>
      </c>
    </row>
    <row r="609" spans="1:41">
      <c r="A609" s="6" t="s">
        <v>2915</v>
      </c>
      <c r="B609" s="7" t="s">
        <v>2866</v>
      </c>
      <c r="C609" s="8">
        <v>45704</v>
      </c>
      <c r="D609" s="7" t="s">
        <v>2912</v>
      </c>
      <c r="E609" s="9">
        <v>45710</v>
      </c>
      <c r="F609" s="9" t="str">
        <f t="shared" si="143"/>
        <v>Valid</v>
      </c>
      <c r="G609" s="10">
        <f t="shared" si="144"/>
        <v>6</v>
      </c>
      <c r="H609" s="10" t="str">
        <f t="shared" si="145"/>
        <v>Valid</v>
      </c>
      <c r="I609" s="6" t="s">
        <v>2916</v>
      </c>
      <c r="J609" s="6" t="s">
        <v>188</v>
      </c>
      <c r="K609" s="6" t="s">
        <v>188</v>
      </c>
      <c r="L609" s="6" t="s">
        <v>135</v>
      </c>
      <c r="M609" s="7" t="str">
        <f t="shared" si="146"/>
        <v>Home Office</v>
      </c>
      <c r="N609" s="6" t="s">
        <v>62</v>
      </c>
      <c r="O609" s="7" t="str">
        <f t="shared" si="147"/>
        <v>East</v>
      </c>
      <c r="P609" s="6" t="s">
        <v>206</v>
      </c>
      <c r="Q609" s="6" t="s">
        <v>207</v>
      </c>
      <c r="R609" s="6" t="s">
        <v>50</v>
      </c>
      <c r="S609" s="7" t="str">
        <f t="shared" si="148"/>
        <v>Office Supplies</v>
      </c>
      <c r="T609" s="6" t="s">
        <v>176</v>
      </c>
      <c r="U609" s="6" t="s">
        <v>2917</v>
      </c>
      <c r="V609" s="6" t="s">
        <v>68</v>
      </c>
      <c r="W609" s="7" t="str">
        <f t="shared" si="149"/>
        <v>Same Day</v>
      </c>
      <c r="X609" s="6">
        <v>5</v>
      </c>
      <c r="Y609" s="6">
        <v>954.67</v>
      </c>
      <c r="Z609" s="6">
        <v>0.15</v>
      </c>
      <c r="AA609" s="6">
        <f t="shared" si="151"/>
        <v>0.15</v>
      </c>
      <c r="AB609" s="6" t="str">
        <f t="shared" si="152"/>
        <v>Valid</v>
      </c>
      <c r="AC609" s="6">
        <v>4057.35</v>
      </c>
      <c r="AD609" s="6" t="str">
        <f>IF(OR(AO609="Cancelled",AM609="Failed"),"Exclude from Completed Sales","Include in Completed Sales")</f>
        <v>Include in Completed Sales</v>
      </c>
      <c r="AE609" s="6">
        <f t="shared" si="153"/>
        <v>4057.3474999999994</v>
      </c>
      <c r="AF609" s="6" t="str">
        <f t="shared" si="154"/>
        <v/>
      </c>
      <c r="AG609" s="6">
        <v>2862.03</v>
      </c>
      <c r="AH609" s="6">
        <v>1195.32</v>
      </c>
      <c r="AI609" s="6">
        <f t="shared" si="155"/>
        <v>1195.3174999999992</v>
      </c>
      <c r="AJ609" s="11">
        <f t="shared" si="156"/>
        <v>0.29460565061286947</v>
      </c>
      <c r="AK609" s="11" t="str">
        <f t="shared" si="157"/>
        <v>February</v>
      </c>
      <c r="AL609" s="12">
        <f t="shared" si="158"/>
        <v>2025</v>
      </c>
      <c r="AM609" s="6" t="s">
        <v>54</v>
      </c>
      <c r="AN609" s="6" t="s">
        <v>55</v>
      </c>
      <c r="AO609" s="6" t="str">
        <f t="shared" si="150"/>
        <v>Completed</v>
      </c>
    </row>
    <row r="610" spans="1:41">
      <c r="A610" s="6" t="s">
        <v>2918</v>
      </c>
      <c r="B610" s="7" t="s">
        <v>2172</v>
      </c>
      <c r="C610" s="8">
        <v>45464</v>
      </c>
      <c r="D610" s="7" t="s">
        <v>1573</v>
      </c>
      <c r="E610" s="9">
        <v>45466</v>
      </c>
      <c r="F610" s="9" t="str">
        <f t="shared" si="143"/>
        <v>Valid</v>
      </c>
      <c r="G610" s="10">
        <f t="shared" si="144"/>
        <v>2</v>
      </c>
      <c r="H610" s="10" t="str">
        <f t="shared" si="145"/>
        <v>Valid</v>
      </c>
      <c r="I610" s="6" t="s">
        <v>2594</v>
      </c>
      <c r="J610" s="6" t="s">
        <v>45</v>
      </c>
      <c r="K610" s="6" t="s">
        <v>45</v>
      </c>
      <c r="L610" s="6" t="s">
        <v>135</v>
      </c>
      <c r="M610" s="7" t="str">
        <f t="shared" si="146"/>
        <v>Home Office</v>
      </c>
      <c r="N610" s="6" t="s">
        <v>93</v>
      </c>
      <c r="O610" s="7" t="str">
        <f t="shared" si="147"/>
        <v>West</v>
      </c>
      <c r="P610" s="6" t="s">
        <v>269</v>
      </c>
      <c r="Q610" s="6" t="s">
        <v>270</v>
      </c>
      <c r="R610" s="6" t="s">
        <v>65</v>
      </c>
      <c r="S610" s="7" t="str">
        <f t="shared" si="148"/>
        <v>Furniture</v>
      </c>
      <c r="T610" s="6" t="s">
        <v>85</v>
      </c>
      <c r="U610" s="6" t="s">
        <v>2919</v>
      </c>
      <c r="V610" s="6" t="s">
        <v>53</v>
      </c>
      <c r="W610" s="7" t="str">
        <f t="shared" si="149"/>
        <v>Second Class</v>
      </c>
      <c r="X610" s="6">
        <v>9</v>
      </c>
      <c r="Y610" s="6">
        <v>2153.75</v>
      </c>
      <c r="Z610" s="6">
        <v>0</v>
      </c>
      <c r="AA610" s="6">
        <f t="shared" si="151"/>
        <v>0</v>
      </c>
      <c r="AB610" s="6" t="str">
        <f t="shared" si="152"/>
        <v>Valid</v>
      </c>
      <c r="AC610" s="6">
        <v>19383.75</v>
      </c>
      <c r="AD610" s="6" t="str">
        <f>IF(OR(AO610="Cancelled",AM610="Failed"),"Exclude from Completed Sales","Include in Completed Sales")</f>
        <v>Include in Completed Sales</v>
      </c>
      <c r="AE610" s="6">
        <f t="shared" si="153"/>
        <v>19383.75</v>
      </c>
      <c r="AF610" s="6" t="str">
        <f t="shared" si="154"/>
        <v/>
      </c>
      <c r="AG610" s="6">
        <v>11667.43</v>
      </c>
      <c r="AH610" s="6">
        <v>7716.32</v>
      </c>
      <c r="AI610" s="6">
        <f t="shared" si="155"/>
        <v>7716.32</v>
      </c>
      <c r="AJ610" s="11">
        <f t="shared" si="156"/>
        <v>0.39808189849745274</v>
      </c>
      <c r="AK610" s="11" t="str">
        <f t="shared" si="157"/>
        <v>June</v>
      </c>
      <c r="AL610" s="12">
        <f t="shared" si="158"/>
        <v>2024</v>
      </c>
      <c r="AM610" s="6" t="s">
        <v>54</v>
      </c>
      <c r="AN610" s="6" t="s">
        <v>55</v>
      </c>
      <c r="AO610" s="6" t="str">
        <f t="shared" si="150"/>
        <v>Completed</v>
      </c>
    </row>
    <row r="611" spans="1:41">
      <c r="A611" s="6" t="s">
        <v>2920</v>
      </c>
      <c r="B611" s="7" t="s">
        <v>2075</v>
      </c>
      <c r="C611" s="8">
        <v>45665</v>
      </c>
      <c r="D611" s="7" t="s">
        <v>1196</v>
      </c>
      <c r="E611" s="9">
        <v>45669</v>
      </c>
      <c r="F611" s="9" t="str">
        <f t="shared" si="143"/>
        <v>Valid</v>
      </c>
      <c r="G611" s="10">
        <f t="shared" si="144"/>
        <v>4</v>
      </c>
      <c r="H611" s="10" t="str">
        <f t="shared" si="145"/>
        <v>Valid</v>
      </c>
      <c r="I611" s="6" t="s">
        <v>2921</v>
      </c>
      <c r="J611" s="6" t="s">
        <v>188</v>
      </c>
      <c r="K611" s="6" t="s">
        <v>188</v>
      </c>
      <c r="L611" s="6" t="s">
        <v>135</v>
      </c>
      <c r="M611" s="7" t="str">
        <f t="shared" si="146"/>
        <v>Home Office</v>
      </c>
      <c r="N611" s="6" t="s">
        <v>82</v>
      </c>
      <c r="O611" s="7" t="str">
        <f t="shared" si="147"/>
        <v>South</v>
      </c>
      <c r="P611" s="6" t="s">
        <v>249</v>
      </c>
      <c r="Q611" s="6" t="s">
        <v>250</v>
      </c>
      <c r="R611" s="6" t="s">
        <v>65</v>
      </c>
      <c r="S611" s="7" t="b">
        <f>R590=PROPER(TRIM(R611))</f>
        <v>0</v>
      </c>
      <c r="T611" s="6" t="s">
        <v>96</v>
      </c>
      <c r="U611" s="6" t="s">
        <v>2922</v>
      </c>
      <c r="V611" s="6" t="s">
        <v>87</v>
      </c>
      <c r="W611" s="7" t="str">
        <f t="shared" si="149"/>
        <v>Standard Class</v>
      </c>
      <c r="X611" s="6">
        <v>7</v>
      </c>
      <c r="Y611" s="6">
        <v>4337.4799999999996</v>
      </c>
      <c r="Z611" s="6">
        <v>0</v>
      </c>
      <c r="AA611" s="6">
        <f t="shared" si="151"/>
        <v>0</v>
      </c>
      <c r="AB611" s="6" t="str">
        <f t="shared" si="152"/>
        <v>Valid</v>
      </c>
      <c r="AC611" s="6">
        <v>30362.36</v>
      </c>
      <c r="AD611" s="6" t="str">
        <f>IF(OR(AO611="Cancelled",AM611="Failed"),"Exclude from Completed Sales","Include in Completed Sales")</f>
        <v>Include in Completed Sales</v>
      </c>
      <c r="AE611" s="6">
        <f t="shared" si="153"/>
        <v>30362.359999999997</v>
      </c>
      <c r="AF611" s="6" t="str">
        <f t="shared" si="154"/>
        <v/>
      </c>
      <c r="AG611" s="6">
        <v>25065.4</v>
      </c>
      <c r="AH611" s="6">
        <v>5296.96</v>
      </c>
      <c r="AI611" s="6">
        <f t="shared" si="155"/>
        <v>5296.9599999999955</v>
      </c>
      <c r="AJ611" s="11">
        <f t="shared" si="156"/>
        <v>0.17445811195177174</v>
      </c>
      <c r="AK611" s="11" t="str">
        <f t="shared" si="157"/>
        <v>January</v>
      </c>
      <c r="AL611" s="12">
        <f t="shared" si="158"/>
        <v>2025</v>
      </c>
      <c r="AM611" s="6" t="s">
        <v>54</v>
      </c>
      <c r="AN611" s="6" t="s">
        <v>55</v>
      </c>
      <c r="AO611" s="6" t="str">
        <f t="shared" si="150"/>
        <v>Completed</v>
      </c>
    </row>
    <row r="612" spans="1:41">
      <c r="A612" s="6" t="s">
        <v>2923</v>
      </c>
      <c r="B612" s="7" t="s">
        <v>2924</v>
      </c>
      <c r="C612" s="8">
        <v>45432</v>
      </c>
      <c r="D612" s="7" t="s">
        <v>2925</v>
      </c>
      <c r="E612" s="9">
        <v>45432</v>
      </c>
      <c r="F612" s="9" t="str">
        <f t="shared" si="143"/>
        <v>Valid</v>
      </c>
      <c r="G612" s="10">
        <f t="shared" si="144"/>
        <v>0</v>
      </c>
      <c r="H612" s="10" t="str">
        <f t="shared" si="145"/>
        <v>Valid</v>
      </c>
      <c r="I612" s="6" t="s">
        <v>2100</v>
      </c>
      <c r="J612" s="6" t="s">
        <v>45</v>
      </c>
      <c r="K612" s="6" t="s">
        <v>45</v>
      </c>
      <c r="L612" s="6" t="s">
        <v>135</v>
      </c>
      <c r="M612" s="7" t="str">
        <f t="shared" si="146"/>
        <v>Home Office</v>
      </c>
      <c r="N612" s="6" t="s">
        <v>93</v>
      </c>
      <c r="O612" s="7" t="str">
        <f t="shared" si="147"/>
        <v>West</v>
      </c>
      <c r="P612" s="6" t="s">
        <v>104</v>
      </c>
      <c r="Q612" s="6" t="s">
        <v>105</v>
      </c>
      <c r="R612" s="6" t="s">
        <v>65</v>
      </c>
      <c r="S612" s="7" t="str">
        <f t="shared" si="148"/>
        <v>Furniture</v>
      </c>
      <c r="T612" s="6" t="s">
        <v>96</v>
      </c>
      <c r="U612" s="6" t="s">
        <v>2926</v>
      </c>
      <c r="V612" s="6" t="s">
        <v>87</v>
      </c>
      <c r="W612" s="7" t="str">
        <f t="shared" si="149"/>
        <v>Standard Class</v>
      </c>
      <c r="X612" s="6">
        <v>1</v>
      </c>
      <c r="Y612" s="6">
        <v>3032.95</v>
      </c>
      <c r="Z612" s="6">
        <v>0.1</v>
      </c>
      <c r="AA612" s="6">
        <f t="shared" si="151"/>
        <v>0.1</v>
      </c>
      <c r="AB612" s="6" t="str">
        <f t="shared" si="152"/>
        <v>Valid</v>
      </c>
      <c r="AC612" s="6">
        <v>2729.65</v>
      </c>
      <c r="AD612" s="6" t="str">
        <f>IF(OR(AO612="Cancelled",AM612="Failed"),"Exclude from Completed Sales","Include in Completed Sales")</f>
        <v>Include in Completed Sales</v>
      </c>
      <c r="AE612" s="6">
        <f t="shared" si="153"/>
        <v>2729.6549999999997</v>
      </c>
      <c r="AF612" s="6" t="str">
        <f t="shared" si="154"/>
        <v/>
      </c>
      <c r="AG612" s="6">
        <v>1715.36</v>
      </c>
      <c r="AH612" s="6">
        <v>1014.29</v>
      </c>
      <c r="AI612" s="6">
        <f t="shared" si="155"/>
        <v>1014.2949999999998</v>
      </c>
      <c r="AJ612" s="11">
        <f t="shared" si="156"/>
        <v>0.37158358840219735</v>
      </c>
      <c r="AK612" s="11" t="str">
        <f t="shared" si="157"/>
        <v>May</v>
      </c>
      <c r="AL612" s="12">
        <f t="shared" si="158"/>
        <v>2024</v>
      </c>
      <c r="AM612" s="6" t="s">
        <v>54</v>
      </c>
      <c r="AN612" s="6" t="s">
        <v>55</v>
      </c>
      <c r="AO612" s="6" t="str">
        <f t="shared" si="150"/>
        <v>Completed</v>
      </c>
    </row>
    <row r="613" spans="1:41">
      <c r="A613" s="6" t="s">
        <v>2927</v>
      </c>
      <c r="B613" s="7" t="s">
        <v>2632</v>
      </c>
      <c r="C613" s="8">
        <v>45846</v>
      </c>
      <c r="D613" s="7" t="s">
        <v>2928</v>
      </c>
      <c r="E613" s="9">
        <v>45853</v>
      </c>
      <c r="F613" s="9" t="str">
        <f t="shared" si="143"/>
        <v>Valid</v>
      </c>
      <c r="G613" s="10">
        <f t="shared" si="144"/>
        <v>7</v>
      </c>
      <c r="H613" s="10" t="str">
        <f t="shared" si="145"/>
        <v>Valid</v>
      </c>
      <c r="I613" s="6" t="s">
        <v>2929</v>
      </c>
      <c r="J613" s="6" t="s">
        <v>92</v>
      </c>
      <c r="K613" s="6" t="s">
        <v>92</v>
      </c>
      <c r="L613" s="6" t="s">
        <v>61</v>
      </c>
      <c r="M613" s="7" t="str">
        <f t="shared" si="146"/>
        <v>Small Business</v>
      </c>
      <c r="N613" s="6" t="s">
        <v>47</v>
      </c>
      <c r="O613" s="7" t="str">
        <f t="shared" si="147"/>
        <v>North</v>
      </c>
      <c r="P613" s="6" t="s">
        <v>48</v>
      </c>
      <c r="Q613" s="6" t="s">
        <v>49</v>
      </c>
      <c r="R613" s="6" t="s">
        <v>50</v>
      </c>
      <c r="S613" s="7" t="str">
        <f t="shared" si="148"/>
        <v>Office Supplies</v>
      </c>
      <c r="T613" s="6" t="s">
        <v>218</v>
      </c>
      <c r="U613" s="6" t="s">
        <v>2930</v>
      </c>
      <c r="V613" s="6" t="s">
        <v>68</v>
      </c>
      <c r="W613" s="7" t="str">
        <f t="shared" si="149"/>
        <v>Same Day</v>
      </c>
      <c r="X613" s="6">
        <v>8</v>
      </c>
      <c r="Y613" s="6">
        <v>655.28</v>
      </c>
      <c r="Z613" s="6">
        <v>0.1</v>
      </c>
      <c r="AA613" s="6">
        <f t="shared" si="151"/>
        <v>0.1</v>
      </c>
      <c r="AB613" s="6" t="str">
        <f t="shared" si="152"/>
        <v>Valid</v>
      </c>
      <c r="AC613" s="6">
        <v>4718.0200000000004</v>
      </c>
      <c r="AD613" s="6" t="str">
        <f>IF(OR(AO613="Cancelled",AM613="Failed"),"Exclude from Completed Sales","Include in Completed Sales")</f>
        <v>Include in Completed Sales</v>
      </c>
      <c r="AE613" s="6">
        <f t="shared" si="153"/>
        <v>4718.0159999999996</v>
      </c>
      <c r="AF613" s="6" t="str">
        <f t="shared" si="154"/>
        <v/>
      </c>
      <c r="AG613" s="6">
        <v>3908.23</v>
      </c>
      <c r="AH613" s="6">
        <v>809.79</v>
      </c>
      <c r="AI613" s="6">
        <f t="shared" si="155"/>
        <v>809.7859999999996</v>
      </c>
      <c r="AJ613" s="11">
        <f t="shared" si="156"/>
        <v>0.17163697622051297</v>
      </c>
      <c r="AK613" s="11" t="str">
        <f t="shared" si="157"/>
        <v>July</v>
      </c>
      <c r="AL613" s="12">
        <f t="shared" si="158"/>
        <v>2025</v>
      </c>
      <c r="AM613" s="6" t="s">
        <v>54</v>
      </c>
      <c r="AN613" s="6" t="s">
        <v>55</v>
      </c>
      <c r="AO613" s="6" t="str">
        <f t="shared" si="150"/>
        <v>Completed</v>
      </c>
    </row>
    <row r="614" spans="1:41">
      <c r="A614" s="6" t="s">
        <v>2931</v>
      </c>
      <c r="B614" s="7" t="s">
        <v>2932</v>
      </c>
      <c r="C614" s="8">
        <v>45753</v>
      </c>
      <c r="D614" s="7" t="s">
        <v>2933</v>
      </c>
      <c r="E614" s="9">
        <v>45760</v>
      </c>
      <c r="F614" s="9" t="str">
        <f t="shared" si="143"/>
        <v>Valid</v>
      </c>
      <c r="G614" s="10">
        <f t="shared" si="144"/>
        <v>7</v>
      </c>
      <c r="H614" s="10" t="str">
        <f t="shared" si="145"/>
        <v>Valid</v>
      </c>
      <c r="I614" s="6" t="s">
        <v>2934</v>
      </c>
      <c r="J614" s="6" t="s">
        <v>127</v>
      </c>
      <c r="K614" s="6" t="s">
        <v>127</v>
      </c>
      <c r="L614" s="6" t="s">
        <v>46</v>
      </c>
      <c r="M614" s="7" t="str">
        <f t="shared" si="146"/>
        <v>Consumer</v>
      </c>
      <c r="N614" s="6"/>
      <c r="O614" s="7" t="str">
        <f t="shared" si="147"/>
        <v>Unknown</v>
      </c>
      <c r="P614" s="6" t="s">
        <v>63</v>
      </c>
      <c r="Q614" s="6" t="s">
        <v>64</v>
      </c>
      <c r="R614" s="6" t="s">
        <v>106</v>
      </c>
      <c r="S614" s="7" t="str">
        <f t="shared" si="148"/>
        <v>Technology</v>
      </c>
      <c r="T614" s="6" t="s">
        <v>243</v>
      </c>
      <c r="U614" s="6" t="s">
        <v>2935</v>
      </c>
      <c r="V614" s="6" t="s">
        <v>87</v>
      </c>
      <c r="W614" s="7" t="str">
        <f t="shared" si="149"/>
        <v>Standard Class</v>
      </c>
      <c r="X614" s="6">
        <v>1</v>
      </c>
      <c r="Y614" s="6">
        <v>3844.01</v>
      </c>
      <c r="Z614" s="6">
        <v>0</v>
      </c>
      <c r="AA614" s="6">
        <f t="shared" si="151"/>
        <v>0</v>
      </c>
      <c r="AB614" s="6" t="str">
        <f t="shared" si="152"/>
        <v>Valid</v>
      </c>
      <c r="AC614" s="6">
        <v>3844.01</v>
      </c>
      <c r="AD614" s="6" t="str">
        <f>IF(OR(AO614="Cancelled",AM614="Failed"),"Exclude from Completed Sales","Include in Completed Sales")</f>
        <v>Include in Completed Sales</v>
      </c>
      <c r="AE614" s="6">
        <f t="shared" si="153"/>
        <v>3844.01</v>
      </c>
      <c r="AF614" s="6" t="str">
        <f t="shared" si="154"/>
        <v/>
      </c>
      <c r="AG614" s="6">
        <v>2195.79</v>
      </c>
      <c r="AH614" s="6">
        <v>1648.22</v>
      </c>
      <c r="AI614" s="6">
        <f t="shared" si="155"/>
        <v>1648.2200000000003</v>
      </c>
      <c r="AJ614" s="11">
        <f t="shared" si="156"/>
        <v>0.42877619985379856</v>
      </c>
      <c r="AK614" s="11" t="str">
        <f t="shared" si="157"/>
        <v>April</v>
      </c>
      <c r="AL614" s="12">
        <f t="shared" si="158"/>
        <v>2025</v>
      </c>
      <c r="AM614" s="6" t="s">
        <v>54</v>
      </c>
      <c r="AN614" s="6" t="s">
        <v>55</v>
      </c>
      <c r="AO614" s="6" t="str">
        <f t="shared" si="150"/>
        <v>Completed</v>
      </c>
    </row>
    <row r="615" spans="1:41">
      <c r="A615" s="6" t="s">
        <v>2936</v>
      </c>
      <c r="B615" s="7" t="s">
        <v>2468</v>
      </c>
      <c r="C615" s="8">
        <v>45570</v>
      </c>
      <c r="D615" s="7" t="s">
        <v>2937</v>
      </c>
      <c r="E615" s="9">
        <v>45575</v>
      </c>
      <c r="F615" s="9" t="str">
        <f t="shared" si="143"/>
        <v>Valid</v>
      </c>
      <c r="G615" s="10">
        <f t="shared" si="144"/>
        <v>5</v>
      </c>
      <c r="H615" s="10" t="str">
        <f t="shared" si="145"/>
        <v>Valid</v>
      </c>
      <c r="I615" s="6" t="s">
        <v>2938</v>
      </c>
      <c r="J615" s="6" t="s">
        <v>230</v>
      </c>
      <c r="K615" s="6" t="s">
        <v>230</v>
      </c>
      <c r="L615" s="6" t="s">
        <v>135</v>
      </c>
      <c r="M615" s="7" t="str">
        <f t="shared" si="146"/>
        <v>Home Office</v>
      </c>
      <c r="N615" s="6" t="s">
        <v>93</v>
      </c>
      <c r="O615" s="7" t="str">
        <f t="shared" si="147"/>
        <v>West</v>
      </c>
      <c r="P615" s="6" t="s">
        <v>255</v>
      </c>
      <c r="Q615" s="6" t="s">
        <v>256</v>
      </c>
      <c r="R615" s="6" t="s">
        <v>106</v>
      </c>
      <c r="S615" s="7" t="str">
        <f t="shared" si="148"/>
        <v>Technology</v>
      </c>
      <c r="T615" s="6" t="s">
        <v>402</v>
      </c>
      <c r="U615" s="6" t="s">
        <v>2939</v>
      </c>
      <c r="V615" s="6" t="s">
        <v>68</v>
      </c>
      <c r="W615" s="7" t="str">
        <f t="shared" si="149"/>
        <v>Same Day</v>
      </c>
      <c r="X615" s="6">
        <v>9</v>
      </c>
      <c r="Y615" s="6">
        <v>3361.3</v>
      </c>
      <c r="Z615" s="6">
        <v>0.25</v>
      </c>
      <c r="AA615" s="6">
        <f t="shared" si="151"/>
        <v>0.25</v>
      </c>
      <c r="AB615" s="6" t="str">
        <f t="shared" si="152"/>
        <v>Valid</v>
      </c>
      <c r="AC615" s="6">
        <v>22688.78</v>
      </c>
      <c r="AD615" s="6" t="str">
        <f>IF(OR(AO615="Cancelled",AM615="Failed"),"Exclude from Completed Sales","Include in Completed Sales")</f>
        <v>Include in Completed Sales</v>
      </c>
      <c r="AE615" s="6">
        <f t="shared" si="153"/>
        <v>22688.775000000001</v>
      </c>
      <c r="AF615" s="6" t="str">
        <f t="shared" si="154"/>
        <v/>
      </c>
      <c r="AG615" s="6">
        <v>14672.41</v>
      </c>
      <c r="AH615" s="6">
        <v>8016.37</v>
      </c>
      <c r="AI615" s="6">
        <f t="shared" si="155"/>
        <v>8016.3650000000016</v>
      </c>
      <c r="AJ615" s="11">
        <f t="shared" si="156"/>
        <v>0.35331854628555315</v>
      </c>
      <c r="AK615" s="11" t="str">
        <f t="shared" si="157"/>
        <v>October</v>
      </c>
      <c r="AL615" s="12">
        <f t="shared" si="158"/>
        <v>2024</v>
      </c>
      <c r="AM615" s="6" t="s">
        <v>54</v>
      </c>
      <c r="AN615" s="6" t="s">
        <v>55</v>
      </c>
      <c r="AO615" s="6" t="str">
        <f t="shared" si="150"/>
        <v>Completed</v>
      </c>
    </row>
    <row r="616" spans="1:41">
      <c r="A616" s="6" t="s">
        <v>2940</v>
      </c>
      <c r="B616" s="7" t="s">
        <v>2326</v>
      </c>
      <c r="C616" s="8">
        <v>45333</v>
      </c>
      <c r="D616" s="7" t="s">
        <v>2941</v>
      </c>
      <c r="E616" s="9">
        <v>45341</v>
      </c>
      <c r="F616" s="9" t="str">
        <f t="shared" si="143"/>
        <v>Valid</v>
      </c>
      <c r="G616" s="10">
        <f t="shared" si="144"/>
        <v>8</v>
      </c>
      <c r="H616" s="10" t="str">
        <f t="shared" si="145"/>
        <v>Valid</v>
      </c>
      <c r="I616" s="6" t="s">
        <v>2942</v>
      </c>
      <c r="J616" s="6" t="s">
        <v>92</v>
      </c>
      <c r="K616" s="6" t="s">
        <v>92</v>
      </c>
      <c r="L616" s="6" t="s">
        <v>135</v>
      </c>
      <c r="M616" s="7" t="str">
        <f t="shared" si="146"/>
        <v>Home Office</v>
      </c>
      <c r="N616" s="6" t="s">
        <v>82</v>
      </c>
      <c r="O616" s="7" t="str">
        <f t="shared" si="147"/>
        <v>South</v>
      </c>
      <c r="P616" s="6" t="s">
        <v>83</v>
      </c>
      <c r="Q616" s="6" t="s">
        <v>84</v>
      </c>
      <c r="R616" s="6" t="s">
        <v>65</v>
      </c>
      <c r="S616" s="7" t="str">
        <f t="shared" si="148"/>
        <v>Furniture</v>
      </c>
      <c r="T616" s="6" t="s">
        <v>96</v>
      </c>
      <c r="U616" s="6" t="s">
        <v>2943</v>
      </c>
      <c r="V616" s="6" t="s">
        <v>87</v>
      </c>
      <c r="W616" s="7" t="str">
        <f t="shared" si="149"/>
        <v>Standard Class</v>
      </c>
      <c r="X616" s="6">
        <v>8</v>
      </c>
      <c r="Y616" s="6">
        <v>3398.32</v>
      </c>
      <c r="Z616" s="6">
        <v>0.25</v>
      </c>
      <c r="AA616" s="6">
        <f t="shared" si="151"/>
        <v>0.25</v>
      </c>
      <c r="AB616" s="6" t="str">
        <f t="shared" si="152"/>
        <v>Valid</v>
      </c>
      <c r="AC616" s="6">
        <v>20389.919999999998</v>
      </c>
      <c r="AD616" s="6" t="str">
        <f>IF(OR(AO616="Cancelled",AM616="Failed"),"Exclude from Completed Sales","Include in Completed Sales")</f>
        <v>Exclude from Completed Sales</v>
      </c>
      <c r="AE616" s="6">
        <f t="shared" si="153"/>
        <v>20389.920000000002</v>
      </c>
      <c r="AF616" s="6" t="str">
        <f t="shared" si="154"/>
        <v>Refunded</v>
      </c>
      <c r="AG616" s="6">
        <v>16661.080000000002</v>
      </c>
      <c r="AH616" s="6">
        <v>3728.84</v>
      </c>
      <c r="AI616" s="6">
        <f t="shared" si="155"/>
        <v>3728.84</v>
      </c>
      <c r="AJ616" s="11">
        <f t="shared" si="156"/>
        <v>0.18287663708342161</v>
      </c>
      <c r="AK616" s="11" t="str">
        <f t="shared" si="157"/>
        <v>February</v>
      </c>
      <c r="AL616" s="12">
        <f t="shared" si="158"/>
        <v>2024</v>
      </c>
      <c r="AM616" s="6" t="s">
        <v>144</v>
      </c>
      <c r="AN616" s="6" t="s">
        <v>98</v>
      </c>
      <c r="AO616" s="6" t="str">
        <f t="shared" si="150"/>
        <v>Cancelled</v>
      </c>
    </row>
    <row r="617" spans="1:41">
      <c r="A617" s="6" t="s">
        <v>2944</v>
      </c>
      <c r="B617" s="7" t="s">
        <v>2945</v>
      </c>
      <c r="C617" s="8">
        <v>45569</v>
      </c>
      <c r="D617" s="7" t="s">
        <v>2946</v>
      </c>
      <c r="E617" s="9">
        <v>45572</v>
      </c>
      <c r="F617" s="9" t="str">
        <f t="shared" si="143"/>
        <v>Valid</v>
      </c>
      <c r="G617" s="10">
        <f t="shared" si="144"/>
        <v>3</v>
      </c>
      <c r="H617" s="10" t="str">
        <f t="shared" si="145"/>
        <v>Valid</v>
      </c>
      <c r="I617" s="6" t="s">
        <v>2947</v>
      </c>
      <c r="J617" s="6" t="s">
        <v>168</v>
      </c>
      <c r="K617" s="6" t="s">
        <v>168</v>
      </c>
      <c r="L617" s="6" t="s">
        <v>128</v>
      </c>
      <c r="M617" s="7" t="str">
        <f t="shared" si="146"/>
        <v>Corporate</v>
      </c>
      <c r="N617" s="6" t="s">
        <v>82</v>
      </c>
      <c r="O617" s="7" t="str">
        <f t="shared" si="147"/>
        <v>South</v>
      </c>
      <c r="P617" s="6" t="s">
        <v>262</v>
      </c>
      <c r="Q617" s="6" t="s">
        <v>263</v>
      </c>
      <c r="R617" s="6" t="s">
        <v>50</v>
      </c>
      <c r="S617" s="7" t="str">
        <f t="shared" si="148"/>
        <v>Office Supplies</v>
      </c>
      <c r="T617" s="6" t="s">
        <v>74</v>
      </c>
      <c r="U617" s="6" t="s">
        <v>2948</v>
      </c>
      <c r="V617" s="6" t="s">
        <v>53</v>
      </c>
      <c r="W617" s="7" t="str">
        <f t="shared" si="149"/>
        <v>Second Class</v>
      </c>
      <c r="X617" s="6">
        <v>2</v>
      </c>
      <c r="Y617" s="6">
        <v>3144.38</v>
      </c>
      <c r="Z617" s="6">
        <v>0.1</v>
      </c>
      <c r="AA617" s="6">
        <f t="shared" si="151"/>
        <v>0.1</v>
      </c>
      <c r="AB617" s="6" t="str">
        <f t="shared" si="152"/>
        <v>Valid</v>
      </c>
      <c r="AC617" s="6">
        <v>5904.57</v>
      </c>
      <c r="AD617" s="6" t="str">
        <f>IF(OR(AO617="Cancelled",AM617="Failed"),"Exclude from Completed Sales","Include in Completed Sales")</f>
        <v>Include in Completed Sales</v>
      </c>
      <c r="AE617" s="6">
        <f t="shared" si="153"/>
        <v>5659.884</v>
      </c>
      <c r="AF617" s="6" t="str">
        <f t="shared" si="154"/>
        <v/>
      </c>
      <c r="AG617" s="6">
        <v>4337.79</v>
      </c>
      <c r="AH617" s="6">
        <v>1322.09</v>
      </c>
      <c r="AI617" s="6">
        <f t="shared" si="155"/>
        <v>1322.0940000000001</v>
      </c>
      <c r="AJ617" s="11">
        <f t="shared" si="156"/>
        <v>0.23359029973052453</v>
      </c>
      <c r="AK617" s="11" t="str">
        <f t="shared" si="157"/>
        <v>October</v>
      </c>
      <c r="AL617" s="12">
        <f t="shared" si="158"/>
        <v>2024</v>
      </c>
      <c r="AM617" s="6" t="s">
        <v>54</v>
      </c>
      <c r="AN617" s="6" t="s">
        <v>55</v>
      </c>
      <c r="AO617" s="6" t="str">
        <f t="shared" si="150"/>
        <v>Completed</v>
      </c>
    </row>
    <row r="618" spans="1:41">
      <c r="A618" s="6" t="s">
        <v>2949</v>
      </c>
      <c r="B618" s="7" t="s">
        <v>2950</v>
      </c>
      <c r="C618" s="8">
        <v>45520</v>
      </c>
      <c r="D618" s="7" t="s">
        <v>2881</v>
      </c>
      <c r="E618" s="9">
        <v>45523</v>
      </c>
      <c r="F618" s="9" t="str">
        <f t="shared" si="143"/>
        <v>Valid</v>
      </c>
      <c r="G618" s="10">
        <f t="shared" si="144"/>
        <v>3</v>
      </c>
      <c r="H618" s="10" t="str">
        <f t="shared" si="145"/>
        <v>Valid</v>
      </c>
      <c r="I618" s="6" t="s">
        <v>2951</v>
      </c>
      <c r="J618" s="6" t="s">
        <v>386</v>
      </c>
      <c r="K618" s="6" t="s">
        <v>386</v>
      </c>
      <c r="L618" s="6" t="s">
        <v>46</v>
      </c>
      <c r="M618" s="7" t="str">
        <f t="shared" si="146"/>
        <v>Consumer</v>
      </c>
      <c r="N618" s="6" t="s">
        <v>82</v>
      </c>
      <c r="O618" s="7" t="str">
        <f t="shared" si="147"/>
        <v>South</v>
      </c>
      <c r="P618" s="6" t="s">
        <v>83</v>
      </c>
      <c r="Q618" s="6" t="s">
        <v>84</v>
      </c>
      <c r="R618" s="6" t="s">
        <v>50</v>
      </c>
      <c r="S618" s="7" t="str">
        <f t="shared" si="148"/>
        <v>Office Supplies</v>
      </c>
      <c r="T618" s="6" t="s">
        <v>51</v>
      </c>
      <c r="U618" s="6" t="s">
        <v>2952</v>
      </c>
      <c r="V618" s="6" t="s">
        <v>87</v>
      </c>
      <c r="W618" s="7" t="str">
        <f t="shared" si="149"/>
        <v>Standard Class</v>
      </c>
      <c r="X618" s="6">
        <v>6</v>
      </c>
      <c r="Y618" s="6">
        <v>3925.55</v>
      </c>
      <c r="Z618" s="6">
        <v>0.2</v>
      </c>
      <c r="AA618" s="6">
        <f t="shared" si="151"/>
        <v>0.2</v>
      </c>
      <c r="AB618" s="6" t="str">
        <f t="shared" si="152"/>
        <v>Valid</v>
      </c>
      <c r="AC618" s="6">
        <v>18842.64</v>
      </c>
      <c r="AD618" s="6" t="str">
        <f>IF(OR(AO618="Cancelled",AM618="Failed"),"Exclude from Completed Sales","Include in Completed Sales")</f>
        <v>Include in Completed Sales</v>
      </c>
      <c r="AE618" s="6">
        <f t="shared" si="153"/>
        <v>18842.640000000003</v>
      </c>
      <c r="AF618" s="6" t="str">
        <f t="shared" si="154"/>
        <v/>
      </c>
      <c r="AG618" s="6">
        <v>11840.58</v>
      </c>
      <c r="AH618" s="6">
        <v>7002.06</v>
      </c>
      <c r="AI618" s="6">
        <f t="shared" si="155"/>
        <v>7002.0600000000031</v>
      </c>
      <c r="AJ618" s="11">
        <f t="shared" si="156"/>
        <v>0.37160716332743193</v>
      </c>
      <c r="AK618" s="11" t="str">
        <f t="shared" si="157"/>
        <v>August</v>
      </c>
      <c r="AL618" s="12">
        <f t="shared" si="158"/>
        <v>2024</v>
      </c>
      <c r="AM618" s="6" t="s">
        <v>54</v>
      </c>
      <c r="AN618" s="6" t="s">
        <v>55</v>
      </c>
      <c r="AO618" s="6" t="str">
        <f t="shared" si="150"/>
        <v>Completed</v>
      </c>
    </row>
    <row r="619" spans="1:41">
      <c r="A619" s="6" t="s">
        <v>2953</v>
      </c>
      <c r="B619" s="7" t="s">
        <v>2954</v>
      </c>
      <c r="C619" s="8">
        <v>45564</v>
      </c>
      <c r="D619" s="7" t="s">
        <v>994</v>
      </c>
      <c r="E619" s="9">
        <v>45565</v>
      </c>
      <c r="F619" s="9" t="str">
        <f t="shared" si="143"/>
        <v>Valid</v>
      </c>
      <c r="G619" s="10">
        <f t="shared" si="144"/>
        <v>1</v>
      </c>
      <c r="H619" s="10" t="str">
        <f t="shared" si="145"/>
        <v>Valid</v>
      </c>
      <c r="I619" s="6" t="s">
        <v>2955</v>
      </c>
      <c r="J619" s="6" t="s">
        <v>60</v>
      </c>
      <c r="K619" s="6" t="s">
        <v>60</v>
      </c>
      <c r="L619" s="6" t="s">
        <v>135</v>
      </c>
      <c r="M619" s="7" t="str">
        <f t="shared" si="146"/>
        <v>Home Office</v>
      </c>
      <c r="N619" s="6" t="s">
        <v>82</v>
      </c>
      <c r="O619" s="7" t="str">
        <f t="shared" si="147"/>
        <v>South</v>
      </c>
      <c r="P619" s="6" t="s">
        <v>83</v>
      </c>
      <c r="Q619" s="6" t="s">
        <v>84</v>
      </c>
      <c r="R619" s="6" t="s">
        <v>106</v>
      </c>
      <c r="S619" s="7" t="str">
        <f t="shared" si="148"/>
        <v>Technology</v>
      </c>
      <c r="T619" s="6" t="s">
        <v>243</v>
      </c>
      <c r="U619" s="6" t="s">
        <v>2956</v>
      </c>
      <c r="V619" s="6" t="s">
        <v>87</v>
      </c>
      <c r="W619" s="7" t="str">
        <f t="shared" si="149"/>
        <v>Standard Class</v>
      </c>
      <c r="X619" s="6">
        <v>9</v>
      </c>
      <c r="Y619" s="6">
        <v>2741.91</v>
      </c>
      <c r="Z619" s="6">
        <v>0</v>
      </c>
      <c r="AA619" s="6">
        <f t="shared" si="151"/>
        <v>0</v>
      </c>
      <c r="AB619" s="6" t="str">
        <f t="shared" si="152"/>
        <v>Valid</v>
      </c>
      <c r="AC619" s="6">
        <v>24677.19</v>
      </c>
      <c r="AD619" s="6" t="str">
        <f>IF(OR(AO619="Cancelled",AM619="Failed"),"Exclude from Completed Sales","Include in Completed Sales")</f>
        <v>Include in Completed Sales</v>
      </c>
      <c r="AE619" s="6">
        <f t="shared" si="153"/>
        <v>24677.19</v>
      </c>
      <c r="AF619" s="6" t="str">
        <f t="shared" si="154"/>
        <v/>
      </c>
      <c r="AG619" s="6">
        <v>20350.849999999999</v>
      </c>
      <c r="AH619" s="6">
        <v>4326.34</v>
      </c>
      <c r="AI619" s="6">
        <f t="shared" si="155"/>
        <v>4326.34</v>
      </c>
      <c r="AJ619" s="11">
        <f t="shared" si="156"/>
        <v>0.17531736798233513</v>
      </c>
      <c r="AK619" s="11" t="str">
        <f t="shared" si="157"/>
        <v>September</v>
      </c>
      <c r="AL619" s="12">
        <f t="shared" si="158"/>
        <v>2024</v>
      </c>
      <c r="AM619" s="6" t="s">
        <v>54</v>
      </c>
      <c r="AN619" s="6" t="s">
        <v>55</v>
      </c>
      <c r="AO619" s="6" t="str">
        <f t="shared" si="150"/>
        <v>Completed</v>
      </c>
    </row>
    <row r="620" spans="1:41">
      <c r="A620" s="6" t="s">
        <v>2957</v>
      </c>
      <c r="B620" s="7" t="s">
        <v>2958</v>
      </c>
      <c r="C620" s="8">
        <v>45496</v>
      </c>
      <c r="D620" s="7" t="s">
        <v>549</v>
      </c>
      <c r="E620" s="9">
        <v>45503</v>
      </c>
      <c r="F620" s="9" t="str">
        <f t="shared" si="143"/>
        <v>Valid</v>
      </c>
      <c r="G620" s="10">
        <f t="shared" si="144"/>
        <v>7</v>
      </c>
      <c r="H620" s="10" t="str">
        <f t="shared" si="145"/>
        <v>Valid</v>
      </c>
      <c r="I620" s="6" t="s">
        <v>2959</v>
      </c>
      <c r="J620" s="6" t="s">
        <v>386</v>
      </c>
      <c r="K620" s="6" t="s">
        <v>386</v>
      </c>
      <c r="L620" s="6" t="s">
        <v>128</v>
      </c>
      <c r="M620" s="7" t="str">
        <f t="shared" si="146"/>
        <v>Corporate</v>
      </c>
      <c r="N620" s="6" t="s">
        <v>47</v>
      </c>
      <c r="O620" s="7" t="str">
        <f t="shared" si="147"/>
        <v>North</v>
      </c>
      <c r="P620" s="6" t="s">
        <v>48</v>
      </c>
      <c r="Q620" s="6" t="s">
        <v>49</v>
      </c>
      <c r="R620" s="6" t="s">
        <v>65</v>
      </c>
      <c r="S620" s="7" t="str">
        <f t="shared" si="148"/>
        <v>Furniture</v>
      </c>
      <c r="T620" s="6" t="s">
        <v>66</v>
      </c>
      <c r="U620" s="6" t="s">
        <v>2960</v>
      </c>
      <c r="V620" s="6" t="s">
        <v>68</v>
      </c>
      <c r="W620" s="7" t="str">
        <f t="shared" si="149"/>
        <v>Same Day</v>
      </c>
      <c r="X620" s="6">
        <v>9</v>
      </c>
      <c r="Y620" s="6">
        <v>1870.11</v>
      </c>
      <c r="Z620" s="6">
        <v>0.25</v>
      </c>
      <c r="AA620" s="6">
        <f t="shared" si="151"/>
        <v>0.25</v>
      </c>
      <c r="AB620" s="6" t="str">
        <f t="shared" si="152"/>
        <v>Valid</v>
      </c>
      <c r="AC620" s="6">
        <v>12623.24</v>
      </c>
      <c r="AD620" s="6" t="str">
        <f>IF(OR(AO620="Cancelled",AM620="Failed"),"Exclude from Completed Sales","Include in Completed Sales")</f>
        <v>Exclude from Completed Sales</v>
      </c>
      <c r="AE620" s="6">
        <f t="shared" si="153"/>
        <v>12623.242499999998</v>
      </c>
      <c r="AF620" s="6" t="str">
        <f t="shared" si="154"/>
        <v/>
      </c>
      <c r="AG620" s="6">
        <v>10540.8</v>
      </c>
      <c r="AH620" s="6">
        <v>2082.44</v>
      </c>
      <c r="AI620" s="6">
        <f t="shared" si="155"/>
        <v>2082.4424999999992</v>
      </c>
      <c r="AJ620" s="11">
        <f t="shared" si="156"/>
        <v>0.16496890557239943</v>
      </c>
      <c r="AK620" s="11" t="str">
        <f t="shared" si="157"/>
        <v>July</v>
      </c>
      <c r="AL620" s="12">
        <f t="shared" si="158"/>
        <v>2024</v>
      </c>
      <c r="AM620" s="6" t="s">
        <v>220</v>
      </c>
      <c r="AN620" s="6" t="s">
        <v>98</v>
      </c>
      <c r="AO620" s="6" t="str">
        <f t="shared" si="150"/>
        <v>Cancelled</v>
      </c>
    </row>
    <row r="621" spans="1:41">
      <c r="A621" s="6" t="s">
        <v>2961</v>
      </c>
      <c r="B621" s="7" t="s">
        <v>931</v>
      </c>
      <c r="C621" s="8">
        <v>45618</v>
      </c>
      <c r="D621" s="7" t="s">
        <v>2962</v>
      </c>
      <c r="E621" s="9">
        <v>45623</v>
      </c>
      <c r="F621" s="9" t="str">
        <f t="shared" si="143"/>
        <v>Valid</v>
      </c>
      <c r="G621" s="10">
        <f t="shared" si="144"/>
        <v>5</v>
      </c>
      <c r="H621" s="10" t="str">
        <f t="shared" si="145"/>
        <v>Valid</v>
      </c>
      <c r="I621" s="6" t="s">
        <v>2963</v>
      </c>
      <c r="J621" s="6" t="s">
        <v>162</v>
      </c>
      <c r="K621" s="6" t="s">
        <v>162</v>
      </c>
      <c r="L621" s="6" t="s">
        <v>128</v>
      </c>
      <c r="M621" s="7" t="str">
        <f t="shared" si="146"/>
        <v>Corporate</v>
      </c>
      <c r="N621" s="6" t="s">
        <v>82</v>
      </c>
      <c r="O621" s="7" t="str">
        <f t="shared" si="147"/>
        <v>South</v>
      </c>
      <c r="P621" s="6" t="s">
        <v>359</v>
      </c>
      <c r="Q621" s="6" t="s">
        <v>360</v>
      </c>
      <c r="R621" s="6" t="s">
        <v>50</v>
      </c>
      <c r="S621" s="7" t="str">
        <f t="shared" si="148"/>
        <v>Office Supplies</v>
      </c>
      <c r="T621" s="6" t="s">
        <v>218</v>
      </c>
      <c r="U621" s="6" t="s">
        <v>2964</v>
      </c>
      <c r="V621" s="6" t="s">
        <v>76</v>
      </c>
      <c r="W621" s="7" t="str">
        <f t="shared" si="149"/>
        <v>First Class</v>
      </c>
      <c r="X621" s="6">
        <v>1</v>
      </c>
      <c r="Y621" s="6">
        <v>4251.26</v>
      </c>
      <c r="Z621" s="6">
        <v>0.2</v>
      </c>
      <c r="AA621" s="6">
        <f t="shared" si="151"/>
        <v>0.2</v>
      </c>
      <c r="AB621" s="6" t="str">
        <f t="shared" si="152"/>
        <v>Valid</v>
      </c>
      <c r="AC621" s="6">
        <v>3401.01</v>
      </c>
      <c r="AD621" s="6" t="str">
        <f>IF(OR(AO621="Cancelled",AM621="Failed"),"Exclude from Completed Sales","Include in Completed Sales")</f>
        <v>Include in Completed Sales</v>
      </c>
      <c r="AE621" s="6">
        <f t="shared" si="153"/>
        <v>3401.0080000000003</v>
      </c>
      <c r="AF621" s="6" t="str">
        <f t="shared" si="154"/>
        <v>Refunded</v>
      </c>
      <c r="AG621" s="6">
        <v>2917.54</v>
      </c>
      <c r="AH621" s="6">
        <v>483.47</v>
      </c>
      <c r="AI621" s="6">
        <f t="shared" si="155"/>
        <v>483.4680000000003</v>
      </c>
      <c r="AJ621" s="11">
        <f t="shared" si="156"/>
        <v>0.14215432601158254</v>
      </c>
      <c r="AK621" s="11" t="str">
        <f t="shared" si="157"/>
        <v>November</v>
      </c>
      <c r="AL621" s="12">
        <f t="shared" si="158"/>
        <v>2024</v>
      </c>
      <c r="AM621" s="6" t="s">
        <v>144</v>
      </c>
      <c r="AN621" s="6" t="s">
        <v>145</v>
      </c>
      <c r="AO621" s="6" t="str">
        <f t="shared" si="150"/>
        <v>Returned</v>
      </c>
    </row>
    <row r="622" spans="1:41">
      <c r="A622" s="6" t="s">
        <v>2965</v>
      </c>
      <c r="B622" s="7" t="s">
        <v>2966</v>
      </c>
      <c r="C622" s="8">
        <v>45522</v>
      </c>
      <c r="D622" s="7" t="s">
        <v>2967</v>
      </c>
      <c r="E622" s="9">
        <v>45525</v>
      </c>
      <c r="F622" s="9" t="str">
        <f t="shared" si="143"/>
        <v>Valid</v>
      </c>
      <c r="G622" s="10">
        <f t="shared" si="144"/>
        <v>3</v>
      </c>
      <c r="H622" s="10" t="str">
        <f t="shared" si="145"/>
        <v>Valid</v>
      </c>
      <c r="I622" s="6" t="s">
        <v>2968</v>
      </c>
      <c r="J622" s="6" t="s">
        <v>103</v>
      </c>
      <c r="K622" s="6" t="s">
        <v>103</v>
      </c>
      <c r="L622" s="6" t="s">
        <v>46</v>
      </c>
      <c r="M622" s="7" t="str">
        <f t="shared" si="146"/>
        <v>Consumer</v>
      </c>
      <c r="N622" s="6" t="s">
        <v>47</v>
      </c>
      <c r="O622" s="7" t="str">
        <f t="shared" si="147"/>
        <v>North</v>
      </c>
      <c r="P622" s="6" t="s">
        <v>194</v>
      </c>
      <c r="Q622" s="6" t="s">
        <v>195</v>
      </c>
      <c r="R622" s="6" t="s">
        <v>106</v>
      </c>
      <c r="S622" s="7" t="str">
        <f t="shared" si="148"/>
        <v>Technology</v>
      </c>
      <c r="T622" s="6" t="s">
        <v>402</v>
      </c>
      <c r="U622" s="6" t="s">
        <v>2969</v>
      </c>
      <c r="V622" s="6" t="s">
        <v>87</v>
      </c>
      <c r="W622" s="7" t="str">
        <f t="shared" si="149"/>
        <v>Standard Class</v>
      </c>
      <c r="X622" s="6">
        <v>9</v>
      </c>
      <c r="Y622" s="6">
        <v>734.34</v>
      </c>
      <c r="Z622" s="6">
        <v>0</v>
      </c>
      <c r="AA622" s="6">
        <f t="shared" si="151"/>
        <v>0</v>
      </c>
      <c r="AB622" s="6" t="str">
        <f t="shared" si="152"/>
        <v>Valid</v>
      </c>
      <c r="AC622" s="6">
        <v>6609.06</v>
      </c>
      <c r="AD622" s="6" t="str">
        <f>IF(OR(AO622="Cancelled",AM622="Failed"),"Exclude from Completed Sales","Include in Completed Sales")</f>
        <v>Include in Completed Sales</v>
      </c>
      <c r="AE622" s="6">
        <f t="shared" si="153"/>
        <v>6609.06</v>
      </c>
      <c r="AF622" s="6" t="str">
        <f t="shared" si="154"/>
        <v/>
      </c>
      <c r="AG622" s="6">
        <v>4946.78</v>
      </c>
      <c r="AH622" s="6">
        <v>1662.28</v>
      </c>
      <c r="AI622" s="6">
        <f t="shared" si="155"/>
        <v>1662.2800000000007</v>
      </c>
      <c r="AJ622" s="11">
        <f t="shared" si="156"/>
        <v>0.25151534408826681</v>
      </c>
      <c r="AK622" s="11" t="str">
        <f t="shared" si="157"/>
        <v>August</v>
      </c>
      <c r="AL622" s="12">
        <f t="shared" si="158"/>
        <v>2024</v>
      </c>
      <c r="AM622" s="6" t="s">
        <v>54</v>
      </c>
      <c r="AN622" s="6" t="s">
        <v>55</v>
      </c>
      <c r="AO622" s="6" t="str">
        <f t="shared" si="150"/>
        <v>Completed</v>
      </c>
    </row>
    <row r="623" spans="1:41">
      <c r="A623" s="6" t="s">
        <v>2970</v>
      </c>
      <c r="B623" s="7" t="s">
        <v>78</v>
      </c>
      <c r="C623" s="8">
        <v>45624</v>
      </c>
      <c r="D623" s="7" t="s">
        <v>2971</v>
      </c>
      <c r="E623" s="9">
        <v>45632</v>
      </c>
      <c r="F623" s="9" t="str">
        <f t="shared" si="143"/>
        <v>Valid</v>
      </c>
      <c r="G623" s="10">
        <f t="shared" si="144"/>
        <v>8</v>
      </c>
      <c r="H623" s="10" t="str">
        <f t="shared" si="145"/>
        <v>Valid</v>
      </c>
      <c r="I623" s="6" t="s">
        <v>2972</v>
      </c>
      <c r="J623" s="6" t="s">
        <v>127</v>
      </c>
      <c r="K623" s="6" t="s">
        <v>127</v>
      </c>
      <c r="L623" s="6" t="s">
        <v>46</v>
      </c>
      <c r="M623" s="7" t="str">
        <f t="shared" si="146"/>
        <v>Consumer</v>
      </c>
      <c r="N623" s="6" t="s">
        <v>93</v>
      </c>
      <c r="O623" s="7" t="str">
        <f t="shared" si="147"/>
        <v>West</v>
      </c>
      <c r="P623" s="6" t="s">
        <v>94</v>
      </c>
      <c r="Q623" s="6" t="s">
        <v>95</v>
      </c>
      <c r="R623" s="6" t="s">
        <v>65</v>
      </c>
      <c r="S623" s="7" t="str">
        <f t="shared" si="148"/>
        <v>Furniture</v>
      </c>
      <c r="T623" s="6" t="s">
        <v>96</v>
      </c>
      <c r="U623" s="6" t="s">
        <v>2973</v>
      </c>
      <c r="V623" s="6" t="s">
        <v>68</v>
      </c>
      <c r="W623" s="7" t="str">
        <f t="shared" si="149"/>
        <v>Same Day</v>
      </c>
      <c r="X623" s="6">
        <v>5</v>
      </c>
      <c r="Y623" s="6">
        <v>1092.8399999999999</v>
      </c>
      <c r="Z623" s="6"/>
      <c r="AA623" s="6">
        <f t="shared" si="151"/>
        <v>0</v>
      </c>
      <c r="AB623" s="6" t="str">
        <f t="shared" si="152"/>
        <v>Valid</v>
      </c>
      <c r="AC623" s="6">
        <v>5464.2</v>
      </c>
      <c r="AD623" s="6" t="str">
        <f>IF(OR(AO623="Cancelled",AM623="Failed"),"Exclude from Completed Sales","Include in Completed Sales")</f>
        <v>Include in Completed Sales</v>
      </c>
      <c r="AE623" s="6">
        <f t="shared" si="153"/>
        <v>5464.2</v>
      </c>
      <c r="AF623" s="6" t="str">
        <f t="shared" si="154"/>
        <v/>
      </c>
      <c r="AG623" s="6">
        <v>3318.09</v>
      </c>
      <c r="AH623" s="6">
        <v>2146.11</v>
      </c>
      <c r="AI623" s="6">
        <f t="shared" si="155"/>
        <v>2146.1099999999997</v>
      </c>
      <c r="AJ623" s="11">
        <f t="shared" si="156"/>
        <v>0.39275831777753373</v>
      </c>
      <c r="AK623" s="11" t="str">
        <f t="shared" si="157"/>
        <v>November</v>
      </c>
      <c r="AL623" s="12">
        <f t="shared" si="158"/>
        <v>2024</v>
      </c>
      <c r="AM623" s="6" t="s">
        <v>54</v>
      </c>
      <c r="AN623" s="6" t="s">
        <v>55</v>
      </c>
      <c r="AO623" s="6" t="str">
        <f t="shared" si="150"/>
        <v>Completed</v>
      </c>
    </row>
    <row r="624" spans="1:41">
      <c r="A624" s="6" t="s">
        <v>2974</v>
      </c>
      <c r="B624" s="7" t="s">
        <v>2975</v>
      </c>
      <c r="C624" s="8">
        <v>45686</v>
      </c>
      <c r="D624" s="7" t="s">
        <v>2976</v>
      </c>
      <c r="E624" s="9">
        <v>45694</v>
      </c>
      <c r="F624" s="9" t="str">
        <f t="shared" si="143"/>
        <v>Valid</v>
      </c>
      <c r="G624" s="10">
        <f t="shared" si="144"/>
        <v>8</v>
      </c>
      <c r="H624" s="10" t="str">
        <f t="shared" si="145"/>
        <v>Valid</v>
      </c>
      <c r="I624" s="6" t="s">
        <v>2977</v>
      </c>
      <c r="J624" s="6" t="s">
        <v>103</v>
      </c>
      <c r="K624" s="6" t="s">
        <v>103</v>
      </c>
      <c r="L624" s="6" t="s">
        <v>46</v>
      </c>
      <c r="M624" s="7" t="str">
        <f t="shared" si="146"/>
        <v>Consumer</v>
      </c>
      <c r="N624" s="6" t="s">
        <v>62</v>
      </c>
      <c r="O624" s="7" t="str">
        <f t="shared" si="147"/>
        <v>East</v>
      </c>
      <c r="P624" s="6" t="s">
        <v>206</v>
      </c>
      <c r="Q624" s="6" t="s">
        <v>207</v>
      </c>
      <c r="R624" s="6" t="s">
        <v>50</v>
      </c>
      <c r="S624" s="7" t="str">
        <f t="shared" si="148"/>
        <v>Office Supplies</v>
      </c>
      <c r="T624" s="6" t="s">
        <v>176</v>
      </c>
      <c r="U624" s="6" t="s">
        <v>2978</v>
      </c>
      <c r="V624" s="6" t="s">
        <v>87</v>
      </c>
      <c r="W624" s="7" t="str">
        <f t="shared" si="149"/>
        <v>Standard Class</v>
      </c>
      <c r="X624" s="6">
        <v>4</v>
      </c>
      <c r="Y624" s="6">
        <v>2759.01</v>
      </c>
      <c r="Z624" s="6">
        <v>0.05</v>
      </c>
      <c r="AA624" s="6">
        <f t="shared" si="151"/>
        <v>0.05</v>
      </c>
      <c r="AB624" s="6" t="str">
        <f t="shared" si="152"/>
        <v>Valid</v>
      </c>
      <c r="AC624" s="6">
        <v>10484.24</v>
      </c>
      <c r="AD624" s="6" t="str">
        <f>IF(OR(AO624="Cancelled",AM624="Failed"),"Exclude from Completed Sales","Include in Completed Sales")</f>
        <v>Include in Completed Sales</v>
      </c>
      <c r="AE624" s="6">
        <f t="shared" si="153"/>
        <v>10484.238000000001</v>
      </c>
      <c r="AF624" s="6" t="str">
        <f t="shared" si="154"/>
        <v/>
      </c>
      <c r="AG624" s="6">
        <v>6680.15</v>
      </c>
      <c r="AH624" s="6">
        <v>3804.09</v>
      </c>
      <c r="AI624" s="6">
        <f t="shared" si="155"/>
        <v>3804.0880000000016</v>
      </c>
      <c r="AJ624" s="11">
        <f t="shared" si="156"/>
        <v>0.36283876806306775</v>
      </c>
      <c r="AK624" s="11" t="str">
        <f t="shared" si="157"/>
        <v>January</v>
      </c>
      <c r="AL624" s="12">
        <f t="shared" si="158"/>
        <v>2025</v>
      </c>
      <c r="AM624" s="6" t="s">
        <v>54</v>
      </c>
      <c r="AN624" s="6" t="s">
        <v>55</v>
      </c>
      <c r="AO624" s="6" t="str">
        <f t="shared" si="150"/>
        <v>Completed</v>
      </c>
    </row>
    <row r="625" spans="1:41">
      <c r="A625" s="6" t="s">
        <v>2979</v>
      </c>
      <c r="B625" s="7" t="s">
        <v>2980</v>
      </c>
      <c r="C625" s="8">
        <v>45512</v>
      </c>
      <c r="D625" s="7" t="s">
        <v>2981</v>
      </c>
      <c r="E625" s="9">
        <v>45518</v>
      </c>
      <c r="F625" s="9" t="str">
        <f t="shared" si="143"/>
        <v>Valid</v>
      </c>
      <c r="G625" s="10">
        <f t="shared" si="144"/>
        <v>6</v>
      </c>
      <c r="H625" s="10" t="str">
        <f t="shared" si="145"/>
        <v>Valid</v>
      </c>
      <c r="I625" s="6" t="s">
        <v>2982</v>
      </c>
      <c r="J625" s="6" t="s">
        <v>103</v>
      </c>
      <c r="K625" s="6" t="s">
        <v>103</v>
      </c>
      <c r="L625" s="6" t="s">
        <v>135</v>
      </c>
      <c r="M625" s="7" t="str">
        <f t="shared" si="146"/>
        <v>Home Office</v>
      </c>
      <c r="N625" s="6" t="s">
        <v>47</v>
      </c>
      <c r="O625" s="7" t="str">
        <f t="shared" si="147"/>
        <v>North</v>
      </c>
      <c r="P625" s="6" t="s">
        <v>174</v>
      </c>
      <c r="Q625" s="6" t="s">
        <v>175</v>
      </c>
      <c r="R625" s="6" t="s">
        <v>50</v>
      </c>
      <c r="S625" s="7" t="str">
        <f t="shared" si="148"/>
        <v>Office Supplies</v>
      </c>
      <c r="T625" s="6" t="s">
        <v>176</v>
      </c>
      <c r="U625" s="6" t="s">
        <v>2983</v>
      </c>
      <c r="V625" s="6" t="s">
        <v>53</v>
      </c>
      <c r="W625" s="7" t="str">
        <f t="shared" si="149"/>
        <v>Second Class</v>
      </c>
      <c r="X625" s="6">
        <v>8</v>
      </c>
      <c r="Y625" s="6">
        <v>1359.19</v>
      </c>
      <c r="Z625" s="6">
        <v>0.05</v>
      </c>
      <c r="AA625" s="6">
        <f t="shared" si="151"/>
        <v>0.05</v>
      </c>
      <c r="AB625" s="6" t="str">
        <f t="shared" si="152"/>
        <v>Valid</v>
      </c>
      <c r="AC625" s="6">
        <v>10329.84</v>
      </c>
      <c r="AD625" s="6" t="str">
        <f>IF(OR(AO625="Cancelled",AM625="Failed"),"Exclude from Completed Sales","Include in Completed Sales")</f>
        <v>Include in Completed Sales</v>
      </c>
      <c r="AE625" s="6">
        <f t="shared" si="153"/>
        <v>10329.843999999999</v>
      </c>
      <c r="AF625" s="6" t="str">
        <f t="shared" si="154"/>
        <v/>
      </c>
      <c r="AG625" s="6">
        <v>7512.22</v>
      </c>
      <c r="AH625" s="6">
        <v>2817.62</v>
      </c>
      <c r="AI625" s="6">
        <f t="shared" si="155"/>
        <v>2817.6239999999989</v>
      </c>
      <c r="AJ625" s="11">
        <f t="shared" si="156"/>
        <v>0.27276539703794161</v>
      </c>
      <c r="AK625" s="11" t="str">
        <f t="shared" si="157"/>
        <v>August</v>
      </c>
      <c r="AL625" s="12">
        <f t="shared" si="158"/>
        <v>2024</v>
      </c>
      <c r="AM625" s="6" t="s">
        <v>54</v>
      </c>
      <c r="AN625" s="6" t="s">
        <v>55</v>
      </c>
      <c r="AO625" s="6" t="str">
        <f t="shared" si="150"/>
        <v>Completed</v>
      </c>
    </row>
    <row r="626" spans="1:41">
      <c r="A626" s="6" t="s">
        <v>2984</v>
      </c>
      <c r="B626" s="7" t="s">
        <v>2985</v>
      </c>
      <c r="C626" s="8">
        <v>45321</v>
      </c>
      <c r="D626" s="7" t="s">
        <v>2986</v>
      </c>
      <c r="E626" s="9">
        <v>45323</v>
      </c>
      <c r="F626" s="9" t="str">
        <f t="shared" si="143"/>
        <v>Valid</v>
      </c>
      <c r="G626" s="10">
        <f t="shared" si="144"/>
        <v>2</v>
      </c>
      <c r="H626" s="10" t="str">
        <f t="shared" si="145"/>
        <v>Valid</v>
      </c>
      <c r="I626" s="6" t="s">
        <v>2987</v>
      </c>
      <c r="J626" s="6" t="s">
        <v>113</v>
      </c>
      <c r="K626" s="6" t="s">
        <v>113</v>
      </c>
      <c r="L626" s="6" t="s">
        <v>135</v>
      </c>
      <c r="M626" s="7" t="str">
        <f t="shared" si="146"/>
        <v>Home Office</v>
      </c>
      <c r="N626" s="6" t="s">
        <v>62</v>
      </c>
      <c r="O626" s="7" t="str">
        <f t="shared" si="147"/>
        <v>East</v>
      </c>
      <c r="P626" s="6" t="s">
        <v>236</v>
      </c>
      <c r="Q626" s="6" t="s">
        <v>237</v>
      </c>
      <c r="R626" s="6" t="s">
        <v>65</v>
      </c>
      <c r="S626" s="7" t="str">
        <f t="shared" si="148"/>
        <v>Furniture</v>
      </c>
      <c r="T626" s="6" t="s">
        <v>96</v>
      </c>
      <c r="U626" s="6" t="s">
        <v>2988</v>
      </c>
      <c r="V626" s="6" t="s">
        <v>76</v>
      </c>
      <c r="W626" s="7" t="str">
        <f t="shared" si="149"/>
        <v>First Class</v>
      </c>
      <c r="X626" s="6">
        <v>2</v>
      </c>
      <c r="Y626" s="6">
        <v>4451.03</v>
      </c>
      <c r="Z626" s="6">
        <v>0.05</v>
      </c>
      <c r="AA626" s="6">
        <f t="shared" si="151"/>
        <v>0.05</v>
      </c>
      <c r="AB626" s="6" t="str">
        <f t="shared" si="152"/>
        <v>Valid</v>
      </c>
      <c r="AC626" s="6">
        <v>8456.9599999999991</v>
      </c>
      <c r="AD626" s="6" t="str">
        <f>IF(OR(AO626="Cancelled",AM626="Failed"),"Exclude from Completed Sales","Include in Completed Sales")</f>
        <v>Include in Completed Sales</v>
      </c>
      <c r="AE626" s="6">
        <f t="shared" si="153"/>
        <v>8456.9569999999985</v>
      </c>
      <c r="AF626" s="6" t="str">
        <f t="shared" si="154"/>
        <v/>
      </c>
      <c r="AG626" s="6">
        <v>5462.85</v>
      </c>
      <c r="AH626" s="6">
        <v>2994.11</v>
      </c>
      <c r="AI626" s="6">
        <f t="shared" si="155"/>
        <v>2994.1069999999982</v>
      </c>
      <c r="AJ626" s="11">
        <f t="shared" si="156"/>
        <v>0.35404070282017502</v>
      </c>
      <c r="AK626" s="11" t="str">
        <f t="shared" si="157"/>
        <v>January</v>
      </c>
      <c r="AL626" s="12">
        <f t="shared" si="158"/>
        <v>2024</v>
      </c>
      <c r="AM626" s="6" t="s">
        <v>54</v>
      </c>
      <c r="AN626" s="6" t="s">
        <v>55</v>
      </c>
      <c r="AO626" s="6" t="str">
        <f t="shared" si="150"/>
        <v>Completed</v>
      </c>
    </row>
    <row r="627" spans="1:41">
      <c r="A627" s="6" t="s">
        <v>2989</v>
      </c>
      <c r="B627" s="7" t="s">
        <v>2990</v>
      </c>
      <c r="C627" s="8">
        <v>45641</v>
      </c>
      <c r="D627" s="7" t="s">
        <v>1424</v>
      </c>
      <c r="E627" s="9">
        <v>45647</v>
      </c>
      <c r="F627" s="9" t="str">
        <f t="shared" si="143"/>
        <v>Valid</v>
      </c>
      <c r="G627" s="10">
        <f t="shared" si="144"/>
        <v>6</v>
      </c>
      <c r="H627" s="10" t="str">
        <f t="shared" si="145"/>
        <v>Valid</v>
      </c>
      <c r="I627" s="6" t="s">
        <v>2991</v>
      </c>
      <c r="J627" s="6" t="s">
        <v>230</v>
      </c>
      <c r="K627" s="6" t="s">
        <v>230</v>
      </c>
      <c r="L627" s="6" t="s">
        <v>128</v>
      </c>
      <c r="M627" s="7" t="str">
        <f t="shared" si="146"/>
        <v>Corporate</v>
      </c>
      <c r="N627" s="6" t="s">
        <v>93</v>
      </c>
      <c r="O627" s="7" t="str">
        <f t="shared" si="147"/>
        <v>West</v>
      </c>
      <c r="P627" s="6" t="s">
        <v>48</v>
      </c>
      <c r="Q627" s="6" t="s">
        <v>155</v>
      </c>
      <c r="R627" s="6" t="s">
        <v>65</v>
      </c>
      <c r="S627" s="7" t="str">
        <f t="shared" si="148"/>
        <v>Furniture</v>
      </c>
      <c r="T627" s="6" t="s">
        <v>96</v>
      </c>
      <c r="U627" s="6" t="s">
        <v>2992</v>
      </c>
      <c r="V627" s="6" t="s">
        <v>68</v>
      </c>
      <c r="W627" s="7" t="str">
        <f t="shared" si="149"/>
        <v>Same Day</v>
      </c>
      <c r="X627" s="6">
        <v>3</v>
      </c>
      <c r="Y627" s="6">
        <v>527.66999999999996</v>
      </c>
      <c r="Z627" s="6">
        <v>0.2</v>
      </c>
      <c r="AA627" s="6">
        <f t="shared" si="151"/>
        <v>0.2</v>
      </c>
      <c r="AB627" s="6" t="str">
        <f t="shared" si="152"/>
        <v>Valid</v>
      </c>
      <c r="AC627" s="6">
        <v>1266.4100000000001</v>
      </c>
      <c r="AD627" s="6" t="str">
        <f>IF(OR(AO627="Cancelled",AM627="Failed"),"Exclude from Completed Sales","Include in Completed Sales")</f>
        <v>Include in Completed Sales</v>
      </c>
      <c r="AE627" s="6">
        <f t="shared" si="153"/>
        <v>1266.4079999999999</v>
      </c>
      <c r="AF627" s="6" t="str">
        <f t="shared" si="154"/>
        <v/>
      </c>
      <c r="AG627" s="6">
        <v>983.92</v>
      </c>
      <c r="AH627" s="6">
        <v>282.49</v>
      </c>
      <c r="AI627" s="6">
        <f t="shared" si="155"/>
        <v>282.48799999999994</v>
      </c>
      <c r="AJ627" s="11">
        <f t="shared" si="156"/>
        <v>0.22306239379410109</v>
      </c>
      <c r="AK627" s="11" t="str">
        <f t="shared" si="157"/>
        <v>December</v>
      </c>
      <c r="AL627" s="12">
        <f t="shared" si="158"/>
        <v>2024</v>
      </c>
      <c r="AM627" s="6" t="s">
        <v>54</v>
      </c>
      <c r="AN627" s="6" t="s">
        <v>55</v>
      </c>
      <c r="AO627" s="6" t="str">
        <f t="shared" si="150"/>
        <v>Completed</v>
      </c>
    </row>
    <row r="628" spans="1:41">
      <c r="A628" s="6" t="s">
        <v>2993</v>
      </c>
      <c r="B628" s="7" t="s">
        <v>1409</v>
      </c>
      <c r="C628" s="8">
        <v>45812</v>
      </c>
      <c r="D628" s="7" t="s">
        <v>2994</v>
      </c>
      <c r="E628" s="9">
        <v>45815</v>
      </c>
      <c r="F628" s="9" t="str">
        <f t="shared" si="143"/>
        <v>Valid</v>
      </c>
      <c r="G628" s="10">
        <f t="shared" si="144"/>
        <v>3</v>
      </c>
      <c r="H628" s="10" t="str">
        <f t="shared" si="145"/>
        <v>Valid</v>
      </c>
      <c r="I628" s="6" t="s">
        <v>2995</v>
      </c>
      <c r="J628" s="6" t="s">
        <v>188</v>
      </c>
      <c r="K628" s="6" t="s">
        <v>188</v>
      </c>
      <c r="L628" s="6" t="s">
        <v>135</v>
      </c>
      <c r="M628" s="7" t="str">
        <f t="shared" si="146"/>
        <v>Home Office</v>
      </c>
      <c r="N628" s="6" t="s">
        <v>62</v>
      </c>
      <c r="O628" s="7" t="str">
        <f t="shared" si="147"/>
        <v>East</v>
      </c>
      <c r="P628" s="6" t="s">
        <v>236</v>
      </c>
      <c r="Q628" s="6" t="s">
        <v>237</v>
      </c>
      <c r="R628" s="6" t="s">
        <v>106</v>
      </c>
      <c r="S628" s="7" t="str">
        <f t="shared" si="148"/>
        <v>Technology</v>
      </c>
      <c r="T628" s="6" t="s">
        <v>402</v>
      </c>
      <c r="U628" s="6" t="s">
        <v>2996</v>
      </c>
      <c r="V628" s="6" t="s">
        <v>87</v>
      </c>
      <c r="W628" s="7" t="str">
        <f t="shared" si="149"/>
        <v>Standard Class</v>
      </c>
      <c r="X628" s="6">
        <v>8</v>
      </c>
      <c r="Y628" s="6">
        <v>1434.13</v>
      </c>
      <c r="Z628" s="6">
        <v>0</v>
      </c>
      <c r="AA628" s="6">
        <f t="shared" si="151"/>
        <v>0</v>
      </c>
      <c r="AB628" s="6" t="str">
        <f t="shared" si="152"/>
        <v>Valid</v>
      </c>
      <c r="AC628" s="6">
        <v>11473.04</v>
      </c>
      <c r="AD628" s="6" t="str">
        <f>IF(OR(AO628="Cancelled",AM628="Failed"),"Exclude from Completed Sales","Include in Completed Sales")</f>
        <v>Include in Completed Sales</v>
      </c>
      <c r="AE628" s="6">
        <f t="shared" si="153"/>
        <v>11473.04</v>
      </c>
      <c r="AF628" s="6" t="str">
        <f t="shared" si="154"/>
        <v/>
      </c>
      <c r="AG628" s="6">
        <v>8931.33</v>
      </c>
      <c r="AH628" s="6">
        <v>2541.71</v>
      </c>
      <c r="AI628" s="6">
        <f t="shared" si="155"/>
        <v>2541.7100000000009</v>
      </c>
      <c r="AJ628" s="11">
        <f t="shared" si="156"/>
        <v>0.22153762211236086</v>
      </c>
      <c r="AK628" s="11" t="str">
        <f t="shared" si="157"/>
        <v>June</v>
      </c>
      <c r="AL628" s="12">
        <f t="shared" si="158"/>
        <v>2025</v>
      </c>
      <c r="AM628" s="6" t="s">
        <v>157</v>
      </c>
      <c r="AN628" s="6" t="s">
        <v>145</v>
      </c>
      <c r="AO628" s="6" t="str">
        <f t="shared" si="150"/>
        <v>Returned</v>
      </c>
    </row>
    <row r="629" spans="1:41">
      <c r="A629" s="6" t="s">
        <v>2997</v>
      </c>
      <c r="B629" s="7" t="s">
        <v>1434</v>
      </c>
      <c r="C629" s="8">
        <v>45701</v>
      </c>
      <c r="D629" s="7" t="s">
        <v>1795</v>
      </c>
      <c r="E629" s="9">
        <v>45709</v>
      </c>
      <c r="F629" s="9" t="str">
        <f t="shared" si="143"/>
        <v>Valid</v>
      </c>
      <c r="G629" s="10">
        <f t="shared" si="144"/>
        <v>8</v>
      </c>
      <c r="H629" s="10" t="str">
        <f t="shared" si="145"/>
        <v>Valid</v>
      </c>
      <c r="I629" s="6" t="s">
        <v>2998</v>
      </c>
      <c r="J629" s="6" t="s">
        <v>45</v>
      </c>
      <c r="K629" s="6" t="s">
        <v>45</v>
      </c>
      <c r="L629" s="6" t="s">
        <v>61</v>
      </c>
      <c r="M629" s="7" t="str">
        <f t="shared" si="146"/>
        <v>Small Business</v>
      </c>
      <c r="N629" s="6" t="s">
        <v>82</v>
      </c>
      <c r="O629" s="7" t="str">
        <f t="shared" si="147"/>
        <v>South</v>
      </c>
      <c r="P629" s="6" t="s">
        <v>262</v>
      </c>
      <c r="Q629" s="6" t="s">
        <v>263</v>
      </c>
      <c r="R629" s="6" t="s">
        <v>106</v>
      </c>
      <c r="S629" s="7" t="str">
        <f t="shared" si="148"/>
        <v>Technology</v>
      </c>
      <c r="T629" s="6" t="s">
        <v>243</v>
      </c>
      <c r="U629" s="6" t="s">
        <v>2999</v>
      </c>
      <c r="V629" s="6" t="s">
        <v>53</v>
      </c>
      <c r="W629" s="7" t="str">
        <f t="shared" si="149"/>
        <v>Second Class</v>
      </c>
      <c r="X629" s="6">
        <v>2</v>
      </c>
      <c r="Y629" s="6">
        <v>2360.02</v>
      </c>
      <c r="Z629" s="6">
        <v>0.15</v>
      </c>
      <c r="AA629" s="6">
        <f t="shared" si="151"/>
        <v>0.15</v>
      </c>
      <c r="AB629" s="6" t="str">
        <f t="shared" si="152"/>
        <v>Valid</v>
      </c>
      <c r="AC629" s="6">
        <v>4012.03</v>
      </c>
      <c r="AD629" s="6" t="str">
        <f>IF(OR(AO629="Cancelled",AM629="Failed"),"Exclude from Completed Sales","Include in Completed Sales")</f>
        <v>Exclude from Completed Sales</v>
      </c>
      <c r="AE629" s="6">
        <f t="shared" si="153"/>
        <v>4012.0339999999997</v>
      </c>
      <c r="AF629" s="6" t="str">
        <f t="shared" si="154"/>
        <v/>
      </c>
      <c r="AG629" s="6">
        <v>3142.92</v>
      </c>
      <c r="AH629" s="6">
        <v>869.11</v>
      </c>
      <c r="AI629" s="6">
        <f t="shared" si="155"/>
        <v>869.11399999999958</v>
      </c>
      <c r="AJ629" s="11">
        <f t="shared" si="156"/>
        <v>0.21662677833737193</v>
      </c>
      <c r="AK629" s="11" t="str">
        <f t="shared" si="157"/>
        <v>February</v>
      </c>
      <c r="AL629" s="12">
        <f t="shared" si="158"/>
        <v>2025</v>
      </c>
      <c r="AM629" s="6" t="s">
        <v>157</v>
      </c>
      <c r="AN629" s="6" t="s">
        <v>98</v>
      </c>
      <c r="AO629" s="6" t="str">
        <f t="shared" si="150"/>
        <v>Cancelled</v>
      </c>
    </row>
    <row r="630" spans="1:41">
      <c r="A630" s="6" t="s">
        <v>3000</v>
      </c>
      <c r="B630" s="7" t="s">
        <v>2573</v>
      </c>
      <c r="C630" s="8">
        <v>45935</v>
      </c>
      <c r="D630" s="7" t="s">
        <v>3001</v>
      </c>
      <c r="E630" s="9">
        <v>45942</v>
      </c>
      <c r="F630" s="9" t="str">
        <f t="shared" si="143"/>
        <v>Valid</v>
      </c>
      <c r="G630" s="10">
        <f t="shared" si="144"/>
        <v>7</v>
      </c>
      <c r="H630" s="10" t="str">
        <f t="shared" si="145"/>
        <v>Valid</v>
      </c>
      <c r="I630" s="6" t="s">
        <v>3002</v>
      </c>
      <c r="J630" s="6" t="s">
        <v>92</v>
      </c>
      <c r="K630" s="6" t="s">
        <v>92</v>
      </c>
      <c r="L630" s="6" t="s">
        <v>135</v>
      </c>
      <c r="M630" s="7" t="str">
        <f t="shared" si="146"/>
        <v>Home Office</v>
      </c>
      <c r="N630" s="6" t="s">
        <v>62</v>
      </c>
      <c r="O630" s="7" t="str">
        <f t="shared" si="147"/>
        <v>East</v>
      </c>
      <c r="P630" s="6" t="s">
        <v>331</v>
      </c>
      <c r="Q630" s="6" t="s">
        <v>332</v>
      </c>
      <c r="R630" s="6" t="s">
        <v>106</v>
      </c>
      <c r="S630" s="7" t="str">
        <f t="shared" si="148"/>
        <v>Technology</v>
      </c>
      <c r="T630" s="6" t="s">
        <v>107</v>
      </c>
      <c r="U630" s="6" t="s">
        <v>3003</v>
      </c>
      <c r="V630" s="6" t="s">
        <v>68</v>
      </c>
      <c r="W630" s="7" t="str">
        <f t="shared" si="149"/>
        <v>Same Day</v>
      </c>
      <c r="X630" s="6">
        <v>7</v>
      </c>
      <c r="Y630" s="6">
        <v>806.67</v>
      </c>
      <c r="Z630" s="6">
        <v>0.05</v>
      </c>
      <c r="AA630" s="6">
        <f t="shared" si="151"/>
        <v>0.05</v>
      </c>
      <c r="AB630" s="6" t="str">
        <f t="shared" si="152"/>
        <v>Valid</v>
      </c>
      <c r="AC630" s="6">
        <v>5364.36</v>
      </c>
      <c r="AD630" s="6" t="str">
        <f>IF(OR(AO630="Cancelled",AM630="Failed"),"Exclude from Completed Sales","Include in Completed Sales")</f>
        <v>Include in Completed Sales</v>
      </c>
      <c r="AE630" s="6">
        <f t="shared" si="153"/>
        <v>5364.3554999999997</v>
      </c>
      <c r="AF630" s="6" t="str">
        <f t="shared" si="154"/>
        <v/>
      </c>
      <c r="AG630" s="6">
        <v>4391.29</v>
      </c>
      <c r="AH630" s="6">
        <v>973.07</v>
      </c>
      <c r="AI630" s="6">
        <f t="shared" si="155"/>
        <v>973.0654999999997</v>
      </c>
      <c r="AJ630" s="11">
        <f t="shared" si="156"/>
        <v>0.18139467080434915</v>
      </c>
      <c r="AK630" s="11" t="str">
        <f t="shared" si="157"/>
        <v>October</v>
      </c>
      <c r="AL630" s="12">
        <f t="shared" si="158"/>
        <v>2025</v>
      </c>
      <c r="AM630" s="6" t="s">
        <v>54</v>
      </c>
      <c r="AN630" s="6" t="s">
        <v>55</v>
      </c>
      <c r="AO630" s="6" t="str">
        <f t="shared" si="150"/>
        <v>Completed</v>
      </c>
    </row>
    <row r="631" spans="1:41">
      <c r="A631" s="6" t="s">
        <v>3004</v>
      </c>
      <c r="B631" s="7" t="s">
        <v>593</v>
      </c>
      <c r="C631" s="8">
        <v>45910</v>
      </c>
      <c r="D631" s="7" t="s">
        <v>3005</v>
      </c>
      <c r="E631" s="9">
        <v>45914</v>
      </c>
      <c r="F631" s="9" t="str">
        <f t="shared" si="143"/>
        <v>Valid</v>
      </c>
      <c r="G631" s="10">
        <f t="shared" si="144"/>
        <v>4</v>
      </c>
      <c r="H631" s="10" t="str">
        <f t="shared" si="145"/>
        <v>Valid</v>
      </c>
      <c r="I631" s="6" t="s">
        <v>3006</v>
      </c>
      <c r="J631" s="6" t="s">
        <v>81</v>
      </c>
      <c r="K631" s="6" t="s">
        <v>81</v>
      </c>
      <c r="L631" s="6" t="s">
        <v>135</v>
      </c>
      <c r="M631" s="7" t="str">
        <f t="shared" si="146"/>
        <v>Home Office</v>
      </c>
      <c r="N631" s="6" t="s">
        <v>93</v>
      </c>
      <c r="O631" s="7" t="str">
        <f t="shared" si="147"/>
        <v>West</v>
      </c>
      <c r="P631" s="6" t="s">
        <v>255</v>
      </c>
      <c r="Q631" s="6" t="s">
        <v>256</v>
      </c>
      <c r="R631" s="6" t="s">
        <v>65</v>
      </c>
      <c r="S631" s="7" t="str">
        <f t="shared" si="148"/>
        <v>Furniture</v>
      </c>
      <c r="T631" s="6" t="s">
        <v>66</v>
      </c>
      <c r="U631" s="6" t="s">
        <v>3007</v>
      </c>
      <c r="V631" s="6" t="s">
        <v>68</v>
      </c>
      <c r="W631" s="7" t="str">
        <f t="shared" si="149"/>
        <v>Same Day</v>
      </c>
      <c r="X631" s="6">
        <v>3</v>
      </c>
      <c r="Y631" s="6">
        <v>4198.46</v>
      </c>
      <c r="Z631" s="6">
        <v>0.15</v>
      </c>
      <c r="AA631" s="6">
        <f t="shared" si="151"/>
        <v>0.15</v>
      </c>
      <c r="AB631" s="6" t="str">
        <f t="shared" si="152"/>
        <v>Valid</v>
      </c>
      <c r="AC631" s="6">
        <v>10706.07</v>
      </c>
      <c r="AD631" s="6" t="str">
        <f>IF(OR(AO631="Cancelled",AM631="Failed"),"Exclude from Completed Sales","Include in Completed Sales")</f>
        <v>Include in Completed Sales</v>
      </c>
      <c r="AE631" s="6">
        <f t="shared" si="153"/>
        <v>10706.073</v>
      </c>
      <c r="AF631" s="6" t="str">
        <f t="shared" si="154"/>
        <v/>
      </c>
      <c r="AG631" s="6">
        <v>5927.1</v>
      </c>
      <c r="AH631" s="6">
        <v>4778.97</v>
      </c>
      <c r="AI631" s="6">
        <f t="shared" si="155"/>
        <v>4778.973</v>
      </c>
      <c r="AJ631" s="11">
        <f t="shared" si="156"/>
        <v>0.44637963892082555</v>
      </c>
      <c r="AK631" s="11" t="str">
        <f t="shared" si="157"/>
        <v>September</v>
      </c>
      <c r="AL631" s="12">
        <f t="shared" si="158"/>
        <v>2025</v>
      </c>
      <c r="AM631" s="6" t="s">
        <v>54</v>
      </c>
      <c r="AN631" s="6" t="s">
        <v>55</v>
      </c>
      <c r="AO631" s="6" t="str">
        <f t="shared" si="150"/>
        <v>Completed</v>
      </c>
    </row>
    <row r="632" spans="1:41">
      <c r="A632" s="6" t="s">
        <v>3008</v>
      </c>
      <c r="B632" s="7" t="s">
        <v>2463</v>
      </c>
      <c r="C632" s="8">
        <v>45391</v>
      </c>
      <c r="D632" s="7" t="s">
        <v>1517</v>
      </c>
      <c r="E632" s="9">
        <v>45392</v>
      </c>
      <c r="F632" s="9" t="str">
        <f t="shared" si="143"/>
        <v>Valid</v>
      </c>
      <c r="G632" s="10">
        <f t="shared" si="144"/>
        <v>1</v>
      </c>
      <c r="H632" s="10" t="str">
        <f t="shared" si="145"/>
        <v>Valid</v>
      </c>
      <c r="I632" s="6" t="s">
        <v>3009</v>
      </c>
      <c r="J632" s="6" t="s">
        <v>162</v>
      </c>
      <c r="K632" s="6" t="s">
        <v>162</v>
      </c>
      <c r="L632" s="6" t="s">
        <v>128</v>
      </c>
      <c r="M632" s="7" t="str">
        <f t="shared" si="146"/>
        <v>Corporate</v>
      </c>
      <c r="N632" s="6" t="s">
        <v>62</v>
      </c>
      <c r="O632" s="7" t="str">
        <f t="shared" si="147"/>
        <v>East</v>
      </c>
      <c r="P632" s="6" t="s">
        <v>236</v>
      </c>
      <c r="Q632" s="6" t="s">
        <v>237</v>
      </c>
      <c r="R632" s="6" t="s">
        <v>50</v>
      </c>
      <c r="S632" s="7" t="str">
        <f t="shared" si="148"/>
        <v>Office Supplies</v>
      </c>
      <c r="T632" s="6" t="s">
        <v>51</v>
      </c>
      <c r="U632" s="6" t="s">
        <v>3010</v>
      </c>
      <c r="V632" s="6" t="s">
        <v>87</v>
      </c>
      <c r="W632" s="7" t="str">
        <f t="shared" si="149"/>
        <v>Standard Class</v>
      </c>
      <c r="X632" s="6">
        <v>4</v>
      </c>
      <c r="Y632" s="6">
        <v>3047.05</v>
      </c>
      <c r="Z632" s="6">
        <v>0.1</v>
      </c>
      <c r="AA632" s="6">
        <f t="shared" si="151"/>
        <v>0.1</v>
      </c>
      <c r="AB632" s="6" t="str">
        <f t="shared" si="152"/>
        <v>Valid</v>
      </c>
      <c r="AC632" s="6">
        <v>10969.38</v>
      </c>
      <c r="AD632" s="6" t="str">
        <f>IF(OR(AO632="Cancelled",AM632="Failed"),"Exclude from Completed Sales","Include in Completed Sales")</f>
        <v>Include in Completed Sales</v>
      </c>
      <c r="AE632" s="6">
        <f t="shared" si="153"/>
        <v>10969.380000000001</v>
      </c>
      <c r="AF632" s="6" t="str">
        <f t="shared" si="154"/>
        <v/>
      </c>
      <c r="AG632" s="6">
        <v>9254.4599999999991</v>
      </c>
      <c r="AH632" s="6">
        <v>1714.92</v>
      </c>
      <c r="AI632" s="6">
        <f t="shared" si="155"/>
        <v>1714.9200000000019</v>
      </c>
      <c r="AJ632" s="11">
        <f t="shared" si="156"/>
        <v>0.15633700354988173</v>
      </c>
      <c r="AK632" s="11" t="str">
        <f t="shared" si="157"/>
        <v>April</v>
      </c>
      <c r="AL632" s="12">
        <f t="shared" si="158"/>
        <v>2024</v>
      </c>
      <c r="AM632" s="6" t="s">
        <v>54</v>
      </c>
      <c r="AN632" s="6" t="s">
        <v>55</v>
      </c>
      <c r="AO632" s="6" t="str">
        <f t="shared" si="150"/>
        <v>Completed</v>
      </c>
    </row>
    <row r="633" spans="1:41">
      <c r="A633" s="6" t="s">
        <v>3011</v>
      </c>
      <c r="B633" s="7" t="s">
        <v>1460</v>
      </c>
      <c r="C633" s="8">
        <v>45392</v>
      </c>
      <c r="D633" s="7" t="s">
        <v>1560</v>
      </c>
      <c r="E633" s="9">
        <v>45397</v>
      </c>
      <c r="F633" s="9" t="str">
        <f t="shared" si="143"/>
        <v>Valid</v>
      </c>
      <c r="G633" s="10">
        <f t="shared" si="144"/>
        <v>5</v>
      </c>
      <c r="H633" s="10" t="str">
        <f t="shared" si="145"/>
        <v>Valid</v>
      </c>
      <c r="I633" s="6" t="s">
        <v>3012</v>
      </c>
      <c r="J633" s="6" t="s">
        <v>182</v>
      </c>
      <c r="K633" s="6" t="s">
        <v>182</v>
      </c>
      <c r="L633" s="6" t="s">
        <v>135</v>
      </c>
      <c r="M633" s="7" t="str">
        <f t="shared" si="146"/>
        <v>Home Office</v>
      </c>
      <c r="N633" s="6" t="s">
        <v>93</v>
      </c>
      <c r="O633" s="7" t="str">
        <f t="shared" si="147"/>
        <v>West</v>
      </c>
      <c r="P633" s="6" t="s">
        <v>48</v>
      </c>
      <c r="Q633" s="6" t="s">
        <v>155</v>
      </c>
      <c r="R633" s="6" t="s">
        <v>65</v>
      </c>
      <c r="S633" s="7" t="str">
        <f t="shared" si="148"/>
        <v>Furniture</v>
      </c>
      <c r="T633" s="6" t="s">
        <v>96</v>
      </c>
      <c r="U633" s="6" t="s">
        <v>3013</v>
      </c>
      <c r="V633" s="6" t="s">
        <v>87</v>
      </c>
      <c r="W633" s="7" t="str">
        <f t="shared" si="149"/>
        <v>Standard Class</v>
      </c>
      <c r="X633" s="6">
        <v>8</v>
      </c>
      <c r="Y633" s="6">
        <v>4362.4799999999996</v>
      </c>
      <c r="Z633" s="6">
        <v>0.1</v>
      </c>
      <c r="AA633" s="6">
        <f t="shared" si="151"/>
        <v>0.1</v>
      </c>
      <c r="AB633" s="6" t="str">
        <f t="shared" si="152"/>
        <v>Valid</v>
      </c>
      <c r="AC633" s="6">
        <v>31409.86</v>
      </c>
      <c r="AD633" s="6" t="str">
        <f>IF(OR(AO633="Cancelled",AM633="Failed"),"Exclude from Completed Sales","Include in Completed Sales")</f>
        <v>Include in Completed Sales</v>
      </c>
      <c r="AE633" s="6">
        <f t="shared" si="153"/>
        <v>31409.855999999996</v>
      </c>
      <c r="AF633" s="6" t="str">
        <f t="shared" si="154"/>
        <v/>
      </c>
      <c r="AG633" s="6">
        <v>22523.54</v>
      </c>
      <c r="AH633" s="6">
        <v>8886.32</v>
      </c>
      <c r="AI633" s="6">
        <f t="shared" si="155"/>
        <v>8886.3159999999953</v>
      </c>
      <c r="AJ633" s="11">
        <f t="shared" si="156"/>
        <v>0.2829148914277097</v>
      </c>
      <c r="AK633" s="11" t="str">
        <f t="shared" si="157"/>
        <v>April</v>
      </c>
      <c r="AL633" s="12">
        <f t="shared" si="158"/>
        <v>2024</v>
      </c>
      <c r="AM633" s="6" t="s">
        <v>54</v>
      </c>
      <c r="AN633" s="6" t="s">
        <v>55</v>
      </c>
      <c r="AO633" s="6" t="str">
        <f t="shared" si="150"/>
        <v>Completed</v>
      </c>
    </row>
    <row r="634" spans="1:41">
      <c r="A634" s="6" t="s">
        <v>3014</v>
      </c>
      <c r="B634" s="7" t="s">
        <v>3015</v>
      </c>
      <c r="C634" s="8">
        <v>45762</v>
      </c>
      <c r="D634" s="7" t="s">
        <v>3016</v>
      </c>
      <c r="E634" s="9">
        <v>45763</v>
      </c>
      <c r="F634" s="9" t="str">
        <f t="shared" si="143"/>
        <v>Valid</v>
      </c>
      <c r="G634" s="10">
        <f t="shared" si="144"/>
        <v>1</v>
      </c>
      <c r="H634" s="10" t="str">
        <f t="shared" si="145"/>
        <v>Valid</v>
      </c>
      <c r="I634" s="6" t="s">
        <v>3017</v>
      </c>
      <c r="J634" s="6" t="s">
        <v>188</v>
      </c>
      <c r="K634" s="6" t="s">
        <v>188</v>
      </c>
      <c r="L634" s="6" t="s">
        <v>61</v>
      </c>
      <c r="M634" s="7" t="str">
        <f t="shared" si="146"/>
        <v>Small Business</v>
      </c>
      <c r="N634" s="6" t="s">
        <v>82</v>
      </c>
      <c r="O634" s="7" t="str">
        <f t="shared" si="147"/>
        <v>South</v>
      </c>
      <c r="P634" s="6" t="s">
        <v>249</v>
      </c>
      <c r="Q634" s="6" t="s">
        <v>250</v>
      </c>
      <c r="R634" s="6" t="s">
        <v>65</v>
      </c>
      <c r="S634" s="7" t="str">
        <f t="shared" si="148"/>
        <v>Furniture</v>
      </c>
      <c r="T634" s="6" t="s">
        <v>85</v>
      </c>
      <c r="U634" s="6" t="s">
        <v>3018</v>
      </c>
      <c r="V634" s="6" t="s">
        <v>76</v>
      </c>
      <c r="W634" s="7" t="str">
        <f t="shared" si="149"/>
        <v>First Class</v>
      </c>
      <c r="X634" s="6">
        <v>5</v>
      </c>
      <c r="Y634" s="6">
        <v>2850.53</v>
      </c>
      <c r="Z634" s="6">
        <v>0</v>
      </c>
      <c r="AA634" s="6">
        <f t="shared" si="151"/>
        <v>0</v>
      </c>
      <c r="AB634" s="6" t="str">
        <f t="shared" si="152"/>
        <v>Valid</v>
      </c>
      <c r="AC634" s="6">
        <v>14252.65</v>
      </c>
      <c r="AD634" s="6" t="str">
        <f>IF(OR(AO634="Cancelled",AM634="Failed"),"Exclude from Completed Sales","Include in Completed Sales")</f>
        <v>Include in Completed Sales</v>
      </c>
      <c r="AE634" s="6">
        <f t="shared" si="153"/>
        <v>14252.650000000001</v>
      </c>
      <c r="AF634" s="6" t="str">
        <f t="shared" si="154"/>
        <v/>
      </c>
      <c r="AG634" s="6">
        <v>11558.31</v>
      </c>
      <c r="AH634" s="6">
        <v>2694.34</v>
      </c>
      <c r="AI634" s="6">
        <f t="shared" si="155"/>
        <v>2694.340000000002</v>
      </c>
      <c r="AJ634" s="11">
        <f t="shared" si="156"/>
        <v>0.18904133617257154</v>
      </c>
      <c r="AK634" s="11" t="str">
        <f t="shared" si="157"/>
        <v>April</v>
      </c>
      <c r="AL634" s="12">
        <f t="shared" si="158"/>
        <v>2025</v>
      </c>
      <c r="AM634" s="6" t="s">
        <v>54</v>
      </c>
      <c r="AN634" s="6" t="s">
        <v>55</v>
      </c>
      <c r="AO634" s="6" t="str">
        <f t="shared" si="150"/>
        <v>Completed</v>
      </c>
    </row>
    <row r="635" spans="1:41">
      <c r="A635" s="6" t="s">
        <v>3019</v>
      </c>
      <c r="B635" s="7" t="s">
        <v>3020</v>
      </c>
      <c r="C635" s="8">
        <v>45765</v>
      </c>
      <c r="D635" s="7" t="s">
        <v>3021</v>
      </c>
      <c r="E635" s="9">
        <v>45767</v>
      </c>
      <c r="F635" s="9" t="str">
        <f t="shared" si="143"/>
        <v>Valid</v>
      </c>
      <c r="G635" s="10">
        <f t="shared" si="144"/>
        <v>2</v>
      </c>
      <c r="H635" s="10" t="str">
        <f t="shared" si="145"/>
        <v>Valid</v>
      </c>
      <c r="I635" s="6" t="s">
        <v>3022</v>
      </c>
      <c r="J635" s="6" t="s">
        <v>182</v>
      </c>
      <c r="K635" s="6" t="s">
        <v>182</v>
      </c>
      <c r="L635" s="6" t="s">
        <v>61</v>
      </c>
      <c r="M635" s="7" t="str">
        <f t="shared" si="146"/>
        <v>Small Business</v>
      </c>
      <c r="N635" s="6" t="s">
        <v>82</v>
      </c>
      <c r="O635" s="7" t="str">
        <f t="shared" si="147"/>
        <v>South</v>
      </c>
      <c r="P635" s="6" t="s">
        <v>359</v>
      </c>
      <c r="Q635" s="6" t="s">
        <v>360</v>
      </c>
      <c r="R635" s="6" t="s">
        <v>106</v>
      </c>
      <c r="S635" s="7" t="str">
        <f t="shared" si="148"/>
        <v>Technology</v>
      </c>
      <c r="T635" s="6" t="s">
        <v>107</v>
      </c>
      <c r="U635" s="6" t="s">
        <v>3023</v>
      </c>
      <c r="V635" s="6" t="s">
        <v>53</v>
      </c>
      <c r="W635" s="7" t="str">
        <f t="shared" si="149"/>
        <v>Second Class</v>
      </c>
      <c r="X635" s="6">
        <v>1</v>
      </c>
      <c r="Y635" s="6">
        <v>1626.08</v>
      </c>
      <c r="Z635" s="6">
        <v>0.15</v>
      </c>
      <c r="AA635" s="6">
        <f t="shared" si="151"/>
        <v>0.15</v>
      </c>
      <c r="AB635" s="6" t="str">
        <f t="shared" si="152"/>
        <v>Valid</v>
      </c>
      <c r="AC635" s="6">
        <v>1382.17</v>
      </c>
      <c r="AD635" s="6" t="str">
        <f>IF(OR(AO635="Cancelled",AM635="Failed"),"Exclude from Completed Sales","Include in Completed Sales")</f>
        <v>Include in Completed Sales</v>
      </c>
      <c r="AE635" s="6">
        <f t="shared" si="153"/>
        <v>1382.1679999999999</v>
      </c>
      <c r="AF635" s="6" t="str">
        <f t="shared" si="154"/>
        <v/>
      </c>
      <c r="AG635" s="6">
        <v>810.03</v>
      </c>
      <c r="AH635" s="6">
        <v>572.14</v>
      </c>
      <c r="AI635" s="6">
        <f t="shared" si="155"/>
        <v>572.13799999999992</v>
      </c>
      <c r="AJ635" s="11">
        <f t="shared" si="156"/>
        <v>0.4139424440444287</v>
      </c>
      <c r="AK635" s="11" t="str">
        <f t="shared" si="157"/>
        <v>April</v>
      </c>
      <c r="AL635" s="12">
        <f t="shared" si="158"/>
        <v>2025</v>
      </c>
      <c r="AM635" s="6" t="s">
        <v>54</v>
      </c>
      <c r="AN635" s="6" t="s">
        <v>55</v>
      </c>
      <c r="AO635" s="6" t="str">
        <f t="shared" si="150"/>
        <v>Completed</v>
      </c>
    </row>
    <row r="636" spans="1:41">
      <c r="A636" s="6" t="s">
        <v>3024</v>
      </c>
      <c r="B636" s="7" t="s">
        <v>3025</v>
      </c>
      <c r="C636" s="8">
        <v>45668</v>
      </c>
      <c r="D636" s="7" t="s">
        <v>2198</v>
      </c>
      <c r="E636" s="9">
        <v>45669</v>
      </c>
      <c r="F636" s="9" t="str">
        <f t="shared" si="143"/>
        <v>Valid</v>
      </c>
      <c r="G636" s="10">
        <f t="shared" si="144"/>
        <v>1</v>
      </c>
      <c r="H636" s="10" t="str">
        <f t="shared" si="145"/>
        <v>Valid</v>
      </c>
      <c r="I636" s="6" t="s">
        <v>3026</v>
      </c>
      <c r="J636" s="6" t="s">
        <v>127</v>
      </c>
      <c r="K636" s="6" t="s">
        <v>127</v>
      </c>
      <c r="L636" s="6" t="s">
        <v>46</v>
      </c>
      <c r="M636" s="7" t="str">
        <f t="shared" si="146"/>
        <v>Consumer</v>
      </c>
      <c r="N636" s="6" t="s">
        <v>82</v>
      </c>
      <c r="O636" s="7" t="str">
        <f t="shared" si="147"/>
        <v>South</v>
      </c>
      <c r="P636" s="6" t="s">
        <v>83</v>
      </c>
      <c r="Q636" s="6" t="s">
        <v>84</v>
      </c>
      <c r="R636" s="6" t="s">
        <v>65</v>
      </c>
      <c r="S636" s="7" t="str">
        <f t="shared" si="148"/>
        <v>Furniture</v>
      </c>
      <c r="T636" s="6" t="s">
        <v>96</v>
      </c>
      <c r="U636" s="6" t="s">
        <v>3027</v>
      </c>
      <c r="V636" s="6" t="s">
        <v>53</v>
      </c>
      <c r="W636" s="7" t="str">
        <f t="shared" si="149"/>
        <v>Second Class</v>
      </c>
      <c r="X636" s="6">
        <v>4</v>
      </c>
      <c r="Y636" s="6">
        <v>2427.15</v>
      </c>
      <c r="Z636" s="6">
        <v>0.05</v>
      </c>
      <c r="AA636" s="6">
        <f t="shared" si="151"/>
        <v>0.05</v>
      </c>
      <c r="AB636" s="6" t="str">
        <f t="shared" si="152"/>
        <v>Valid</v>
      </c>
      <c r="AC636" s="6">
        <v>9223.17</v>
      </c>
      <c r="AD636" s="6" t="str">
        <f>IF(OR(AO636="Cancelled",AM636="Failed"),"Exclude from Completed Sales","Include in Completed Sales")</f>
        <v>Include in Completed Sales</v>
      </c>
      <c r="AE636" s="6">
        <f t="shared" si="153"/>
        <v>9223.17</v>
      </c>
      <c r="AF636" s="6" t="str">
        <f t="shared" si="154"/>
        <v/>
      </c>
      <c r="AG636" s="6">
        <v>5103.7</v>
      </c>
      <c r="AH636" s="6">
        <v>4119.47</v>
      </c>
      <c r="AI636" s="6">
        <f t="shared" si="155"/>
        <v>4119.47</v>
      </c>
      <c r="AJ636" s="11">
        <f t="shared" si="156"/>
        <v>0.44664361602355807</v>
      </c>
      <c r="AK636" s="11" t="str">
        <f t="shared" si="157"/>
        <v>January</v>
      </c>
      <c r="AL636" s="12">
        <f t="shared" si="158"/>
        <v>2025</v>
      </c>
      <c r="AM636" s="6" t="s">
        <v>54</v>
      </c>
      <c r="AN636" s="6" t="s">
        <v>55</v>
      </c>
      <c r="AO636" s="6" t="str">
        <f t="shared" si="150"/>
        <v>Completed</v>
      </c>
    </row>
    <row r="637" spans="1:41">
      <c r="A637" s="6" t="s">
        <v>3028</v>
      </c>
      <c r="B637" s="7" t="s">
        <v>2924</v>
      </c>
      <c r="C637" s="8">
        <v>45432</v>
      </c>
      <c r="D637" s="7" t="s">
        <v>3029</v>
      </c>
      <c r="E637" s="9">
        <v>45437</v>
      </c>
      <c r="F637" s="9" t="str">
        <f t="shared" si="143"/>
        <v>Valid</v>
      </c>
      <c r="G637" s="10">
        <f t="shared" si="144"/>
        <v>5</v>
      </c>
      <c r="H637" s="10" t="str">
        <f t="shared" si="145"/>
        <v>Valid</v>
      </c>
      <c r="I637" s="6" t="s">
        <v>3030</v>
      </c>
      <c r="J637" s="6" t="s">
        <v>60</v>
      </c>
      <c r="K637" s="6" t="s">
        <v>60</v>
      </c>
      <c r="L637" s="6" t="s">
        <v>128</v>
      </c>
      <c r="M637" s="7" t="str">
        <f t="shared" si="146"/>
        <v>Corporate</v>
      </c>
      <c r="N637" s="6" t="s">
        <v>82</v>
      </c>
      <c r="O637" s="7" t="str">
        <f t="shared" si="147"/>
        <v>South</v>
      </c>
      <c r="P637" s="6" t="s">
        <v>120</v>
      </c>
      <c r="Q637" s="6" t="s">
        <v>121</v>
      </c>
      <c r="R637" s="6" t="s">
        <v>65</v>
      </c>
      <c r="S637" s="7" t="str">
        <f t="shared" si="148"/>
        <v>Furniture</v>
      </c>
      <c r="T637" s="6" t="s">
        <v>96</v>
      </c>
      <c r="U637" s="6" t="s">
        <v>3031</v>
      </c>
      <c r="V637" s="6" t="s">
        <v>68</v>
      </c>
      <c r="W637" s="7" t="str">
        <f t="shared" si="149"/>
        <v>Same Day</v>
      </c>
      <c r="X637" s="6">
        <v>7</v>
      </c>
      <c r="Y637" s="6">
        <v>3122.85</v>
      </c>
      <c r="Z637" s="6">
        <v>0.25</v>
      </c>
      <c r="AA637" s="6">
        <f t="shared" si="151"/>
        <v>0.25</v>
      </c>
      <c r="AB637" s="6" t="str">
        <f t="shared" si="152"/>
        <v>Valid</v>
      </c>
      <c r="AC637" s="6">
        <v>16394.96</v>
      </c>
      <c r="AD637" s="6" t="str">
        <f>IF(OR(AO637="Cancelled",AM637="Failed"),"Exclude from Completed Sales","Include in Completed Sales")</f>
        <v>Include in Completed Sales</v>
      </c>
      <c r="AE637" s="6">
        <f t="shared" si="153"/>
        <v>16394.962500000001</v>
      </c>
      <c r="AF637" s="6" t="str">
        <f t="shared" si="154"/>
        <v/>
      </c>
      <c r="AG637" s="6">
        <v>10404.17</v>
      </c>
      <c r="AH637" s="6">
        <v>5990.79</v>
      </c>
      <c r="AI637" s="6">
        <f t="shared" si="155"/>
        <v>5990.7925000000014</v>
      </c>
      <c r="AJ637" s="11">
        <f t="shared" si="156"/>
        <v>0.36540446493854445</v>
      </c>
      <c r="AK637" s="11" t="str">
        <f t="shared" si="157"/>
        <v>May</v>
      </c>
      <c r="AL637" s="12">
        <f t="shared" si="158"/>
        <v>2024</v>
      </c>
      <c r="AM637" s="6" t="s">
        <v>54</v>
      </c>
      <c r="AN637" s="6" t="s">
        <v>55</v>
      </c>
      <c r="AO637" s="6" t="str">
        <f t="shared" si="150"/>
        <v>Completed</v>
      </c>
    </row>
    <row r="638" spans="1:41">
      <c r="A638" s="6" t="s">
        <v>3032</v>
      </c>
      <c r="B638" s="7" t="s">
        <v>3033</v>
      </c>
      <c r="C638" s="8">
        <v>45567</v>
      </c>
      <c r="D638" s="7" t="s">
        <v>3034</v>
      </c>
      <c r="E638" s="9">
        <v>45574</v>
      </c>
      <c r="F638" s="9" t="str">
        <f t="shared" si="143"/>
        <v>Valid</v>
      </c>
      <c r="G638" s="10">
        <f t="shared" si="144"/>
        <v>7</v>
      </c>
      <c r="H638" s="10" t="str">
        <f t="shared" si="145"/>
        <v>Valid</v>
      </c>
      <c r="I638" s="6" t="s">
        <v>3035</v>
      </c>
      <c r="J638" s="6" t="s">
        <v>92</v>
      </c>
      <c r="K638" s="6" t="s">
        <v>92</v>
      </c>
      <c r="L638" s="6" t="s">
        <v>46</v>
      </c>
      <c r="M638" s="7" t="str">
        <f t="shared" si="146"/>
        <v>Consumer</v>
      </c>
      <c r="N638" s="6" t="s">
        <v>82</v>
      </c>
      <c r="O638" s="7" t="str">
        <f t="shared" si="147"/>
        <v>South</v>
      </c>
      <c r="P638" s="6" t="s">
        <v>359</v>
      </c>
      <c r="Q638" s="6" t="s">
        <v>360</v>
      </c>
      <c r="R638" s="6" t="s">
        <v>50</v>
      </c>
      <c r="S638" s="7" t="str">
        <f t="shared" si="148"/>
        <v>Office Supplies</v>
      </c>
      <c r="T638" s="6" t="s">
        <v>51</v>
      </c>
      <c r="U638" s="6" t="s">
        <v>3036</v>
      </c>
      <c r="V638" s="6" t="s">
        <v>87</v>
      </c>
      <c r="W638" s="7" t="str">
        <f t="shared" si="149"/>
        <v>Standard Class</v>
      </c>
      <c r="X638" s="6">
        <v>8</v>
      </c>
      <c r="Y638" s="6">
        <v>1910.31</v>
      </c>
      <c r="Z638" s="6">
        <v>0.15</v>
      </c>
      <c r="AA638" s="6">
        <f t="shared" si="151"/>
        <v>0.15</v>
      </c>
      <c r="AB638" s="6" t="str">
        <f t="shared" si="152"/>
        <v>Valid</v>
      </c>
      <c r="AC638" s="6">
        <v>12990.11</v>
      </c>
      <c r="AD638" s="6" t="str">
        <f>IF(OR(AO638="Cancelled",AM638="Failed"),"Exclude from Completed Sales","Include in Completed Sales")</f>
        <v>Include in Completed Sales</v>
      </c>
      <c r="AE638" s="6">
        <f t="shared" si="153"/>
        <v>12990.108</v>
      </c>
      <c r="AF638" s="6" t="str">
        <f t="shared" si="154"/>
        <v/>
      </c>
      <c r="AG638" s="6">
        <v>10200.799999999999</v>
      </c>
      <c r="AH638" s="6">
        <v>2789.31</v>
      </c>
      <c r="AI638" s="6">
        <f t="shared" si="155"/>
        <v>2789.3080000000009</v>
      </c>
      <c r="AJ638" s="11">
        <f t="shared" si="156"/>
        <v>0.2147255434673831</v>
      </c>
      <c r="AK638" s="11" t="str">
        <f t="shared" si="157"/>
        <v>October</v>
      </c>
      <c r="AL638" s="12">
        <f t="shared" si="158"/>
        <v>2024</v>
      </c>
      <c r="AM638" s="6" t="s">
        <v>54</v>
      </c>
      <c r="AN638" s="6" t="s">
        <v>55</v>
      </c>
      <c r="AO638" s="6" t="str">
        <f t="shared" si="150"/>
        <v>Completed</v>
      </c>
    </row>
    <row r="639" spans="1:41">
      <c r="A639" s="6" t="s">
        <v>3037</v>
      </c>
      <c r="B639" s="7" t="s">
        <v>3038</v>
      </c>
      <c r="C639" s="8">
        <v>45438</v>
      </c>
      <c r="D639" s="7" t="s">
        <v>3039</v>
      </c>
      <c r="E639" s="9">
        <v>45438</v>
      </c>
      <c r="F639" s="9" t="str">
        <f t="shared" si="143"/>
        <v>Valid</v>
      </c>
      <c r="G639" s="10">
        <f t="shared" si="144"/>
        <v>0</v>
      </c>
      <c r="H639" s="10" t="str">
        <f t="shared" si="145"/>
        <v>Valid</v>
      </c>
      <c r="I639" s="6" t="s">
        <v>3040</v>
      </c>
      <c r="J639" s="6" t="s">
        <v>168</v>
      </c>
      <c r="K639" s="6" t="s">
        <v>168</v>
      </c>
      <c r="L639" s="6" t="s">
        <v>61</v>
      </c>
      <c r="M639" s="7" t="str">
        <f t="shared" si="146"/>
        <v>Small Business</v>
      </c>
      <c r="N639" s="6" t="s">
        <v>93</v>
      </c>
      <c r="O639" s="7" t="str">
        <f t="shared" si="147"/>
        <v>West</v>
      </c>
      <c r="P639" s="6" t="s">
        <v>269</v>
      </c>
      <c r="Q639" s="6" t="s">
        <v>270</v>
      </c>
      <c r="R639" s="6" t="s">
        <v>106</v>
      </c>
      <c r="S639" s="7" t="str">
        <f t="shared" si="148"/>
        <v>Technology</v>
      </c>
      <c r="T639" s="6" t="s">
        <v>114</v>
      </c>
      <c r="U639" s="6" t="s">
        <v>3041</v>
      </c>
      <c r="V639" s="6" t="s">
        <v>76</v>
      </c>
      <c r="W639" s="7" t="str">
        <f t="shared" si="149"/>
        <v>First Class</v>
      </c>
      <c r="X639" s="6">
        <v>2</v>
      </c>
      <c r="Y639" s="6">
        <v>3192.47</v>
      </c>
      <c r="Z639" s="6">
        <v>0.2</v>
      </c>
      <c r="AA639" s="6">
        <f t="shared" si="151"/>
        <v>0.2</v>
      </c>
      <c r="AB639" s="6" t="str">
        <f t="shared" si="152"/>
        <v>Valid</v>
      </c>
      <c r="AC639" s="6">
        <v>5107.95</v>
      </c>
      <c r="AD639" s="6" t="str">
        <f>IF(OR(AO639="Cancelled",AM639="Failed"),"Exclude from Completed Sales","Include in Completed Sales")</f>
        <v>Include in Completed Sales</v>
      </c>
      <c r="AE639" s="6">
        <f t="shared" si="153"/>
        <v>5107.9520000000002</v>
      </c>
      <c r="AF639" s="6" t="str">
        <f t="shared" si="154"/>
        <v/>
      </c>
      <c r="AG639" s="6">
        <v>3133.08</v>
      </c>
      <c r="AH639" s="6">
        <v>1974.87</v>
      </c>
      <c r="AI639" s="6">
        <f t="shared" si="155"/>
        <v>1974.8720000000003</v>
      </c>
      <c r="AJ639" s="11">
        <f t="shared" si="156"/>
        <v>0.38662696908663202</v>
      </c>
      <c r="AK639" s="11" t="str">
        <f t="shared" si="157"/>
        <v>May</v>
      </c>
      <c r="AL639" s="12">
        <f t="shared" si="158"/>
        <v>2024</v>
      </c>
      <c r="AM639" s="6" t="s">
        <v>54</v>
      </c>
      <c r="AN639" s="6" t="s">
        <v>55</v>
      </c>
      <c r="AO639" s="6" t="str">
        <f t="shared" si="150"/>
        <v>Completed</v>
      </c>
    </row>
    <row r="640" spans="1:41">
      <c r="A640" s="6" t="s">
        <v>3042</v>
      </c>
      <c r="B640" s="7" t="s">
        <v>2890</v>
      </c>
      <c r="C640" s="8">
        <v>45317</v>
      </c>
      <c r="D640" s="7" t="s">
        <v>3043</v>
      </c>
      <c r="E640" s="9">
        <v>45322</v>
      </c>
      <c r="F640" s="9" t="str">
        <f t="shared" si="143"/>
        <v>Valid</v>
      </c>
      <c r="G640" s="10">
        <f t="shared" si="144"/>
        <v>5</v>
      </c>
      <c r="H640" s="10" t="str">
        <f t="shared" si="145"/>
        <v>Valid</v>
      </c>
      <c r="I640" s="6" t="s">
        <v>3044</v>
      </c>
      <c r="J640" s="6" t="s">
        <v>45</v>
      </c>
      <c r="K640" s="6" t="s">
        <v>45</v>
      </c>
      <c r="L640" s="6" t="s">
        <v>128</v>
      </c>
      <c r="M640" s="7" t="str">
        <f t="shared" si="146"/>
        <v>Corporate</v>
      </c>
      <c r="N640" s="6" t="s">
        <v>82</v>
      </c>
      <c r="O640" s="7" t="str">
        <f t="shared" si="147"/>
        <v>South</v>
      </c>
      <c r="P640" s="6" t="s">
        <v>262</v>
      </c>
      <c r="Q640" s="6" t="s">
        <v>263</v>
      </c>
      <c r="R640" s="6" t="s">
        <v>50</v>
      </c>
      <c r="S640" s="7" t="str">
        <f t="shared" si="148"/>
        <v>Office Supplies</v>
      </c>
      <c r="T640" s="6" t="s">
        <v>176</v>
      </c>
      <c r="U640" s="6" t="s">
        <v>3045</v>
      </c>
      <c r="V640" s="6" t="s">
        <v>53</v>
      </c>
      <c r="W640" s="7" t="str">
        <f t="shared" si="149"/>
        <v>Second Class</v>
      </c>
      <c r="X640" s="6">
        <v>3</v>
      </c>
      <c r="Y640" s="6">
        <v>3224.32</v>
      </c>
      <c r="Z640" s="6">
        <v>0.2</v>
      </c>
      <c r="AA640" s="6">
        <f t="shared" si="151"/>
        <v>0.2</v>
      </c>
      <c r="AB640" s="6" t="str">
        <f t="shared" si="152"/>
        <v>Valid</v>
      </c>
      <c r="AC640" s="6">
        <v>7738.37</v>
      </c>
      <c r="AD640" s="6" t="str">
        <f>IF(OR(AO640="Cancelled",AM640="Failed"),"Exclude from Completed Sales","Include in Completed Sales")</f>
        <v>Exclude from Completed Sales</v>
      </c>
      <c r="AE640" s="6">
        <f t="shared" si="153"/>
        <v>7738.3680000000013</v>
      </c>
      <c r="AF640" s="6" t="str">
        <f t="shared" si="154"/>
        <v/>
      </c>
      <c r="AG640" s="6">
        <v>4626.8500000000004</v>
      </c>
      <c r="AH640" s="6">
        <v>3111.52</v>
      </c>
      <c r="AI640" s="6">
        <f t="shared" si="155"/>
        <v>3111.5180000000009</v>
      </c>
      <c r="AJ640" s="11">
        <f t="shared" si="156"/>
        <v>0.40208969126306743</v>
      </c>
      <c r="AK640" s="11" t="str">
        <f t="shared" si="157"/>
        <v>January</v>
      </c>
      <c r="AL640" s="12">
        <f t="shared" si="158"/>
        <v>2024</v>
      </c>
      <c r="AM640" s="6" t="s">
        <v>220</v>
      </c>
      <c r="AN640" s="6" t="s">
        <v>145</v>
      </c>
      <c r="AO640" s="6" t="str">
        <f t="shared" si="150"/>
        <v>Returned</v>
      </c>
    </row>
    <row r="641" spans="1:41">
      <c r="A641" s="6" t="s">
        <v>3046</v>
      </c>
      <c r="B641" s="7" t="s">
        <v>3047</v>
      </c>
      <c r="C641" s="8">
        <v>45653</v>
      </c>
      <c r="D641" s="7" t="s">
        <v>1891</v>
      </c>
      <c r="E641" s="9">
        <v>45657</v>
      </c>
      <c r="F641" s="9" t="str">
        <f t="shared" si="143"/>
        <v>Valid</v>
      </c>
      <c r="G641" s="10">
        <f t="shared" si="144"/>
        <v>4</v>
      </c>
      <c r="H641" s="10" t="str">
        <f t="shared" si="145"/>
        <v>Valid</v>
      </c>
      <c r="I641" s="6" t="s">
        <v>3048</v>
      </c>
      <c r="J641" s="6" t="s">
        <v>73</v>
      </c>
      <c r="K641" s="6" t="s">
        <v>73</v>
      </c>
      <c r="L641" s="6" t="s">
        <v>61</v>
      </c>
      <c r="M641" s="7" t="str">
        <f t="shared" si="146"/>
        <v>Small Business</v>
      </c>
      <c r="N641" s="6" t="s">
        <v>62</v>
      </c>
      <c r="O641" s="7" t="str">
        <f t="shared" si="147"/>
        <v>East</v>
      </c>
      <c r="P641" s="6" t="s">
        <v>63</v>
      </c>
      <c r="Q641" s="6" t="s">
        <v>64</v>
      </c>
      <c r="R641" s="6" t="s">
        <v>65</v>
      </c>
      <c r="S641" s="7" t="str">
        <f t="shared" si="148"/>
        <v>Furniture</v>
      </c>
      <c r="T641" s="6" t="s">
        <v>96</v>
      </c>
      <c r="U641" s="6" t="s">
        <v>3049</v>
      </c>
      <c r="V641" s="6" t="s">
        <v>53</v>
      </c>
      <c r="W641" s="7" t="str">
        <f t="shared" si="149"/>
        <v>Second Class</v>
      </c>
      <c r="X641" s="6">
        <v>1</v>
      </c>
      <c r="Y641" s="6">
        <v>1594.7</v>
      </c>
      <c r="Z641" s="6">
        <v>0.05</v>
      </c>
      <c r="AA641" s="6">
        <f t="shared" si="151"/>
        <v>0.05</v>
      </c>
      <c r="AB641" s="6" t="str">
        <f t="shared" si="152"/>
        <v>Valid</v>
      </c>
      <c r="AC641" s="6">
        <v>1514.96</v>
      </c>
      <c r="AD641" s="6" t="str">
        <f>IF(OR(AO641="Cancelled",AM641="Failed"),"Exclude from Completed Sales","Include in Completed Sales")</f>
        <v>Include in Completed Sales</v>
      </c>
      <c r="AE641" s="6">
        <f t="shared" si="153"/>
        <v>1514.9649999999999</v>
      </c>
      <c r="AF641" s="6" t="str">
        <f t="shared" si="154"/>
        <v/>
      </c>
      <c r="AG641" s="6">
        <v>1046.17</v>
      </c>
      <c r="AH641" s="6">
        <v>468.79</v>
      </c>
      <c r="AI641" s="6">
        <f t="shared" si="155"/>
        <v>468.79499999999985</v>
      </c>
      <c r="AJ641" s="11">
        <f t="shared" si="156"/>
        <v>0.3094427924077453</v>
      </c>
      <c r="AK641" s="11" t="str">
        <f t="shared" si="157"/>
        <v>December</v>
      </c>
      <c r="AL641" s="12">
        <f t="shared" si="158"/>
        <v>2024</v>
      </c>
      <c r="AM641" s="6" t="s">
        <v>54</v>
      </c>
      <c r="AN641" s="6" t="s">
        <v>55</v>
      </c>
      <c r="AO641" s="6" t="str">
        <f t="shared" si="150"/>
        <v>Completed</v>
      </c>
    </row>
    <row r="642" spans="1:41">
      <c r="A642" s="6" t="s">
        <v>3050</v>
      </c>
      <c r="B642" s="7" t="s">
        <v>3051</v>
      </c>
      <c r="C642" s="8">
        <v>45671</v>
      </c>
      <c r="D642" s="7" t="s">
        <v>3052</v>
      </c>
      <c r="E642" s="9">
        <v>45674</v>
      </c>
      <c r="F642" s="9" t="str">
        <f t="shared" ref="F642:F705" si="159">IF(E642&lt;C642,"Invalid Shipping Record","Valid")</f>
        <v>Valid</v>
      </c>
      <c r="G642" s="10">
        <f t="shared" ref="G642:G705" si="160">E642-C642</f>
        <v>3</v>
      </c>
      <c r="H642" s="10" t="str">
        <f t="shared" ref="H642:H705" si="161">IF(OR(C642="",E642=""),"Missing Date",IF(OR(NOT(ISNUMBER(C642)),NOT(ISNUMBER(E642))),"Invalid Date",IF(E642&lt;C642,"Invalid Shipping Record","Valid")))</f>
        <v>Valid</v>
      </c>
      <c r="I642" s="6" t="s">
        <v>3053</v>
      </c>
      <c r="J642" s="6" t="s">
        <v>103</v>
      </c>
      <c r="K642" s="6" t="s">
        <v>103</v>
      </c>
      <c r="L642" s="6" t="s">
        <v>46</v>
      </c>
      <c r="M642" s="7" t="str">
        <f t="shared" ref="M642:M705" si="162">PROPER(TRIM(L642))</f>
        <v>Consumer</v>
      </c>
      <c r="N642" s="6" t="s">
        <v>93</v>
      </c>
      <c r="O642" s="7" t="str">
        <f t="shared" ref="O642:O705" si="163">IF(TRIM(N642)="","Unknown",PROPER(TRIM(N642)))</f>
        <v>West</v>
      </c>
      <c r="P642" s="6" t="s">
        <v>269</v>
      </c>
      <c r="Q642" s="6" t="s">
        <v>270</v>
      </c>
      <c r="R642" s="6" t="s">
        <v>50</v>
      </c>
      <c r="S642" s="7" t="str">
        <f t="shared" ref="S642:S705" si="164">PROPER(TRIM(R642))</f>
        <v>Office Supplies</v>
      </c>
      <c r="T642" s="6" t="s">
        <v>176</v>
      </c>
      <c r="U642" s="6" t="s">
        <v>3054</v>
      </c>
      <c r="V642" s="6" t="s">
        <v>76</v>
      </c>
      <c r="W642" s="7" t="str">
        <f t="shared" ref="W642:W705" si="165">IF(TRIM(V642)="","Unknown",PROPER(TRIM(V642)))</f>
        <v>First Class</v>
      </c>
      <c r="X642" s="6">
        <v>1</v>
      </c>
      <c r="Y642" s="6">
        <v>1584.12</v>
      </c>
      <c r="Z642" s="6">
        <v>0.2</v>
      </c>
      <c r="AA642" s="6">
        <f t="shared" si="151"/>
        <v>0.2</v>
      </c>
      <c r="AB642" s="6" t="str">
        <f t="shared" si="152"/>
        <v>Valid</v>
      </c>
      <c r="AC642" s="6">
        <v>1267.3</v>
      </c>
      <c r="AD642" s="6" t="str">
        <f>IF(OR(AO642="Cancelled",AM642="Failed"),"Exclude from Completed Sales","Include in Completed Sales")</f>
        <v>Include in Completed Sales</v>
      </c>
      <c r="AE642" s="6">
        <f t="shared" si="153"/>
        <v>1267.296</v>
      </c>
      <c r="AF642" s="6" t="str">
        <f t="shared" si="154"/>
        <v/>
      </c>
      <c r="AG642" s="6">
        <v>923.53</v>
      </c>
      <c r="AH642" s="6">
        <v>343.77</v>
      </c>
      <c r="AI642" s="6">
        <f t="shared" si="155"/>
        <v>343.76600000000008</v>
      </c>
      <c r="AJ642" s="11">
        <f t="shared" si="156"/>
        <v>0.27125943741635739</v>
      </c>
      <c r="AK642" s="11" t="str">
        <f t="shared" si="157"/>
        <v>January</v>
      </c>
      <c r="AL642" s="12">
        <f t="shared" si="158"/>
        <v>2025</v>
      </c>
      <c r="AM642" s="6" t="s">
        <v>54</v>
      </c>
      <c r="AN642" s="6" t="s">
        <v>55</v>
      </c>
      <c r="AO642" s="6" t="str">
        <f t="shared" ref="AO642:AO705" si="166">PROPER(TRIM(AN642))</f>
        <v>Completed</v>
      </c>
    </row>
    <row r="643" spans="1:41">
      <c r="A643" s="6" t="s">
        <v>3055</v>
      </c>
      <c r="B643" s="7" t="s">
        <v>3056</v>
      </c>
      <c r="C643" s="8">
        <v>45756</v>
      </c>
      <c r="D643" s="7" t="s">
        <v>1982</v>
      </c>
      <c r="E643" s="9">
        <v>45761</v>
      </c>
      <c r="F643" s="9" t="str">
        <f t="shared" si="159"/>
        <v>Valid</v>
      </c>
      <c r="G643" s="10">
        <f t="shared" si="160"/>
        <v>5</v>
      </c>
      <c r="H643" s="10" t="str">
        <f t="shared" si="161"/>
        <v>Valid</v>
      </c>
      <c r="I643" s="6" t="s">
        <v>3057</v>
      </c>
      <c r="J643" s="6" t="s">
        <v>45</v>
      </c>
      <c r="K643" s="6" t="s">
        <v>45</v>
      </c>
      <c r="L643" s="6" t="s">
        <v>46</v>
      </c>
      <c r="M643" s="7" t="str">
        <f t="shared" si="162"/>
        <v>Consumer</v>
      </c>
      <c r="N643" s="6" t="s">
        <v>47</v>
      </c>
      <c r="O643" s="7" t="str">
        <f t="shared" si="163"/>
        <v>North</v>
      </c>
      <c r="P643" s="6" t="s">
        <v>526</v>
      </c>
      <c r="Q643" s="6" t="s">
        <v>527</v>
      </c>
      <c r="R643" s="6" t="s">
        <v>65</v>
      </c>
      <c r="S643" s="7" t="str">
        <f t="shared" si="164"/>
        <v>Furniture</v>
      </c>
      <c r="T643" s="6" t="s">
        <v>85</v>
      </c>
      <c r="U643" s="6" t="s">
        <v>3058</v>
      </c>
      <c r="V643" s="6" t="s">
        <v>68</v>
      </c>
      <c r="W643" s="7" t="str">
        <f t="shared" si="165"/>
        <v>Same Day</v>
      </c>
      <c r="X643" s="6">
        <v>2</v>
      </c>
      <c r="Y643" s="6">
        <v>3202.87</v>
      </c>
      <c r="Z643" s="6">
        <v>0</v>
      </c>
      <c r="AA643" s="6">
        <f t="shared" ref="AA643:AA706" si="167">IF(Z643="",0,Z643)</f>
        <v>0</v>
      </c>
      <c r="AB643" s="6" t="str">
        <f t="shared" ref="AB643:AB706" si="168">IF(AA643&lt;0,"Invalid - Negative Discount",IF(AA643&gt;1,"Invalid - Discount Above Limit","Valid"))</f>
        <v>Valid</v>
      </c>
      <c r="AC643" s="6">
        <v>6405.74</v>
      </c>
      <c r="AD643" s="6" t="str">
        <f>IF(OR(AO643="Cancelled",AM643="Failed"),"Exclude from Completed Sales","Include in Completed Sales")</f>
        <v>Include in Completed Sales</v>
      </c>
      <c r="AE643" s="6">
        <f t="shared" ref="AE643:AE706" si="169">X643*Y643*(1-AA643)</f>
        <v>6405.74</v>
      </c>
      <c r="AF643" s="6" t="str">
        <f t="shared" ref="AF643:AF706" si="170">IF(TRIM(AM643)="Refunded","Refunded","")</f>
        <v/>
      </c>
      <c r="AG643" s="6">
        <v>3561.87</v>
      </c>
      <c r="AH643" s="6">
        <v>2843.87</v>
      </c>
      <c r="AI643" s="6">
        <f t="shared" ref="AI643:AI706" si="171">AE643-AG643</f>
        <v>2843.87</v>
      </c>
      <c r="AJ643" s="11">
        <f t="shared" ref="AJ643:AJ706" si="172">IF(AE643=0,0,AI643/AE643)</f>
        <v>0.44395651400150488</v>
      </c>
      <c r="AK643" s="11" t="str">
        <f t="shared" ref="AK643:AK706" si="173">TEXT(C643,"mmmm")</f>
        <v>April</v>
      </c>
      <c r="AL643" s="12">
        <f t="shared" ref="AL643:AL706" si="174">YEAR(C643)</f>
        <v>2025</v>
      </c>
      <c r="AM643" s="6" t="s">
        <v>54</v>
      </c>
      <c r="AN643" s="6" t="s">
        <v>55</v>
      </c>
      <c r="AO643" s="6" t="str">
        <f t="shared" si="166"/>
        <v>Completed</v>
      </c>
    </row>
    <row r="644" spans="1:41">
      <c r="A644" s="6" t="s">
        <v>3059</v>
      </c>
      <c r="B644" s="7" t="s">
        <v>1970</v>
      </c>
      <c r="C644" s="8">
        <v>45533</v>
      </c>
      <c r="D644" s="7" t="s">
        <v>57</v>
      </c>
      <c r="E644" s="9">
        <v>45535</v>
      </c>
      <c r="F644" s="9" t="str">
        <f t="shared" si="159"/>
        <v>Valid</v>
      </c>
      <c r="G644" s="10">
        <f t="shared" si="160"/>
        <v>2</v>
      </c>
      <c r="H644" s="10" t="str">
        <f t="shared" si="161"/>
        <v>Valid</v>
      </c>
      <c r="I644" s="6" t="s">
        <v>3060</v>
      </c>
      <c r="J644" s="6" t="s">
        <v>73</v>
      </c>
      <c r="K644" s="6" t="s">
        <v>73</v>
      </c>
      <c r="L644" s="6" t="s">
        <v>135</v>
      </c>
      <c r="M644" s="7" t="str">
        <f t="shared" si="162"/>
        <v>Home Office</v>
      </c>
      <c r="N644" s="6" t="s">
        <v>62</v>
      </c>
      <c r="O644" s="7" t="str">
        <f t="shared" si="163"/>
        <v>East</v>
      </c>
      <c r="P644" s="6" t="s">
        <v>236</v>
      </c>
      <c r="Q644" s="6" t="s">
        <v>237</v>
      </c>
      <c r="R644" s="6" t="s">
        <v>50</v>
      </c>
      <c r="S644" s="7" t="str">
        <f t="shared" si="164"/>
        <v>Office Supplies</v>
      </c>
      <c r="T644" s="6" t="s">
        <v>3061</v>
      </c>
      <c r="U644" s="6" t="s">
        <v>3062</v>
      </c>
      <c r="V644" s="6" t="s">
        <v>53</v>
      </c>
      <c r="W644" s="7" t="str">
        <f t="shared" si="165"/>
        <v>Second Class</v>
      </c>
      <c r="X644" s="6">
        <v>9</v>
      </c>
      <c r="Y644" s="6">
        <v>1275.21</v>
      </c>
      <c r="Z644" s="6">
        <v>0.25</v>
      </c>
      <c r="AA644" s="6">
        <f t="shared" si="167"/>
        <v>0.25</v>
      </c>
      <c r="AB644" s="6" t="str">
        <f t="shared" si="168"/>
        <v>Valid</v>
      </c>
      <c r="AC644" s="6">
        <v>8607.67</v>
      </c>
      <c r="AD644" s="6" t="str">
        <f>IF(OR(AO644="Cancelled",AM644="Failed"),"Exclude from Completed Sales","Include in Completed Sales")</f>
        <v>Exclude from Completed Sales</v>
      </c>
      <c r="AE644" s="6">
        <f t="shared" si="169"/>
        <v>8607.6674999999996</v>
      </c>
      <c r="AF644" s="6" t="str">
        <f t="shared" si="170"/>
        <v/>
      </c>
      <c r="AG644" s="6">
        <v>5337.64</v>
      </c>
      <c r="AH644" s="6">
        <v>3270.03</v>
      </c>
      <c r="AI644" s="6">
        <f t="shared" si="171"/>
        <v>3270.0274999999992</v>
      </c>
      <c r="AJ644" s="11">
        <f t="shared" si="172"/>
        <v>0.37989705108846261</v>
      </c>
      <c r="AK644" s="11" t="str">
        <f t="shared" si="173"/>
        <v>August</v>
      </c>
      <c r="AL644" s="12">
        <f t="shared" si="174"/>
        <v>2024</v>
      </c>
      <c r="AM644" s="6" t="s">
        <v>220</v>
      </c>
      <c r="AN644" s="6" t="s">
        <v>145</v>
      </c>
      <c r="AO644" s="6" t="str">
        <f t="shared" si="166"/>
        <v>Returned</v>
      </c>
    </row>
    <row r="645" spans="1:41">
      <c r="A645" s="6" t="s">
        <v>3063</v>
      </c>
      <c r="B645" s="7" t="s">
        <v>3064</v>
      </c>
      <c r="C645" s="8">
        <v>45327</v>
      </c>
      <c r="D645" s="7" t="s">
        <v>3065</v>
      </c>
      <c r="E645" s="9">
        <v>45335</v>
      </c>
      <c r="F645" s="9" t="str">
        <f t="shared" si="159"/>
        <v>Valid</v>
      </c>
      <c r="G645" s="10">
        <f t="shared" si="160"/>
        <v>8</v>
      </c>
      <c r="H645" s="10" t="str">
        <f t="shared" si="161"/>
        <v>Valid</v>
      </c>
      <c r="I645" s="6" t="s">
        <v>1116</v>
      </c>
      <c r="J645" s="6" t="s">
        <v>182</v>
      </c>
      <c r="K645" s="6" t="s">
        <v>182</v>
      </c>
      <c r="L645" s="6" t="s">
        <v>135</v>
      </c>
      <c r="M645" s="7" t="str">
        <f t="shared" si="162"/>
        <v>Home Office</v>
      </c>
      <c r="N645" s="6" t="s">
        <v>47</v>
      </c>
      <c r="O645" s="7" t="str">
        <f t="shared" si="163"/>
        <v>North</v>
      </c>
      <c r="P645" s="6" t="s">
        <v>194</v>
      </c>
      <c r="Q645" s="6" t="s">
        <v>195</v>
      </c>
      <c r="R645" s="6" t="s">
        <v>50</v>
      </c>
      <c r="S645" s="7" t="str">
        <f t="shared" si="164"/>
        <v>Office Supplies</v>
      </c>
      <c r="T645" s="6" t="s">
        <v>129</v>
      </c>
      <c r="U645" s="6" t="s">
        <v>3066</v>
      </c>
      <c r="V645" s="6" t="s">
        <v>87</v>
      </c>
      <c r="W645" s="7" t="str">
        <f t="shared" si="165"/>
        <v>Standard Class</v>
      </c>
      <c r="X645" s="6">
        <v>8</v>
      </c>
      <c r="Y645" s="6">
        <v>3871.18</v>
      </c>
      <c r="Z645" s="6">
        <v>0.15</v>
      </c>
      <c r="AA645" s="6">
        <f t="shared" si="167"/>
        <v>0.15</v>
      </c>
      <c r="AB645" s="6" t="str">
        <f t="shared" si="168"/>
        <v>Valid</v>
      </c>
      <c r="AC645" s="6">
        <v>26324.02</v>
      </c>
      <c r="AD645" s="6" t="str">
        <f>IF(OR(AO645="Cancelled",AM645="Failed"),"Exclude from Completed Sales","Include in Completed Sales")</f>
        <v>Exclude from Completed Sales</v>
      </c>
      <c r="AE645" s="6">
        <f t="shared" si="169"/>
        <v>26324.023999999998</v>
      </c>
      <c r="AF645" s="6" t="str">
        <f t="shared" si="170"/>
        <v/>
      </c>
      <c r="AG645" s="6">
        <v>16277.96</v>
      </c>
      <c r="AH645" s="6">
        <v>10046.06</v>
      </c>
      <c r="AI645" s="6">
        <f t="shared" si="171"/>
        <v>10046.063999999998</v>
      </c>
      <c r="AJ645" s="11">
        <f t="shared" si="172"/>
        <v>0.3816310150758106</v>
      </c>
      <c r="AK645" s="11" t="str">
        <f t="shared" si="173"/>
        <v>February</v>
      </c>
      <c r="AL645" s="12">
        <f t="shared" si="174"/>
        <v>2024</v>
      </c>
      <c r="AM645" s="6" t="s">
        <v>220</v>
      </c>
      <c r="AN645" s="6" t="s">
        <v>145</v>
      </c>
      <c r="AO645" s="6" t="str">
        <f t="shared" si="166"/>
        <v>Returned</v>
      </c>
    </row>
    <row r="646" spans="1:41">
      <c r="A646" s="6" t="s">
        <v>3067</v>
      </c>
      <c r="B646" s="7" t="s">
        <v>2611</v>
      </c>
      <c r="C646" s="8">
        <v>45757</v>
      </c>
      <c r="D646" s="7" t="s">
        <v>3068</v>
      </c>
      <c r="E646" s="9">
        <v>45764</v>
      </c>
      <c r="F646" s="9" t="str">
        <f t="shared" si="159"/>
        <v>Valid</v>
      </c>
      <c r="G646" s="10">
        <f t="shared" si="160"/>
        <v>7</v>
      </c>
      <c r="H646" s="10" t="str">
        <f t="shared" si="161"/>
        <v>Valid</v>
      </c>
      <c r="I646" s="6" t="s">
        <v>3069</v>
      </c>
      <c r="J646" s="6" t="s">
        <v>103</v>
      </c>
      <c r="K646" s="6" t="s">
        <v>103</v>
      </c>
      <c r="L646" s="6" t="s">
        <v>46</v>
      </c>
      <c r="M646" s="7" t="str">
        <f t="shared" si="162"/>
        <v>Consumer</v>
      </c>
      <c r="N646" s="6" t="s">
        <v>62</v>
      </c>
      <c r="O646" s="7" t="str">
        <f t="shared" si="163"/>
        <v>East</v>
      </c>
      <c r="P646" s="6" t="s">
        <v>141</v>
      </c>
      <c r="Q646" s="6" t="s">
        <v>142</v>
      </c>
      <c r="R646" s="6" t="s">
        <v>65</v>
      </c>
      <c r="S646" s="7" t="str">
        <f t="shared" si="164"/>
        <v>Furniture</v>
      </c>
      <c r="T646" s="6" t="s">
        <v>96</v>
      </c>
      <c r="U646" s="6" t="s">
        <v>3070</v>
      </c>
      <c r="V646" s="6" t="s">
        <v>87</v>
      </c>
      <c r="W646" s="7" t="str">
        <f t="shared" si="165"/>
        <v>Standard Class</v>
      </c>
      <c r="X646" s="6">
        <v>4</v>
      </c>
      <c r="Y646" s="6">
        <v>3750.02</v>
      </c>
      <c r="Z646" s="6">
        <v>0.05</v>
      </c>
      <c r="AA646" s="6">
        <f t="shared" si="167"/>
        <v>0.05</v>
      </c>
      <c r="AB646" s="6" t="str">
        <f t="shared" si="168"/>
        <v>Valid</v>
      </c>
      <c r="AC646" s="6">
        <v>14250.08</v>
      </c>
      <c r="AD646" s="6" t="str">
        <f>IF(OR(AO646="Cancelled",AM646="Failed"),"Exclude from Completed Sales","Include in Completed Sales")</f>
        <v>Include in Completed Sales</v>
      </c>
      <c r="AE646" s="6">
        <f t="shared" si="169"/>
        <v>14250.075999999999</v>
      </c>
      <c r="AF646" s="6" t="str">
        <f t="shared" si="170"/>
        <v/>
      </c>
      <c r="AG646" s="6">
        <v>10914.92</v>
      </c>
      <c r="AH646" s="6">
        <v>3335.16</v>
      </c>
      <c r="AI646" s="6">
        <f t="shared" si="171"/>
        <v>3335.155999999999</v>
      </c>
      <c r="AJ646" s="11">
        <f t="shared" si="172"/>
        <v>0.23404478684885605</v>
      </c>
      <c r="AK646" s="11" t="str">
        <f t="shared" si="173"/>
        <v>April</v>
      </c>
      <c r="AL646" s="12">
        <f t="shared" si="174"/>
        <v>2025</v>
      </c>
      <c r="AM646" s="6" t="s">
        <v>54</v>
      </c>
      <c r="AN646" s="6" t="s">
        <v>55</v>
      </c>
      <c r="AO646" s="6" t="str">
        <f t="shared" si="166"/>
        <v>Completed</v>
      </c>
    </row>
    <row r="647" spans="1:41">
      <c r="A647" s="6" t="s">
        <v>3071</v>
      </c>
      <c r="B647" s="7" t="s">
        <v>3072</v>
      </c>
      <c r="C647" s="8">
        <v>45295</v>
      </c>
      <c r="D647" s="7" t="s">
        <v>2765</v>
      </c>
      <c r="E647" s="9">
        <v>45300</v>
      </c>
      <c r="F647" s="9" t="str">
        <f t="shared" si="159"/>
        <v>Valid</v>
      </c>
      <c r="G647" s="10">
        <f t="shared" si="160"/>
        <v>5</v>
      </c>
      <c r="H647" s="10" t="str">
        <f t="shared" si="161"/>
        <v>Valid</v>
      </c>
      <c r="I647" s="6" t="s">
        <v>3073</v>
      </c>
      <c r="J647" s="6" t="s">
        <v>386</v>
      </c>
      <c r="K647" s="6" t="s">
        <v>386</v>
      </c>
      <c r="L647" s="6" t="s">
        <v>46</v>
      </c>
      <c r="M647" s="7" t="str">
        <f t="shared" si="162"/>
        <v>Consumer</v>
      </c>
      <c r="N647" s="6" t="s">
        <v>62</v>
      </c>
      <c r="O647" s="7" t="str">
        <f t="shared" si="163"/>
        <v>East</v>
      </c>
      <c r="P647" s="6" t="s">
        <v>206</v>
      </c>
      <c r="Q647" s="6" t="s">
        <v>207</v>
      </c>
      <c r="R647" s="6" t="s">
        <v>65</v>
      </c>
      <c r="S647" s="7" t="str">
        <f t="shared" si="164"/>
        <v>Furniture</v>
      </c>
      <c r="T647" s="6" t="s">
        <v>96</v>
      </c>
      <c r="U647" s="6" t="s">
        <v>3074</v>
      </c>
      <c r="V647" s="6" t="s">
        <v>53</v>
      </c>
      <c r="W647" s="7" t="str">
        <f t="shared" si="165"/>
        <v>Second Class</v>
      </c>
      <c r="X647" s="6">
        <v>6</v>
      </c>
      <c r="Y647" s="6">
        <v>2423.61</v>
      </c>
      <c r="Z647" s="6">
        <v>0.1</v>
      </c>
      <c r="AA647" s="6">
        <f t="shared" si="167"/>
        <v>0.1</v>
      </c>
      <c r="AB647" s="6" t="str">
        <f t="shared" si="168"/>
        <v>Valid</v>
      </c>
      <c r="AC647" s="6">
        <v>13087.49</v>
      </c>
      <c r="AD647" s="6" t="str">
        <f>IF(OR(AO647="Cancelled",AM647="Failed"),"Exclude from Completed Sales","Include in Completed Sales")</f>
        <v>Include in Completed Sales</v>
      </c>
      <c r="AE647" s="6">
        <f t="shared" si="169"/>
        <v>13087.494000000001</v>
      </c>
      <c r="AF647" s="6" t="str">
        <f t="shared" si="170"/>
        <v/>
      </c>
      <c r="AG647" s="6">
        <v>7608.89</v>
      </c>
      <c r="AH647" s="6">
        <v>5133.22</v>
      </c>
      <c r="AI647" s="6">
        <f t="shared" si="171"/>
        <v>5478.6040000000003</v>
      </c>
      <c r="AJ647" s="11">
        <f t="shared" si="172"/>
        <v>0.41861367806548755</v>
      </c>
      <c r="AK647" s="11" t="str">
        <f t="shared" si="173"/>
        <v>January</v>
      </c>
      <c r="AL647" s="12">
        <f t="shared" si="174"/>
        <v>2024</v>
      </c>
      <c r="AM647" s="6" t="s">
        <v>54</v>
      </c>
      <c r="AN647" s="6" t="s">
        <v>55</v>
      </c>
      <c r="AO647" s="6" t="str">
        <f t="shared" si="166"/>
        <v>Completed</v>
      </c>
    </row>
    <row r="648" spans="1:41">
      <c r="A648" s="6" t="s">
        <v>3075</v>
      </c>
      <c r="B648" s="7" t="s">
        <v>3076</v>
      </c>
      <c r="C648" s="8">
        <v>45553</v>
      </c>
      <c r="D648" s="7" t="s">
        <v>3077</v>
      </c>
      <c r="E648" s="9">
        <v>45559</v>
      </c>
      <c r="F648" s="9" t="str">
        <f t="shared" si="159"/>
        <v>Valid</v>
      </c>
      <c r="G648" s="10">
        <f t="shared" si="160"/>
        <v>6</v>
      </c>
      <c r="H648" s="10" t="str">
        <f t="shared" si="161"/>
        <v>Valid</v>
      </c>
      <c r="I648" s="6" t="s">
        <v>3078</v>
      </c>
      <c r="J648" s="6" t="s">
        <v>103</v>
      </c>
      <c r="K648" s="6" t="s">
        <v>103</v>
      </c>
      <c r="L648" s="6" t="s">
        <v>61</v>
      </c>
      <c r="M648" s="7" t="str">
        <f t="shared" si="162"/>
        <v>Small Business</v>
      </c>
      <c r="N648" s="6" t="s">
        <v>62</v>
      </c>
      <c r="O648" s="7" t="str">
        <f t="shared" si="163"/>
        <v>East</v>
      </c>
      <c r="P648" s="6" t="s">
        <v>331</v>
      </c>
      <c r="Q648" s="6" t="s">
        <v>332</v>
      </c>
      <c r="R648" s="6" t="s">
        <v>106</v>
      </c>
      <c r="S648" s="7" t="str">
        <f t="shared" si="164"/>
        <v>Technology</v>
      </c>
      <c r="T648" s="6" t="s">
        <v>402</v>
      </c>
      <c r="U648" s="6" t="s">
        <v>3079</v>
      </c>
      <c r="V648" s="6" t="s">
        <v>76</v>
      </c>
      <c r="W648" s="7" t="str">
        <f t="shared" si="165"/>
        <v>First Class</v>
      </c>
      <c r="X648" s="6">
        <v>3</v>
      </c>
      <c r="Y648" s="6">
        <v>729.14</v>
      </c>
      <c r="Z648" s="6">
        <v>0.25</v>
      </c>
      <c r="AA648" s="6">
        <f t="shared" si="167"/>
        <v>0.25</v>
      </c>
      <c r="AB648" s="6" t="str">
        <f t="shared" si="168"/>
        <v>Valid</v>
      </c>
      <c r="AC648" s="6">
        <v>1640.57</v>
      </c>
      <c r="AD648" s="6" t="str">
        <f>IF(OR(AO648="Cancelled",AM648="Failed"),"Exclude from Completed Sales","Include in Completed Sales")</f>
        <v>Include in Completed Sales</v>
      </c>
      <c r="AE648" s="6">
        <f t="shared" si="169"/>
        <v>1640.5650000000001</v>
      </c>
      <c r="AF648" s="6" t="str">
        <f t="shared" si="170"/>
        <v/>
      </c>
      <c r="AG648" s="6">
        <v>1136.98</v>
      </c>
      <c r="AH648" s="6">
        <v>503.59</v>
      </c>
      <c r="AI648" s="6">
        <f t="shared" si="171"/>
        <v>503.58500000000004</v>
      </c>
      <c r="AJ648" s="11">
        <f t="shared" si="172"/>
        <v>0.30695827352162214</v>
      </c>
      <c r="AK648" s="11" t="str">
        <f t="shared" si="173"/>
        <v>September</v>
      </c>
      <c r="AL648" s="12">
        <f t="shared" si="174"/>
        <v>2024</v>
      </c>
      <c r="AM648" s="6" t="s">
        <v>54</v>
      </c>
      <c r="AN648" s="6" t="s">
        <v>55</v>
      </c>
      <c r="AO648" s="6" t="str">
        <f t="shared" si="166"/>
        <v>Completed</v>
      </c>
    </row>
    <row r="649" spans="1:41">
      <c r="A649" s="6" t="s">
        <v>3080</v>
      </c>
      <c r="B649" s="7" t="s">
        <v>1349</v>
      </c>
      <c r="C649" s="8">
        <v>45658</v>
      </c>
      <c r="D649" s="7" t="s">
        <v>3081</v>
      </c>
      <c r="E649" s="9">
        <v>45666</v>
      </c>
      <c r="F649" s="9" t="str">
        <f t="shared" si="159"/>
        <v>Valid</v>
      </c>
      <c r="G649" s="10">
        <f t="shared" si="160"/>
        <v>8</v>
      </c>
      <c r="H649" s="10" t="str">
        <f t="shared" si="161"/>
        <v>Valid</v>
      </c>
      <c r="I649" s="6" t="s">
        <v>3082</v>
      </c>
      <c r="J649" s="6" t="s">
        <v>3083</v>
      </c>
      <c r="K649" s="6" t="s">
        <v>200</v>
      </c>
      <c r="L649" s="6" t="s">
        <v>61</v>
      </c>
      <c r="M649" s="7" t="str">
        <f t="shared" si="162"/>
        <v>Small Business</v>
      </c>
      <c r="N649" s="6" t="s">
        <v>47</v>
      </c>
      <c r="O649" s="7" t="str">
        <f t="shared" si="163"/>
        <v>North</v>
      </c>
      <c r="P649" s="6" t="s">
        <v>174</v>
      </c>
      <c r="Q649" s="6" t="s">
        <v>175</v>
      </c>
      <c r="R649" s="6" t="s">
        <v>50</v>
      </c>
      <c r="S649" s="7" t="str">
        <f t="shared" si="164"/>
        <v>Office Supplies</v>
      </c>
      <c r="T649" s="6" t="s">
        <v>74</v>
      </c>
      <c r="U649" s="6" t="s">
        <v>3084</v>
      </c>
      <c r="V649" s="6" t="s">
        <v>76</v>
      </c>
      <c r="W649" s="7" t="str">
        <f t="shared" si="165"/>
        <v>First Class</v>
      </c>
      <c r="X649" s="6">
        <v>8</v>
      </c>
      <c r="Y649" s="6">
        <v>2123.81</v>
      </c>
      <c r="Z649" s="6">
        <v>0.15</v>
      </c>
      <c r="AA649" s="6">
        <f t="shared" si="167"/>
        <v>0.15</v>
      </c>
      <c r="AB649" s="6" t="str">
        <f t="shared" si="168"/>
        <v>Valid</v>
      </c>
      <c r="AC649" s="6">
        <v>14441.91</v>
      </c>
      <c r="AD649" s="6" t="str">
        <f>IF(OR(AO649="Cancelled",AM649="Failed"),"Exclude from Completed Sales","Include in Completed Sales")</f>
        <v>Include in Completed Sales</v>
      </c>
      <c r="AE649" s="6">
        <f t="shared" si="169"/>
        <v>14441.907999999999</v>
      </c>
      <c r="AF649" s="6" t="str">
        <f t="shared" si="170"/>
        <v/>
      </c>
      <c r="AG649" s="6">
        <v>10872.89</v>
      </c>
      <c r="AH649" s="6">
        <v>3569.02</v>
      </c>
      <c r="AI649" s="6">
        <f t="shared" si="171"/>
        <v>3569.018</v>
      </c>
      <c r="AJ649" s="11">
        <f t="shared" si="172"/>
        <v>0.24712925743606731</v>
      </c>
      <c r="AK649" s="11" t="str">
        <f t="shared" si="173"/>
        <v>January</v>
      </c>
      <c r="AL649" s="12">
        <f t="shared" si="174"/>
        <v>2025</v>
      </c>
      <c r="AM649" s="6" t="s">
        <v>54</v>
      </c>
      <c r="AN649" s="6" t="s">
        <v>55</v>
      </c>
      <c r="AO649" s="6" t="str">
        <f t="shared" si="166"/>
        <v>Completed</v>
      </c>
    </row>
    <row r="650" spans="1:41">
      <c r="A650" s="6" t="s">
        <v>3085</v>
      </c>
      <c r="B650" s="7" t="s">
        <v>3086</v>
      </c>
      <c r="C650" s="8">
        <v>45403</v>
      </c>
      <c r="D650" s="7" t="s">
        <v>378</v>
      </c>
      <c r="E650" s="9">
        <v>45406</v>
      </c>
      <c r="F650" s="9" t="str">
        <f t="shared" si="159"/>
        <v>Valid</v>
      </c>
      <c r="G650" s="10">
        <f t="shared" si="160"/>
        <v>3</v>
      </c>
      <c r="H650" s="10" t="str">
        <f t="shared" si="161"/>
        <v>Valid</v>
      </c>
      <c r="I650" s="6" t="s">
        <v>3087</v>
      </c>
      <c r="J650" s="6" t="s">
        <v>113</v>
      </c>
      <c r="K650" s="6" t="s">
        <v>113</v>
      </c>
      <c r="L650" s="6" t="s">
        <v>61</v>
      </c>
      <c r="M650" s="7" t="str">
        <f t="shared" si="162"/>
        <v>Small Business</v>
      </c>
      <c r="N650" s="6" t="s">
        <v>82</v>
      </c>
      <c r="O650" s="7" t="str">
        <f t="shared" si="163"/>
        <v>South</v>
      </c>
      <c r="P650" s="6" t="s">
        <v>120</v>
      </c>
      <c r="Q650" s="6" t="s">
        <v>121</v>
      </c>
      <c r="R650" s="6" t="s">
        <v>50</v>
      </c>
      <c r="S650" s="7" t="str">
        <f t="shared" si="164"/>
        <v>Office Supplies</v>
      </c>
      <c r="T650" s="6" t="s">
        <v>74</v>
      </c>
      <c r="U650" s="6" t="s">
        <v>3088</v>
      </c>
      <c r="V650" s="6" t="s">
        <v>68</v>
      </c>
      <c r="W650" s="7" t="str">
        <f t="shared" si="165"/>
        <v>Same Day</v>
      </c>
      <c r="X650" s="6">
        <v>9</v>
      </c>
      <c r="Y650" s="6">
        <v>703.59</v>
      </c>
      <c r="Z650" s="6">
        <v>0.2</v>
      </c>
      <c r="AA650" s="6">
        <f t="shared" si="167"/>
        <v>0.2</v>
      </c>
      <c r="AB650" s="6" t="str">
        <f t="shared" si="168"/>
        <v>Valid</v>
      </c>
      <c r="AC650" s="6">
        <v>5065.8500000000004</v>
      </c>
      <c r="AD650" s="6" t="str">
        <f>IF(OR(AO650="Cancelled",AM650="Failed"),"Exclude from Completed Sales","Include in Completed Sales")</f>
        <v>Exclude from Completed Sales</v>
      </c>
      <c r="AE650" s="6">
        <f t="shared" si="169"/>
        <v>5065.8480000000009</v>
      </c>
      <c r="AF650" s="6" t="str">
        <f t="shared" si="170"/>
        <v/>
      </c>
      <c r="AG650" s="6">
        <v>3517.23</v>
      </c>
      <c r="AH650" s="6">
        <v>1548.62</v>
      </c>
      <c r="AI650" s="6">
        <f t="shared" si="171"/>
        <v>1548.6180000000008</v>
      </c>
      <c r="AJ650" s="11">
        <f t="shared" si="172"/>
        <v>0.30569768378364304</v>
      </c>
      <c r="AK650" s="11" t="str">
        <f t="shared" si="173"/>
        <v>April</v>
      </c>
      <c r="AL650" s="12">
        <f t="shared" si="174"/>
        <v>2024</v>
      </c>
      <c r="AM650" s="6" t="s">
        <v>220</v>
      </c>
      <c r="AN650" s="6" t="s">
        <v>145</v>
      </c>
      <c r="AO650" s="6" t="str">
        <f t="shared" si="166"/>
        <v>Returned</v>
      </c>
    </row>
    <row r="651" spans="1:41">
      <c r="A651" s="6" t="s">
        <v>3089</v>
      </c>
      <c r="B651" s="7" t="s">
        <v>3090</v>
      </c>
      <c r="C651" s="8">
        <v>45880</v>
      </c>
      <c r="D651" s="7" t="s">
        <v>3091</v>
      </c>
      <c r="E651" s="9">
        <v>45888</v>
      </c>
      <c r="F651" s="9" t="str">
        <f t="shared" si="159"/>
        <v>Valid</v>
      </c>
      <c r="G651" s="10">
        <f t="shared" si="160"/>
        <v>8</v>
      </c>
      <c r="H651" s="10" t="str">
        <f t="shared" si="161"/>
        <v>Valid</v>
      </c>
      <c r="I651" s="6" t="s">
        <v>3092</v>
      </c>
      <c r="J651" s="6" t="s">
        <v>386</v>
      </c>
      <c r="K651" s="6" t="s">
        <v>386</v>
      </c>
      <c r="L651" s="6" t="s">
        <v>61</v>
      </c>
      <c r="M651" s="7" t="str">
        <f t="shared" si="162"/>
        <v>Small Business</v>
      </c>
      <c r="N651" s="6" t="s">
        <v>82</v>
      </c>
      <c r="O651" s="7" t="str">
        <f t="shared" si="163"/>
        <v>South</v>
      </c>
      <c r="P651" s="6" t="s">
        <v>262</v>
      </c>
      <c r="Q651" s="6" t="s">
        <v>263</v>
      </c>
      <c r="R651" s="6" t="s">
        <v>106</v>
      </c>
      <c r="S651" s="7" t="str">
        <f t="shared" si="164"/>
        <v>Technology</v>
      </c>
      <c r="T651" s="6" t="s">
        <v>107</v>
      </c>
      <c r="U651" s="6" t="s">
        <v>3093</v>
      </c>
      <c r="V651" s="6" t="s">
        <v>87</v>
      </c>
      <c r="W651" s="7" t="str">
        <f t="shared" si="165"/>
        <v>Standard Class</v>
      </c>
      <c r="X651" s="6">
        <v>4</v>
      </c>
      <c r="Y651" s="6">
        <v>2258.96</v>
      </c>
      <c r="Z651" s="6">
        <v>0.25</v>
      </c>
      <c r="AA651" s="6">
        <f t="shared" si="167"/>
        <v>0.25</v>
      </c>
      <c r="AB651" s="6" t="str">
        <f t="shared" si="168"/>
        <v>Valid</v>
      </c>
      <c r="AC651" s="6">
        <v>6776.88</v>
      </c>
      <c r="AD651" s="6" t="str">
        <f>IF(OR(AO651="Cancelled",AM651="Failed"),"Exclude from Completed Sales","Include in Completed Sales")</f>
        <v>Include in Completed Sales</v>
      </c>
      <c r="AE651" s="6">
        <f t="shared" si="169"/>
        <v>6776.88</v>
      </c>
      <c r="AF651" s="6" t="str">
        <f t="shared" si="170"/>
        <v/>
      </c>
      <c r="AG651" s="6">
        <v>3836.24</v>
      </c>
      <c r="AH651" s="6">
        <v>2940.64</v>
      </c>
      <c r="AI651" s="6">
        <f t="shared" si="171"/>
        <v>2940.6400000000003</v>
      </c>
      <c r="AJ651" s="11">
        <f t="shared" si="172"/>
        <v>0.43392239496641527</v>
      </c>
      <c r="AK651" s="11" t="str">
        <f t="shared" si="173"/>
        <v>August</v>
      </c>
      <c r="AL651" s="12">
        <f t="shared" si="174"/>
        <v>2025</v>
      </c>
      <c r="AM651" s="6" t="s">
        <v>54</v>
      </c>
      <c r="AN651" s="6" t="s">
        <v>55</v>
      </c>
      <c r="AO651" s="6" t="str">
        <f t="shared" si="166"/>
        <v>Completed</v>
      </c>
    </row>
    <row r="652" spans="1:41">
      <c r="A652" s="6" t="s">
        <v>3094</v>
      </c>
      <c r="B652" s="7" t="s">
        <v>3095</v>
      </c>
      <c r="C652" s="8">
        <v>45395</v>
      </c>
      <c r="D652" s="7" t="s">
        <v>3096</v>
      </c>
      <c r="E652" s="9">
        <v>45403</v>
      </c>
      <c r="F652" s="9" t="str">
        <f t="shared" si="159"/>
        <v>Valid</v>
      </c>
      <c r="G652" s="10">
        <f t="shared" si="160"/>
        <v>8</v>
      </c>
      <c r="H652" s="10" t="str">
        <f t="shared" si="161"/>
        <v>Valid</v>
      </c>
      <c r="I652" s="6" t="s">
        <v>567</v>
      </c>
      <c r="J652" s="6" t="s">
        <v>182</v>
      </c>
      <c r="K652" s="6" t="s">
        <v>182</v>
      </c>
      <c r="L652" s="6" t="s">
        <v>135</v>
      </c>
      <c r="M652" s="7" t="str">
        <f t="shared" si="162"/>
        <v>Home Office</v>
      </c>
      <c r="N652" s="6" t="s">
        <v>62</v>
      </c>
      <c r="O652" s="7" t="str">
        <f t="shared" si="163"/>
        <v>East</v>
      </c>
      <c r="P652" s="6" t="s">
        <v>206</v>
      </c>
      <c r="Q652" s="6" t="s">
        <v>207</v>
      </c>
      <c r="R652" s="6" t="s">
        <v>106</v>
      </c>
      <c r="S652" s="7" t="str">
        <f t="shared" si="164"/>
        <v>Technology</v>
      </c>
      <c r="T652" s="6" t="s">
        <v>107</v>
      </c>
      <c r="U652" s="6" t="s">
        <v>3097</v>
      </c>
      <c r="V652" s="6" t="s">
        <v>68</v>
      </c>
      <c r="W652" s="7" t="str">
        <f t="shared" si="165"/>
        <v>Same Day</v>
      </c>
      <c r="X652" s="6">
        <v>7</v>
      </c>
      <c r="Y652" s="6">
        <v>2648.76</v>
      </c>
      <c r="Z652" s="6">
        <v>0.15</v>
      </c>
      <c r="AA652" s="6">
        <f t="shared" si="167"/>
        <v>0.15</v>
      </c>
      <c r="AB652" s="6" t="str">
        <f t="shared" si="168"/>
        <v>Valid</v>
      </c>
      <c r="AC652" s="6">
        <v>15760.12</v>
      </c>
      <c r="AD652" s="6" t="str">
        <f>IF(OR(AO652="Cancelled",AM652="Failed"),"Exclude from Completed Sales","Include in Completed Sales")</f>
        <v>Exclude from Completed Sales</v>
      </c>
      <c r="AE652" s="6">
        <f t="shared" si="169"/>
        <v>15760.121999999999</v>
      </c>
      <c r="AF652" s="6" t="str">
        <f t="shared" si="170"/>
        <v/>
      </c>
      <c r="AG652" s="6">
        <v>9931.5300000000007</v>
      </c>
      <c r="AH652" s="6">
        <v>5828.59</v>
      </c>
      <c r="AI652" s="6">
        <f t="shared" si="171"/>
        <v>5828.5919999999987</v>
      </c>
      <c r="AJ652" s="11">
        <f t="shared" si="172"/>
        <v>0.36983165485647884</v>
      </c>
      <c r="AK652" s="11" t="str">
        <f t="shared" si="173"/>
        <v>April</v>
      </c>
      <c r="AL652" s="12">
        <f t="shared" si="174"/>
        <v>2024</v>
      </c>
      <c r="AM652" s="6" t="s">
        <v>220</v>
      </c>
      <c r="AN652" s="6" t="s">
        <v>145</v>
      </c>
      <c r="AO652" s="6" t="str">
        <f t="shared" si="166"/>
        <v>Returned</v>
      </c>
    </row>
    <row r="653" spans="1:41">
      <c r="A653" s="6" t="s">
        <v>3098</v>
      </c>
      <c r="B653" s="7" t="s">
        <v>1391</v>
      </c>
      <c r="C653" s="8">
        <v>45875</v>
      </c>
      <c r="D653" s="7" t="s">
        <v>3099</v>
      </c>
      <c r="E653" s="9">
        <v>45878</v>
      </c>
      <c r="F653" s="9" t="str">
        <f t="shared" si="159"/>
        <v>Valid</v>
      </c>
      <c r="G653" s="10">
        <f t="shared" si="160"/>
        <v>3</v>
      </c>
      <c r="H653" s="10" t="str">
        <f t="shared" si="161"/>
        <v>Valid</v>
      </c>
      <c r="I653" s="6" t="s">
        <v>3100</v>
      </c>
      <c r="J653" s="6" t="s">
        <v>60</v>
      </c>
      <c r="K653" s="6" t="s">
        <v>60</v>
      </c>
      <c r="L653" s="6" t="s">
        <v>61</v>
      </c>
      <c r="M653" s="7" t="str">
        <f t="shared" si="162"/>
        <v>Small Business</v>
      </c>
      <c r="N653" s="6" t="s">
        <v>82</v>
      </c>
      <c r="O653" s="7" t="str">
        <f t="shared" si="163"/>
        <v>South</v>
      </c>
      <c r="P653" s="6" t="s">
        <v>120</v>
      </c>
      <c r="Q653" s="6" t="s">
        <v>121</v>
      </c>
      <c r="R653" s="6" t="s">
        <v>50</v>
      </c>
      <c r="S653" s="7" t="str">
        <f t="shared" si="164"/>
        <v>Office Supplies</v>
      </c>
      <c r="T653" s="6" t="s">
        <v>51</v>
      </c>
      <c r="U653" s="6" t="s">
        <v>3101</v>
      </c>
      <c r="V653" s="6" t="s">
        <v>53</v>
      </c>
      <c r="W653" s="7" t="str">
        <f t="shared" si="165"/>
        <v>Second Class</v>
      </c>
      <c r="X653" s="6">
        <v>3</v>
      </c>
      <c r="Y653" s="6">
        <v>598.54999999999995</v>
      </c>
      <c r="Z653" s="6">
        <v>0</v>
      </c>
      <c r="AA653" s="6">
        <f t="shared" si="167"/>
        <v>0</v>
      </c>
      <c r="AB653" s="6" t="str">
        <f t="shared" si="168"/>
        <v>Valid</v>
      </c>
      <c r="AC653" s="6">
        <v>1795.65</v>
      </c>
      <c r="AD653" s="6" t="str">
        <f>IF(OR(AO653="Cancelled",AM653="Failed"),"Exclude from Completed Sales","Include in Completed Sales")</f>
        <v>Include in Completed Sales</v>
      </c>
      <c r="AE653" s="6">
        <f t="shared" si="169"/>
        <v>1795.6499999999999</v>
      </c>
      <c r="AF653" s="6" t="str">
        <f t="shared" si="170"/>
        <v/>
      </c>
      <c r="AG653" s="6">
        <v>996.72</v>
      </c>
      <c r="AH653" s="6">
        <v>798.93</v>
      </c>
      <c r="AI653" s="6">
        <f t="shared" si="171"/>
        <v>798.92999999999984</v>
      </c>
      <c r="AJ653" s="11">
        <f t="shared" si="172"/>
        <v>0.44492523598696843</v>
      </c>
      <c r="AK653" s="11" t="str">
        <f t="shared" si="173"/>
        <v>August</v>
      </c>
      <c r="AL653" s="12">
        <f t="shared" si="174"/>
        <v>2025</v>
      </c>
      <c r="AM653" s="6" t="s">
        <v>54</v>
      </c>
      <c r="AN653" s="6" t="s">
        <v>55</v>
      </c>
      <c r="AO653" s="6" t="str">
        <f t="shared" si="166"/>
        <v>Completed</v>
      </c>
    </row>
    <row r="654" spans="1:41">
      <c r="A654" s="6" t="s">
        <v>3102</v>
      </c>
      <c r="B654" s="7" t="s">
        <v>3103</v>
      </c>
      <c r="C654" s="8">
        <v>45733</v>
      </c>
      <c r="D654" s="7" t="s">
        <v>3104</v>
      </c>
      <c r="E654" s="9">
        <v>45737</v>
      </c>
      <c r="F654" s="9" t="str">
        <f t="shared" si="159"/>
        <v>Valid</v>
      </c>
      <c r="G654" s="10">
        <f t="shared" si="160"/>
        <v>4</v>
      </c>
      <c r="H654" s="10" t="str">
        <f t="shared" si="161"/>
        <v>Valid</v>
      </c>
      <c r="I654" s="6" t="s">
        <v>2587</v>
      </c>
      <c r="J654" s="6" t="s">
        <v>188</v>
      </c>
      <c r="K654" s="6" t="s">
        <v>188</v>
      </c>
      <c r="L654" s="6" t="s">
        <v>46</v>
      </c>
      <c r="M654" s="7" t="str">
        <f t="shared" si="162"/>
        <v>Consumer</v>
      </c>
      <c r="N654" s="6" t="s">
        <v>47</v>
      </c>
      <c r="O654" s="7" t="str">
        <f t="shared" si="163"/>
        <v>North</v>
      </c>
      <c r="P654" s="6" t="s">
        <v>194</v>
      </c>
      <c r="Q654" s="6" t="s">
        <v>195</v>
      </c>
      <c r="R654" s="6" t="s">
        <v>50</v>
      </c>
      <c r="S654" s="7" t="str">
        <f t="shared" si="164"/>
        <v>Office Supplies</v>
      </c>
      <c r="T654" s="6" t="s">
        <v>218</v>
      </c>
      <c r="U654" s="6" t="s">
        <v>3105</v>
      </c>
      <c r="V654" s="6" t="s">
        <v>87</v>
      </c>
      <c r="W654" s="7" t="str">
        <f t="shared" si="165"/>
        <v>Standard Class</v>
      </c>
      <c r="X654" s="6">
        <v>5</v>
      </c>
      <c r="Y654" s="6">
        <v>4320.59</v>
      </c>
      <c r="Z654" s="6">
        <v>0.15</v>
      </c>
      <c r="AA654" s="6">
        <f t="shared" si="167"/>
        <v>0.15</v>
      </c>
      <c r="AB654" s="6" t="str">
        <f t="shared" si="168"/>
        <v>Valid</v>
      </c>
      <c r="AC654" s="6">
        <v>18362.509999999998</v>
      </c>
      <c r="AD654" s="6" t="str">
        <f>IF(OR(AO654="Cancelled",AM654="Failed"),"Exclude from Completed Sales","Include in Completed Sales")</f>
        <v>Include in Completed Sales</v>
      </c>
      <c r="AE654" s="6">
        <f t="shared" si="169"/>
        <v>18362.5075</v>
      </c>
      <c r="AF654" s="6" t="str">
        <f t="shared" si="170"/>
        <v/>
      </c>
      <c r="AG654" s="6">
        <v>11133.97</v>
      </c>
      <c r="AH654" s="6">
        <v>7228.54</v>
      </c>
      <c r="AI654" s="6">
        <f t="shared" si="171"/>
        <v>7228.5375000000004</v>
      </c>
      <c r="AJ654" s="11">
        <f t="shared" si="172"/>
        <v>0.39365742941153326</v>
      </c>
      <c r="AK654" s="11" t="str">
        <f t="shared" si="173"/>
        <v>March</v>
      </c>
      <c r="AL654" s="12">
        <f t="shared" si="174"/>
        <v>2025</v>
      </c>
      <c r="AM654" s="6" t="s">
        <v>54</v>
      </c>
      <c r="AN654" s="6" t="s">
        <v>55</v>
      </c>
      <c r="AO654" s="6" t="str">
        <f t="shared" si="166"/>
        <v>Completed</v>
      </c>
    </row>
    <row r="655" spans="1:41">
      <c r="A655" s="6" t="s">
        <v>3106</v>
      </c>
      <c r="B655" s="7" t="s">
        <v>3107</v>
      </c>
      <c r="C655" s="8">
        <v>45751</v>
      </c>
      <c r="D655" s="7" t="s">
        <v>3108</v>
      </c>
      <c r="E655" s="9">
        <v>45754</v>
      </c>
      <c r="F655" s="9" t="str">
        <f t="shared" si="159"/>
        <v>Valid</v>
      </c>
      <c r="G655" s="10">
        <f t="shared" si="160"/>
        <v>3</v>
      </c>
      <c r="H655" s="10" t="str">
        <f t="shared" si="161"/>
        <v>Valid</v>
      </c>
      <c r="I655" s="6" t="s">
        <v>3109</v>
      </c>
      <c r="J655" s="6" t="s">
        <v>162</v>
      </c>
      <c r="K655" s="6" t="s">
        <v>162</v>
      </c>
      <c r="L655" s="6" t="s">
        <v>61</v>
      </c>
      <c r="M655" s="7" t="str">
        <f t="shared" si="162"/>
        <v>Small Business</v>
      </c>
      <c r="N655" s="6" t="s">
        <v>82</v>
      </c>
      <c r="O655" s="7" t="str">
        <f t="shared" si="163"/>
        <v>South</v>
      </c>
      <c r="P655" s="6" t="s">
        <v>359</v>
      </c>
      <c r="Q655" s="6" t="s">
        <v>360</v>
      </c>
      <c r="R655" s="6" t="s">
        <v>106</v>
      </c>
      <c r="S655" s="7" t="str">
        <f t="shared" si="164"/>
        <v>Technology</v>
      </c>
      <c r="T655" s="6" t="s">
        <v>114</v>
      </c>
      <c r="U655" s="6" t="s">
        <v>3110</v>
      </c>
      <c r="V655" s="6" t="s">
        <v>53</v>
      </c>
      <c r="W655" s="7" t="str">
        <f t="shared" si="165"/>
        <v>Second Class</v>
      </c>
      <c r="X655" s="6">
        <v>7</v>
      </c>
      <c r="Y655" s="6">
        <v>4457.93</v>
      </c>
      <c r="Z655" s="6">
        <v>0.15</v>
      </c>
      <c r="AA655" s="6">
        <f t="shared" si="167"/>
        <v>0.15</v>
      </c>
      <c r="AB655" s="6" t="str">
        <f t="shared" si="168"/>
        <v>Valid</v>
      </c>
      <c r="AC655" s="6">
        <v>26524.68</v>
      </c>
      <c r="AD655" s="6" t="str">
        <f>IF(OR(AO655="Cancelled",AM655="Failed"),"Exclude from Completed Sales","Include in Completed Sales")</f>
        <v>Include in Completed Sales</v>
      </c>
      <c r="AE655" s="6">
        <f t="shared" si="169"/>
        <v>26524.683500000003</v>
      </c>
      <c r="AF655" s="6" t="str">
        <f t="shared" si="170"/>
        <v/>
      </c>
      <c r="AG655" s="6">
        <v>20574.3</v>
      </c>
      <c r="AH655" s="6">
        <v>5950.38</v>
      </c>
      <c r="AI655" s="6">
        <f t="shared" si="171"/>
        <v>5950.3835000000036</v>
      </c>
      <c r="AJ655" s="11">
        <f t="shared" si="172"/>
        <v>0.22433381721595294</v>
      </c>
      <c r="AK655" s="11" t="str">
        <f t="shared" si="173"/>
        <v>April</v>
      </c>
      <c r="AL655" s="12">
        <f t="shared" si="174"/>
        <v>2025</v>
      </c>
      <c r="AM655" s="6" t="s">
        <v>54</v>
      </c>
      <c r="AN655" s="6" t="s">
        <v>55</v>
      </c>
      <c r="AO655" s="6" t="str">
        <f t="shared" si="166"/>
        <v>Completed</v>
      </c>
    </row>
    <row r="656" spans="1:41">
      <c r="A656" s="6" t="s">
        <v>3111</v>
      </c>
      <c r="B656" s="7" t="s">
        <v>3112</v>
      </c>
      <c r="C656" s="8">
        <v>45942</v>
      </c>
      <c r="D656" s="7" t="s">
        <v>160</v>
      </c>
      <c r="E656" s="9">
        <v>45946</v>
      </c>
      <c r="F656" s="9" t="str">
        <f t="shared" si="159"/>
        <v>Valid</v>
      </c>
      <c r="G656" s="10">
        <f t="shared" si="160"/>
        <v>4</v>
      </c>
      <c r="H656" s="10" t="str">
        <f t="shared" si="161"/>
        <v>Valid</v>
      </c>
      <c r="I656" s="6" t="s">
        <v>1436</v>
      </c>
      <c r="J656" s="6" t="s">
        <v>230</v>
      </c>
      <c r="K656" s="6" t="s">
        <v>230</v>
      </c>
      <c r="L656" s="6" t="s">
        <v>128</v>
      </c>
      <c r="M656" s="7" t="str">
        <f t="shared" si="162"/>
        <v>Corporate</v>
      </c>
      <c r="N656" s="6" t="s">
        <v>62</v>
      </c>
      <c r="O656" s="7" t="str">
        <f t="shared" si="163"/>
        <v>East</v>
      </c>
      <c r="P656" s="6" t="s">
        <v>206</v>
      </c>
      <c r="Q656" s="6" t="s">
        <v>207</v>
      </c>
      <c r="R656" s="6" t="s">
        <v>106</v>
      </c>
      <c r="S656" s="7" t="str">
        <f t="shared" si="164"/>
        <v>Technology</v>
      </c>
      <c r="T656" s="6" t="s">
        <v>402</v>
      </c>
      <c r="U656" s="6" t="s">
        <v>3113</v>
      </c>
      <c r="V656" s="6" t="s">
        <v>68</v>
      </c>
      <c r="W656" s="7" t="str">
        <f t="shared" si="165"/>
        <v>Same Day</v>
      </c>
      <c r="X656" s="6">
        <v>1</v>
      </c>
      <c r="Y656" s="6">
        <v>2570.06</v>
      </c>
      <c r="Z656" s="6">
        <v>0.2</v>
      </c>
      <c r="AA656" s="6">
        <f t="shared" si="167"/>
        <v>0.2</v>
      </c>
      <c r="AB656" s="6" t="str">
        <f t="shared" si="168"/>
        <v>Valid</v>
      </c>
      <c r="AC656" s="6">
        <v>2056.0500000000002</v>
      </c>
      <c r="AD656" s="6" t="str">
        <f>IF(OR(AO656="Cancelled",AM656="Failed"),"Exclude from Completed Sales","Include in Completed Sales")</f>
        <v>Include in Completed Sales</v>
      </c>
      <c r="AE656" s="6">
        <f t="shared" si="169"/>
        <v>2056.0480000000002</v>
      </c>
      <c r="AF656" s="6" t="str">
        <f t="shared" si="170"/>
        <v/>
      </c>
      <c r="AG656" s="6">
        <v>1662.39</v>
      </c>
      <c r="AH656" s="6">
        <v>393.66</v>
      </c>
      <c r="AI656" s="6">
        <f t="shared" si="171"/>
        <v>393.65800000000013</v>
      </c>
      <c r="AJ656" s="11">
        <f t="shared" si="172"/>
        <v>0.19146342886936496</v>
      </c>
      <c r="AK656" s="11" t="str">
        <f t="shared" si="173"/>
        <v>October</v>
      </c>
      <c r="AL656" s="12">
        <f t="shared" si="174"/>
        <v>2025</v>
      </c>
      <c r="AM656" s="6" t="s">
        <v>54</v>
      </c>
      <c r="AN656" s="6" t="s">
        <v>55</v>
      </c>
      <c r="AO656" s="6" t="str">
        <f t="shared" si="166"/>
        <v>Completed</v>
      </c>
    </row>
    <row r="657" spans="1:41">
      <c r="A657" s="6" t="s">
        <v>3114</v>
      </c>
      <c r="B657" s="7" t="s">
        <v>719</v>
      </c>
      <c r="C657" s="8">
        <v>45895</v>
      </c>
      <c r="D657" s="7" t="s">
        <v>719</v>
      </c>
      <c r="E657" s="9">
        <v>45895</v>
      </c>
      <c r="F657" s="9" t="str">
        <f t="shared" si="159"/>
        <v>Valid</v>
      </c>
      <c r="G657" s="10">
        <f t="shared" si="160"/>
        <v>0</v>
      </c>
      <c r="H657" s="10" t="str">
        <f t="shared" si="161"/>
        <v>Valid</v>
      </c>
      <c r="I657" s="6" t="s">
        <v>3115</v>
      </c>
      <c r="J657" s="6" t="s">
        <v>113</v>
      </c>
      <c r="K657" s="6" t="s">
        <v>113</v>
      </c>
      <c r="L657" s="6" t="s">
        <v>135</v>
      </c>
      <c r="M657" s="7" t="str">
        <f t="shared" si="162"/>
        <v>Home Office</v>
      </c>
      <c r="N657" s="6" t="s">
        <v>62</v>
      </c>
      <c r="O657" s="7" t="str">
        <f t="shared" si="163"/>
        <v>East</v>
      </c>
      <c r="P657" s="6" t="s">
        <v>141</v>
      </c>
      <c r="Q657" s="6" t="s">
        <v>142</v>
      </c>
      <c r="R657" s="6" t="s">
        <v>65</v>
      </c>
      <c r="S657" s="7" t="str">
        <f t="shared" si="164"/>
        <v>Furniture</v>
      </c>
      <c r="T657" s="6" t="s">
        <v>85</v>
      </c>
      <c r="U657" s="6" t="s">
        <v>3116</v>
      </c>
      <c r="V657" s="6" t="s">
        <v>87</v>
      </c>
      <c r="W657" s="7" t="str">
        <f t="shared" si="165"/>
        <v>Standard Class</v>
      </c>
      <c r="X657" s="6">
        <v>4</v>
      </c>
      <c r="Y657" s="6">
        <v>2151.8200000000002</v>
      </c>
      <c r="Z657" s="6">
        <v>0</v>
      </c>
      <c r="AA657" s="6">
        <f t="shared" si="167"/>
        <v>0</v>
      </c>
      <c r="AB657" s="6" t="str">
        <f t="shared" si="168"/>
        <v>Valid</v>
      </c>
      <c r="AC657" s="6">
        <v>8607.2800000000007</v>
      </c>
      <c r="AD657" s="6" t="str">
        <f>IF(OR(AO657="Cancelled",AM657="Failed"),"Exclude from Completed Sales","Include in Completed Sales")</f>
        <v>Include in Completed Sales</v>
      </c>
      <c r="AE657" s="6">
        <f t="shared" si="169"/>
        <v>8607.2800000000007</v>
      </c>
      <c r="AF657" s="6" t="str">
        <f t="shared" si="170"/>
        <v/>
      </c>
      <c r="AG657" s="6">
        <v>5124.01</v>
      </c>
      <c r="AH657" s="6">
        <v>3483.27</v>
      </c>
      <c r="AI657" s="6">
        <f t="shared" si="171"/>
        <v>3483.2700000000004</v>
      </c>
      <c r="AJ657" s="11">
        <f t="shared" si="172"/>
        <v>0.40468882155570635</v>
      </c>
      <c r="AK657" s="11" t="str">
        <f t="shared" si="173"/>
        <v>August</v>
      </c>
      <c r="AL657" s="12">
        <f t="shared" si="174"/>
        <v>2025</v>
      </c>
      <c r="AM657" s="6" t="s">
        <v>54</v>
      </c>
      <c r="AN657" s="6" t="s">
        <v>55</v>
      </c>
      <c r="AO657" s="6" t="str">
        <f t="shared" si="166"/>
        <v>Completed</v>
      </c>
    </row>
    <row r="658" spans="1:41">
      <c r="A658" s="6" t="s">
        <v>3117</v>
      </c>
      <c r="B658" s="7" t="s">
        <v>3118</v>
      </c>
      <c r="C658" s="8">
        <v>45419</v>
      </c>
      <c r="D658" s="7" t="s">
        <v>2349</v>
      </c>
      <c r="E658" s="9">
        <v>45426</v>
      </c>
      <c r="F658" s="9" t="str">
        <f t="shared" si="159"/>
        <v>Valid</v>
      </c>
      <c r="G658" s="10">
        <f t="shared" si="160"/>
        <v>7</v>
      </c>
      <c r="H658" s="10" t="str">
        <f t="shared" si="161"/>
        <v>Valid</v>
      </c>
      <c r="I658" s="6" t="s">
        <v>3119</v>
      </c>
      <c r="J658" s="6" t="s">
        <v>113</v>
      </c>
      <c r="K658" s="6" t="s">
        <v>113</v>
      </c>
      <c r="L658" s="6" t="s">
        <v>61</v>
      </c>
      <c r="M658" s="7" t="str">
        <f t="shared" si="162"/>
        <v>Small Business</v>
      </c>
      <c r="N658" s="6" t="s">
        <v>47</v>
      </c>
      <c r="O658" s="7" t="str">
        <f t="shared" si="163"/>
        <v>North</v>
      </c>
      <c r="P658" s="6" t="s">
        <v>343</v>
      </c>
      <c r="Q658" s="6" t="s">
        <v>344</v>
      </c>
      <c r="R658" s="6" t="s">
        <v>106</v>
      </c>
      <c r="S658" s="7" t="str">
        <f t="shared" si="164"/>
        <v>Technology</v>
      </c>
      <c r="T658" s="6" t="s">
        <v>402</v>
      </c>
      <c r="U658" s="6" t="s">
        <v>3120</v>
      </c>
      <c r="V658" s="6" t="s">
        <v>68</v>
      </c>
      <c r="W658" s="7" t="str">
        <f t="shared" si="165"/>
        <v>Same Day</v>
      </c>
      <c r="X658" s="6">
        <v>4</v>
      </c>
      <c r="Y658" s="6">
        <v>2751.1</v>
      </c>
      <c r="Z658" s="6">
        <v>-0.05</v>
      </c>
      <c r="AA658" s="6">
        <f t="shared" si="167"/>
        <v>-0.05</v>
      </c>
      <c r="AB658" s="6" t="str">
        <f t="shared" si="168"/>
        <v>Invalid - Negative Discount</v>
      </c>
      <c r="AC658" s="6">
        <v>9903.9599999999991</v>
      </c>
      <c r="AD658" s="6" t="str">
        <f>IF(OR(AO658="Cancelled",AM658="Failed"),"Exclude from Completed Sales","Include in Completed Sales")</f>
        <v>Include in Completed Sales</v>
      </c>
      <c r="AE658" s="6">
        <f t="shared" si="169"/>
        <v>11554.62</v>
      </c>
      <c r="AF658" s="6" t="str">
        <f t="shared" si="170"/>
        <v/>
      </c>
      <c r="AG658" s="6">
        <v>7696.28</v>
      </c>
      <c r="AH658" s="6">
        <v>2207.6799999999998</v>
      </c>
      <c r="AI658" s="6">
        <f t="shared" si="171"/>
        <v>3858.3400000000011</v>
      </c>
      <c r="AJ658" s="11">
        <f t="shared" si="172"/>
        <v>0.33392184251840396</v>
      </c>
      <c r="AK658" s="11" t="str">
        <f t="shared" si="173"/>
        <v>May</v>
      </c>
      <c r="AL658" s="12">
        <f t="shared" si="174"/>
        <v>2024</v>
      </c>
      <c r="AM658" s="6" t="s">
        <v>54</v>
      </c>
      <c r="AN658" s="6" t="s">
        <v>55</v>
      </c>
      <c r="AO658" s="6" t="str">
        <f t="shared" si="166"/>
        <v>Completed</v>
      </c>
    </row>
    <row r="659" spans="1:41">
      <c r="A659" s="6" t="s">
        <v>3121</v>
      </c>
      <c r="B659" s="7" t="s">
        <v>3122</v>
      </c>
      <c r="C659" s="8">
        <v>45876</v>
      </c>
      <c r="D659" s="7" t="s">
        <v>3123</v>
      </c>
      <c r="E659" s="9">
        <v>45879</v>
      </c>
      <c r="F659" s="9" t="str">
        <f t="shared" si="159"/>
        <v>Valid</v>
      </c>
      <c r="G659" s="10">
        <f t="shared" si="160"/>
        <v>3</v>
      </c>
      <c r="H659" s="10" t="str">
        <f t="shared" si="161"/>
        <v>Valid</v>
      </c>
      <c r="I659" s="6" t="s">
        <v>3124</v>
      </c>
      <c r="J659" s="6" t="s">
        <v>127</v>
      </c>
      <c r="K659" s="6" t="s">
        <v>127</v>
      </c>
      <c r="L659" s="6" t="s">
        <v>135</v>
      </c>
      <c r="M659" s="7" t="str">
        <f t="shared" si="162"/>
        <v>Home Office</v>
      </c>
      <c r="N659" s="6" t="s">
        <v>62</v>
      </c>
      <c r="O659" s="7" t="str">
        <f t="shared" si="163"/>
        <v>East</v>
      </c>
      <c r="P659" s="6" t="s">
        <v>206</v>
      </c>
      <c r="Q659" s="6" t="s">
        <v>207</v>
      </c>
      <c r="R659" s="6" t="s">
        <v>50</v>
      </c>
      <c r="S659" s="7" t="str">
        <f t="shared" si="164"/>
        <v>Office Supplies</v>
      </c>
      <c r="T659" s="6" t="s">
        <v>176</v>
      </c>
      <c r="U659" s="6" t="s">
        <v>3125</v>
      </c>
      <c r="V659" s="6" t="s">
        <v>53</v>
      </c>
      <c r="W659" s="7" t="str">
        <f t="shared" si="165"/>
        <v>Second Class</v>
      </c>
      <c r="X659" s="6">
        <v>1</v>
      </c>
      <c r="Y659" s="6">
        <v>2541.25</v>
      </c>
      <c r="Z659" s="6">
        <v>0.2</v>
      </c>
      <c r="AA659" s="6">
        <f t="shared" si="167"/>
        <v>0.2</v>
      </c>
      <c r="AB659" s="6" t="str">
        <f t="shared" si="168"/>
        <v>Valid</v>
      </c>
      <c r="AC659" s="6">
        <v>2033</v>
      </c>
      <c r="AD659" s="6" t="str">
        <f>IF(OR(AO659="Cancelled",AM659="Failed"),"Exclude from Completed Sales","Include in Completed Sales")</f>
        <v>Include in Completed Sales</v>
      </c>
      <c r="AE659" s="6">
        <f t="shared" si="169"/>
        <v>2033</v>
      </c>
      <c r="AF659" s="6" t="str">
        <f t="shared" si="170"/>
        <v/>
      </c>
      <c r="AG659" s="6">
        <v>1291.4100000000001</v>
      </c>
      <c r="AH659" s="6">
        <v>741.59</v>
      </c>
      <c r="AI659" s="6">
        <f t="shared" si="171"/>
        <v>741.58999999999992</v>
      </c>
      <c r="AJ659" s="11">
        <f t="shared" si="172"/>
        <v>0.36477619281849477</v>
      </c>
      <c r="AK659" s="11" t="str">
        <f t="shared" si="173"/>
        <v>August</v>
      </c>
      <c r="AL659" s="12">
        <f t="shared" si="174"/>
        <v>2025</v>
      </c>
      <c r="AM659" s="6" t="s">
        <v>54</v>
      </c>
      <c r="AN659" s="6" t="s">
        <v>55</v>
      </c>
      <c r="AO659" s="6" t="str">
        <f t="shared" si="166"/>
        <v>Completed</v>
      </c>
    </row>
    <row r="660" spans="1:41">
      <c r="A660" s="6" t="s">
        <v>3126</v>
      </c>
      <c r="B660" s="7" t="s">
        <v>3127</v>
      </c>
      <c r="C660" s="8">
        <v>45817</v>
      </c>
      <c r="D660" s="7" t="s">
        <v>2233</v>
      </c>
      <c r="E660" s="9">
        <v>45820</v>
      </c>
      <c r="F660" s="9" t="str">
        <f t="shared" si="159"/>
        <v>Valid</v>
      </c>
      <c r="G660" s="10">
        <f t="shared" si="160"/>
        <v>3</v>
      </c>
      <c r="H660" s="10" t="str">
        <f t="shared" si="161"/>
        <v>Valid</v>
      </c>
      <c r="I660" s="6" t="s">
        <v>3128</v>
      </c>
      <c r="J660" s="6" t="s">
        <v>188</v>
      </c>
      <c r="K660" s="6" t="s">
        <v>188</v>
      </c>
      <c r="L660" s="6" t="s">
        <v>46</v>
      </c>
      <c r="M660" s="7" t="str">
        <f t="shared" si="162"/>
        <v>Consumer</v>
      </c>
      <c r="N660" s="6"/>
      <c r="O660" s="7" t="str">
        <f t="shared" si="163"/>
        <v>Unknown</v>
      </c>
      <c r="P660" s="6" t="s">
        <v>206</v>
      </c>
      <c r="Q660" s="6" t="s">
        <v>207</v>
      </c>
      <c r="R660" s="6" t="s">
        <v>50</v>
      </c>
      <c r="S660" s="7" t="str">
        <f t="shared" si="164"/>
        <v>Office Supplies</v>
      </c>
      <c r="T660" s="6" t="s">
        <v>74</v>
      </c>
      <c r="U660" s="6" t="s">
        <v>3129</v>
      </c>
      <c r="V660" s="6" t="s">
        <v>76</v>
      </c>
      <c r="W660" s="7" t="str">
        <f t="shared" si="165"/>
        <v>First Class</v>
      </c>
      <c r="X660" s="6">
        <v>7</v>
      </c>
      <c r="Y660" s="6">
        <v>2852.42</v>
      </c>
      <c r="Z660" s="6">
        <v>0</v>
      </c>
      <c r="AA660" s="6">
        <f t="shared" si="167"/>
        <v>0</v>
      </c>
      <c r="AB660" s="6" t="str">
        <f t="shared" si="168"/>
        <v>Valid</v>
      </c>
      <c r="AC660" s="6">
        <v>19966.939999999999</v>
      </c>
      <c r="AD660" s="6" t="str">
        <f>IF(OR(AO660="Cancelled",AM660="Failed"),"Exclude from Completed Sales","Include in Completed Sales")</f>
        <v>Exclude from Completed Sales</v>
      </c>
      <c r="AE660" s="6">
        <f t="shared" si="169"/>
        <v>19966.940000000002</v>
      </c>
      <c r="AF660" s="6" t="str">
        <f t="shared" si="170"/>
        <v>Refunded</v>
      </c>
      <c r="AG660" s="6">
        <v>12690.83</v>
      </c>
      <c r="AH660" s="6">
        <v>7276.11</v>
      </c>
      <c r="AI660" s="6">
        <f t="shared" si="171"/>
        <v>7276.1100000000024</v>
      </c>
      <c r="AJ660" s="11">
        <f t="shared" si="172"/>
        <v>0.36440786620283339</v>
      </c>
      <c r="AK660" s="11" t="str">
        <f t="shared" si="173"/>
        <v>June</v>
      </c>
      <c r="AL660" s="12">
        <f t="shared" si="174"/>
        <v>2025</v>
      </c>
      <c r="AM660" s="6" t="s">
        <v>144</v>
      </c>
      <c r="AN660" s="6" t="s">
        <v>98</v>
      </c>
      <c r="AO660" s="6" t="str">
        <f t="shared" si="166"/>
        <v>Cancelled</v>
      </c>
    </row>
    <row r="661" spans="1:41">
      <c r="A661" s="6" t="s">
        <v>3130</v>
      </c>
      <c r="B661" s="7" t="s">
        <v>203</v>
      </c>
      <c r="C661" s="8">
        <v>45678</v>
      </c>
      <c r="D661" s="7" t="s">
        <v>1857</v>
      </c>
      <c r="E661" s="9">
        <v>45679</v>
      </c>
      <c r="F661" s="9" t="str">
        <f t="shared" si="159"/>
        <v>Valid</v>
      </c>
      <c r="G661" s="10">
        <f t="shared" si="160"/>
        <v>1</v>
      </c>
      <c r="H661" s="10" t="str">
        <f t="shared" si="161"/>
        <v>Valid</v>
      </c>
      <c r="I661" s="6" t="s">
        <v>3131</v>
      </c>
      <c r="J661" s="6" t="s">
        <v>230</v>
      </c>
      <c r="K661" s="6" t="s">
        <v>230</v>
      </c>
      <c r="L661" s="6" t="s">
        <v>128</v>
      </c>
      <c r="M661" s="7" t="str">
        <f t="shared" si="162"/>
        <v>Corporate</v>
      </c>
      <c r="N661" s="6" t="s">
        <v>82</v>
      </c>
      <c r="O661" s="7" t="str">
        <f t="shared" si="163"/>
        <v>South</v>
      </c>
      <c r="P661" s="6" t="s">
        <v>249</v>
      </c>
      <c r="Q661" s="6" t="s">
        <v>250</v>
      </c>
      <c r="R661" s="6" t="s">
        <v>106</v>
      </c>
      <c r="S661" s="7" t="str">
        <f t="shared" si="164"/>
        <v>Technology</v>
      </c>
      <c r="T661" s="6" t="s">
        <v>243</v>
      </c>
      <c r="U661" s="6" t="s">
        <v>3132</v>
      </c>
      <c r="V661" s="6" t="s">
        <v>53</v>
      </c>
      <c r="W661" s="7" t="str">
        <f t="shared" si="165"/>
        <v>Second Class</v>
      </c>
      <c r="X661" s="6">
        <v>2</v>
      </c>
      <c r="Y661" s="6">
        <v>444.31</v>
      </c>
      <c r="Z661" s="6">
        <v>0.2</v>
      </c>
      <c r="AA661" s="6">
        <f t="shared" si="167"/>
        <v>0.2</v>
      </c>
      <c r="AB661" s="6" t="str">
        <f t="shared" si="168"/>
        <v>Valid</v>
      </c>
      <c r="AC661" s="6">
        <v>710.9</v>
      </c>
      <c r="AD661" s="6" t="str">
        <f>IF(OR(AO661="Cancelled",AM661="Failed"),"Exclude from Completed Sales","Include in Completed Sales")</f>
        <v>Exclude from Completed Sales</v>
      </c>
      <c r="AE661" s="6">
        <f t="shared" si="169"/>
        <v>710.89600000000007</v>
      </c>
      <c r="AF661" s="6" t="str">
        <f t="shared" si="170"/>
        <v>Refunded</v>
      </c>
      <c r="AG661" s="6">
        <v>513.88</v>
      </c>
      <c r="AH661" s="6">
        <v>197.02</v>
      </c>
      <c r="AI661" s="6">
        <f t="shared" si="171"/>
        <v>197.01600000000008</v>
      </c>
      <c r="AJ661" s="11">
        <f t="shared" si="172"/>
        <v>0.27713758411919615</v>
      </c>
      <c r="AK661" s="11" t="str">
        <f t="shared" si="173"/>
        <v>January</v>
      </c>
      <c r="AL661" s="12">
        <f t="shared" si="174"/>
        <v>2025</v>
      </c>
      <c r="AM661" s="6" t="s">
        <v>144</v>
      </c>
      <c r="AN661" s="6" t="s">
        <v>98</v>
      </c>
      <c r="AO661" s="6" t="str">
        <f t="shared" si="166"/>
        <v>Cancelled</v>
      </c>
    </row>
    <row r="662" spans="1:41">
      <c r="A662" s="6" t="s">
        <v>3133</v>
      </c>
      <c r="B662" s="7" t="s">
        <v>191</v>
      </c>
      <c r="C662" s="8">
        <v>45853</v>
      </c>
      <c r="D662" s="7" t="s">
        <v>3134</v>
      </c>
      <c r="E662" s="9">
        <v>45853</v>
      </c>
      <c r="F662" s="9" t="str">
        <f t="shared" si="159"/>
        <v>Valid</v>
      </c>
      <c r="G662" s="10">
        <f t="shared" si="160"/>
        <v>0</v>
      </c>
      <c r="H662" s="10" t="str">
        <f t="shared" si="161"/>
        <v>Valid</v>
      </c>
      <c r="I662" s="6" t="s">
        <v>3135</v>
      </c>
      <c r="J662" s="6" t="s">
        <v>81</v>
      </c>
      <c r="K662" s="6" t="s">
        <v>81</v>
      </c>
      <c r="L662" s="6" t="s">
        <v>61</v>
      </c>
      <c r="M662" s="7" t="str">
        <f t="shared" si="162"/>
        <v>Small Business</v>
      </c>
      <c r="N662" s="6" t="s">
        <v>62</v>
      </c>
      <c r="O662" s="7" t="str">
        <f t="shared" si="163"/>
        <v>East</v>
      </c>
      <c r="P662" s="6" t="s">
        <v>331</v>
      </c>
      <c r="Q662" s="6" t="s">
        <v>332</v>
      </c>
      <c r="R662" s="6" t="s">
        <v>106</v>
      </c>
      <c r="S662" s="7" t="str">
        <f t="shared" si="164"/>
        <v>Technology</v>
      </c>
      <c r="T662" s="6" t="s">
        <v>243</v>
      </c>
      <c r="U662" s="6" t="s">
        <v>3136</v>
      </c>
      <c r="V662" s="6" t="s">
        <v>68</v>
      </c>
      <c r="W662" s="7" t="str">
        <f t="shared" si="165"/>
        <v>Same Day</v>
      </c>
      <c r="X662" s="6">
        <v>4</v>
      </c>
      <c r="Y662" s="6">
        <v>4442.91</v>
      </c>
      <c r="Z662" s="6">
        <v>0.1</v>
      </c>
      <c r="AA662" s="6">
        <f t="shared" si="167"/>
        <v>0.1</v>
      </c>
      <c r="AB662" s="6" t="str">
        <f t="shared" si="168"/>
        <v>Valid</v>
      </c>
      <c r="AC662" s="6">
        <v>15994.48</v>
      </c>
      <c r="AD662" s="6" t="str">
        <f>IF(OR(AO662="Cancelled",AM662="Failed"),"Exclude from Completed Sales","Include in Completed Sales")</f>
        <v>Include in Completed Sales</v>
      </c>
      <c r="AE662" s="6">
        <f t="shared" si="169"/>
        <v>15994.476000000001</v>
      </c>
      <c r="AF662" s="6" t="str">
        <f t="shared" si="170"/>
        <v/>
      </c>
      <c r="AG662" s="6">
        <v>9224.2800000000007</v>
      </c>
      <c r="AH662" s="6">
        <v>6770.2</v>
      </c>
      <c r="AI662" s="6">
        <f t="shared" si="171"/>
        <v>6770.1959999999999</v>
      </c>
      <c r="AJ662" s="11">
        <f t="shared" si="172"/>
        <v>0.42328338858991066</v>
      </c>
      <c r="AK662" s="11" t="str">
        <f t="shared" si="173"/>
        <v>July</v>
      </c>
      <c r="AL662" s="12">
        <f t="shared" si="174"/>
        <v>2025</v>
      </c>
      <c r="AM662" s="6" t="s">
        <v>54</v>
      </c>
      <c r="AN662" s="6" t="s">
        <v>55</v>
      </c>
      <c r="AO662" s="6" t="str">
        <f t="shared" si="166"/>
        <v>Completed</v>
      </c>
    </row>
    <row r="663" spans="1:41">
      <c r="A663" s="6" t="s">
        <v>3137</v>
      </c>
      <c r="B663" s="7" t="s">
        <v>3138</v>
      </c>
      <c r="C663" s="8">
        <v>45429</v>
      </c>
      <c r="D663" s="7" t="s">
        <v>3139</v>
      </c>
      <c r="E663" s="9">
        <v>45434</v>
      </c>
      <c r="F663" s="9" t="str">
        <f t="shared" si="159"/>
        <v>Valid</v>
      </c>
      <c r="G663" s="10">
        <f t="shared" si="160"/>
        <v>5</v>
      </c>
      <c r="H663" s="10" t="str">
        <f t="shared" si="161"/>
        <v>Valid</v>
      </c>
      <c r="I663" s="6" t="s">
        <v>3140</v>
      </c>
      <c r="J663" s="6" t="s">
        <v>188</v>
      </c>
      <c r="K663" s="6" t="s">
        <v>188</v>
      </c>
      <c r="L663" s="6" t="s">
        <v>46</v>
      </c>
      <c r="M663" s="7" t="str">
        <f t="shared" si="162"/>
        <v>Consumer</v>
      </c>
      <c r="N663" s="6" t="s">
        <v>82</v>
      </c>
      <c r="O663" s="7" t="str">
        <f t="shared" si="163"/>
        <v>South</v>
      </c>
      <c r="P663" s="6" t="s">
        <v>120</v>
      </c>
      <c r="Q663" s="6" t="s">
        <v>121</v>
      </c>
      <c r="R663" s="6" t="s">
        <v>106</v>
      </c>
      <c r="S663" s="7" t="str">
        <f t="shared" si="164"/>
        <v>Technology</v>
      </c>
      <c r="T663" s="6" t="s">
        <v>402</v>
      </c>
      <c r="U663" s="6" t="s">
        <v>3141</v>
      </c>
      <c r="V663" s="6" t="s">
        <v>53</v>
      </c>
      <c r="W663" s="7" t="str">
        <f t="shared" si="165"/>
        <v>Second Class</v>
      </c>
      <c r="X663" s="6">
        <v>7</v>
      </c>
      <c r="Y663" s="6">
        <v>232.5</v>
      </c>
      <c r="Z663" s="6">
        <v>0</v>
      </c>
      <c r="AA663" s="6">
        <f t="shared" si="167"/>
        <v>0</v>
      </c>
      <c r="AB663" s="6" t="str">
        <f t="shared" si="168"/>
        <v>Valid</v>
      </c>
      <c r="AC663" s="6">
        <v>1627.5</v>
      </c>
      <c r="AD663" s="6" t="str">
        <f>IF(OR(AO663="Cancelled",AM663="Failed"),"Exclude from Completed Sales","Include in Completed Sales")</f>
        <v>Include in Completed Sales</v>
      </c>
      <c r="AE663" s="6">
        <f t="shared" si="169"/>
        <v>1627.5</v>
      </c>
      <c r="AF663" s="6" t="str">
        <f t="shared" si="170"/>
        <v/>
      </c>
      <c r="AG663" s="6">
        <v>939.9</v>
      </c>
      <c r="AH663" s="6">
        <v>687.6</v>
      </c>
      <c r="AI663" s="6">
        <f t="shared" si="171"/>
        <v>687.6</v>
      </c>
      <c r="AJ663" s="11">
        <f t="shared" si="172"/>
        <v>0.4224884792626728</v>
      </c>
      <c r="AK663" s="11" t="str">
        <f t="shared" si="173"/>
        <v>May</v>
      </c>
      <c r="AL663" s="12">
        <f t="shared" si="174"/>
        <v>2024</v>
      </c>
      <c r="AM663" s="6" t="s">
        <v>54</v>
      </c>
      <c r="AN663" s="6" t="s">
        <v>55</v>
      </c>
      <c r="AO663" s="6" t="str">
        <f t="shared" si="166"/>
        <v>Completed</v>
      </c>
    </row>
    <row r="664" spans="1:41">
      <c r="A664" s="6" t="s">
        <v>3142</v>
      </c>
      <c r="B664" s="7" t="s">
        <v>3143</v>
      </c>
      <c r="C664" s="8">
        <v>45305</v>
      </c>
      <c r="D664" s="7" t="s">
        <v>3144</v>
      </c>
      <c r="E664" s="9">
        <v>45309</v>
      </c>
      <c r="F664" s="9" t="str">
        <f t="shared" si="159"/>
        <v>Valid</v>
      </c>
      <c r="G664" s="10">
        <f t="shared" si="160"/>
        <v>4</v>
      </c>
      <c r="H664" s="10" t="str">
        <f t="shared" si="161"/>
        <v>Valid</v>
      </c>
      <c r="I664" s="6" t="s">
        <v>3145</v>
      </c>
      <c r="J664" s="6" t="s">
        <v>60</v>
      </c>
      <c r="K664" s="6" t="s">
        <v>60</v>
      </c>
      <c r="L664" s="6" t="s">
        <v>135</v>
      </c>
      <c r="M664" s="7" t="str">
        <f t="shared" si="162"/>
        <v>Home Office</v>
      </c>
      <c r="N664" s="6" t="s">
        <v>93</v>
      </c>
      <c r="O664" s="7" t="str">
        <f t="shared" si="163"/>
        <v>West</v>
      </c>
      <c r="P664" s="6" t="s">
        <v>48</v>
      </c>
      <c r="Q664" s="6" t="s">
        <v>155</v>
      </c>
      <c r="R664" s="6" t="s">
        <v>106</v>
      </c>
      <c r="S664" s="7" t="str">
        <f t="shared" si="164"/>
        <v>Technology</v>
      </c>
      <c r="T664" s="6" t="s">
        <v>402</v>
      </c>
      <c r="U664" s="6" t="s">
        <v>3146</v>
      </c>
      <c r="V664" s="6" t="s">
        <v>68</v>
      </c>
      <c r="W664" s="7" t="str">
        <f t="shared" si="165"/>
        <v>Same Day</v>
      </c>
      <c r="X664" s="6">
        <v>6</v>
      </c>
      <c r="Y664" s="6">
        <v>1784.8</v>
      </c>
      <c r="Z664" s="6">
        <v>0.1</v>
      </c>
      <c r="AA664" s="6">
        <f t="shared" si="167"/>
        <v>0.1</v>
      </c>
      <c r="AB664" s="6" t="str">
        <f t="shared" si="168"/>
        <v>Valid</v>
      </c>
      <c r="AC664" s="6">
        <v>9637.92</v>
      </c>
      <c r="AD664" s="6" t="str">
        <f>IF(OR(AO664="Cancelled",AM664="Failed"),"Exclude from Completed Sales","Include in Completed Sales")</f>
        <v>Include in Completed Sales</v>
      </c>
      <c r="AE664" s="6">
        <f t="shared" si="169"/>
        <v>9637.92</v>
      </c>
      <c r="AF664" s="6" t="str">
        <f t="shared" si="170"/>
        <v/>
      </c>
      <c r="AG664" s="6">
        <v>7329.29</v>
      </c>
      <c r="AH664" s="6">
        <v>2308.63</v>
      </c>
      <c r="AI664" s="6">
        <f t="shared" si="171"/>
        <v>2308.63</v>
      </c>
      <c r="AJ664" s="11">
        <f t="shared" si="172"/>
        <v>0.2395361239769577</v>
      </c>
      <c r="AK664" s="11" t="str">
        <f t="shared" si="173"/>
        <v>January</v>
      </c>
      <c r="AL664" s="12">
        <f t="shared" si="174"/>
        <v>2024</v>
      </c>
      <c r="AM664" s="6" t="s">
        <v>54</v>
      </c>
      <c r="AN664" s="6" t="s">
        <v>55</v>
      </c>
      <c r="AO664" s="6" t="str">
        <f t="shared" si="166"/>
        <v>Completed</v>
      </c>
    </row>
    <row r="665" spans="1:41">
      <c r="A665" s="6" t="s">
        <v>3147</v>
      </c>
      <c r="B665" s="7" t="s">
        <v>1245</v>
      </c>
      <c r="C665" s="8">
        <v>45414</v>
      </c>
      <c r="D665" s="7" t="s">
        <v>2702</v>
      </c>
      <c r="E665" s="9">
        <v>45420</v>
      </c>
      <c r="F665" s="9" t="str">
        <f t="shared" si="159"/>
        <v>Valid</v>
      </c>
      <c r="G665" s="10">
        <f t="shared" si="160"/>
        <v>6</v>
      </c>
      <c r="H665" s="10" t="str">
        <f t="shared" si="161"/>
        <v>Valid</v>
      </c>
      <c r="I665" s="6" t="s">
        <v>3148</v>
      </c>
      <c r="J665" s="6" t="s">
        <v>168</v>
      </c>
      <c r="K665" s="6" t="s">
        <v>168</v>
      </c>
      <c r="L665" s="6" t="s">
        <v>135</v>
      </c>
      <c r="M665" s="7" t="str">
        <f t="shared" si="162"/>
        <v>Home Office</v>
      </c>
      <c r="N665" s="6" t="s">
        <v>62</v>
      </c>
      <c r="O665" s="7" t="str">
        <f t="shared" si="163"/>
        <v>East</v>
      </c>
      <c r="P665" s="6" t="s">
        <v>331</v>
      </c>
      <c r="Q665" s="6" t="s">
        <v>332</v>
      </c>
      <c r="R665" s="6" t="s">
        <v>106</v>
      </c>
      <c r="S665" s="7" t="str">
        <f t="shared" si="164"/>
        <v>Technology</v>
      </c>
      <c r="T665" s="6" t="s">
        <v>114</v>
      </c>
      <c r="U665" s="6" t="s">
        <v>3149</v>
      </c>
      <c r="V665" s="6" t="s">
        <v>53</v>
      </c>
      <c r="W665" s="7" t="str">
        <f t="shared" si="165"/>
        <v>Second Class</v>
      </c>
      <c r="X665" s="6">
        <v>2</v>
      </c>
      <c r="Y665" s="6">
        <v>3185.01</v>
      </c>
      <c r="Z665" s="6">
        <v>-0.24</v>
      </c>
      <c r="AA665" s="6">
        <f t="shared" si="167"/>
        <v>-0.24</v>
      </c>
      <c r="AB665" s="6" t="str">
        <f t="shared" si="168"/>
        <v>Invalid - Negative Discount</v>
      </c>
      <c r="AC665" s="6">
        <v>4777.5200000000004</v>
      </c>
      <c r="AD665" s="6" t="str">
        <f>IF(OR(AO665="Cancelled",AM665="Failed"),"Exclude from Completed Sales","Include in Completed Sales")</f>
        <v>Include in Completed Sales</v>
      </c>
      <c r="AE665" s="6">
        <f t="shared" si="169"/>
        <v>7898.8248000000003</v>
      </c>
      <c r="AF665" s="6" t="str">
        <f t="shared" si="170"/>
        <v/>
      </c>
      <c r="AG665" s="6">
        <v>3152.98</v>
      </c>
      <c r="AH665" s="6">
        <v>1624.54</v>
      </c>
      <c r="AI665" s="6">
        <f t="shared" si="171"/>
        <v>4745.8448000000008</v>
      </c>
      <c r="AJ665" s="11">
        <f t="shared" si="172"/>
        <v>0.60082922715287979</v>
      </c>
      <c r="AK665" s="11" t="str">
        <f t="shared" si="173"/>
        <v>May</v>
      </c>
      <c r="AL665" s="12">
        <f t="shared" si="174"/>
        <v>2024</v>
      </c>
      <c r="AM665" s="6" t="s">
        <v>54</v>
      </c>
      <c r="AN665" s="6" t="s">
        <v>55</v>
      </c>
      <c r="AO665" s="6" t="str">
        <f t="shared" si="166"/>
        <v>Completed</v>
      </c>
    </row>
    <row r="666" spans="1:41">
      <c r="A666" s="6" t="s">
        <v>3150</v>
      </c>
      <c r="B666" s="7" t="s">
        <v>3151</v>
      </c>
      <c r="C666" s="8">
        <v>45633</v>
      </c>
      <c r="D666" s="7" t="s">
        <v>3152</v>
      </c>
      <c r="E666" s="9">
        <v>45636</v>
      </c>
      <c r="F666" s="9" t="str">
        <f t="shared" si="159"/>
        <v>Valid</v>
      </c>
      <c r="G666" s="10">
        <f t="shared" si="160"/>
        <v>3</v>
      </c>
      <c r="H666" s="10" t="str">
        <f t="shared" si="161"/>
        <v>Valid</v>
      </c>
      <c r="I666" s="6" t="s">
        <v>3153</v>
      </c>
      <c r="J666" s="6" t="s">
        <v>60</v>
      </c>
      <c r="K666" s="6" t="s">
        <v>60</v>
      </c>
      <c r="L666" s="6" t="s">
        <v>135</v>
      </c>
      <c r="M666" s="7" t="str">
        <f t="shared" si="162"/>
        <v>Home Office</v>
      </c>
      <c r="N666" s="6" t="s">
        <v>82</v>
      </c>
      <c r="O666" s="7" t="str">
        <f t="shared" si="163"/>
        <v>South</v>
      </c>
      <c r="P666" s="6" t="s">
        <v>83</v>
      </c>
      <c r="Q666" s="6" t="s">
        <v>84</v>
      </c>
      <c r="R666" s="6" t="s">
        <v>106</v>
      </c>
      <c r="S666" s="7" t="str">
        <f t="shared" si="164"/>
        <v>Technology</v>
      </c>
      <c r="T666" s="6" t="s">
        <v>107</v>
      </c>
      <c r="U666" s="6" t="s">
        <v>3154</v>
      </c>
      <c r="V666" s="6" t="s">
        <v>87</v>
      </c>
      <c r="W666" s="7" t="str">
        <f t="shared" si="165"/>
        <v>Standard Class</v>
      </c>
      <c r="X666" s="6">
        <v>1</v>
      </c>
      <c r="Y666" s="6">
        <v>1908.83</v>
      </c>
      <c r="Z666" s="6">
        <v>0.2</v>
      </c>
      <c r="AA666" s="6">
        <f t="shared" si="167"/>
        <v>0.2</v>
      </c>
      <c r="AB666" s="6" t="str">
        <f t="shared" si="168"/>
        <v>Valid</v>
      </c>
      <c r="AC666" s="6">
        <v>1527.06</v>
      </c>
      <c r="AD666" s="6" t="str">
        <f>IF(OR(AO666="Cancelled",AM666="Failed"),"Exclude from Completed Sales","Include in Completed Sales")</f>
        <v>Include in Completed Sales</v>
      </c>
      <c r="AE666" s="6">
        <f t="shared" si="169"/>
        <v>1527.0640000000001</v>
      </c>
      <c r="AF666" s="6" t="str">
        <f t="shared" si="170"/>
        <v/>
      </c>
      <c r="AG666" s="6">
        <v>1055.8900000000001</v>
      </c>
      <c r="AH666" s="6">
        <v>471.17</v>
      </c>
      <c r="AI666" s="6">
        <f t="shared" si="171"/>
        <v>471.17399999999998</v>
      </c>
      <c r="AJ666" s="11">
        <f t="shared" si="172"/>
        <v>0.30854895407134209</v>
      </c>
      <c r="AK666" s="11" t="str">
        <f t="shared" si="173"/>
        <v>December</v>
      </c>
      <c r="AL666" s="12">
        <f t="shared" si="174"/>
        <v>2024</v>
      </c>
      <c r="AM666" s="6" t="s">
        <v>54</v>
      </c>
      <c r="AN666" s="6" t="s">
        <v>55</v>
      </c>
      <c r="AO666" s="6" t="str">
        <f t="shared" si="166"/>
        <v>Completed</v>
      </c>
    </row>
    <row r="667" spans="1:41">
      <c r="A667" s="6" t="s">
        <v>3155</v>
      </c>
      <c r="B667" s="7" t="s">
        <v>3156</v>
      </c>
      <c r="C667" s="8">
        <v>45670</v>
      </c>
      <c r="D667" s="7" t="s">
        <v>3157</v>
      </c>
      <c r="E667" s="9">
        <v>45670</v>
      </c>
      <c r="F667" s="9" t="str">
        <f t="shared" si="159"/>
        <v>Valid</v>
      </c>
      <c r="G667" s="10">
        <f t="shared" si="160"/>
        <v>0</v>
      </c>
      <c r="H667" s="10" t="str">
        <f t="shared" si="161"/>
        <v>Valid</v>
      </c>
      <c r="I667" s="6" t="s">
        <v>3158</v>
      </c>
      <c r="J667" s="6" t="s">
        <v>168</v>
      </c>
      <c r="K667" s="6" t="s">
        <v>168</v>
      </c>
      <c r="L667" s="6" t="s">
        <v>135</v>
      </c>
      <c r="M667" s="7" t="str">
        <f t="shared" si="162"/>
        <v>Home Office</v>
      </c>
      <c r="N667" s="6" t="s">
        <v>93</v>
      </c>
      <c r="O667" s="7" t="str">
        <f t="shared" si="163"/>
        <v>West</v>
      </c>
      <c r="P667" s="6" t="s">
        <v>255</v>
      </c>
      <c r="Q667" s="6" t="s">
        <v>256</v>
      </c>
      <c r="R667" s="6" t="s">
        <v>50</v>
      </c>
      <c r="S667" s="7" t="str">
        <f t="shared" si="164"/>
        <v>Office Supplies</v>
      </c>
      <c r="T667" s="6" t="s">
        <v>74</v>
      </c>
      <c r="U667" s="6" t="s">
        <v>3159</v>
      </c>
      <c r="V667" s="6" t="s">
        <v>87</v>
      </c>
      <c r="W667" s="7" t="str">
        <f t="shared" si="165"/>
        <v>Standard Class</v>
      </c>
      <c r="X667" s="6">
        <v>3</v>
      </c>
      <c r="Y667" s="6">
        <v>2110.52</v>
      </c>
      <c r="Z667" s="6">
        <v>0.1</v>
      </c>
      <c r="AA667" s="6">
        <f t="shared" si="167"/>
        <v>0.1</v>
      </c>
      <c r="AB667" s="6" t="str">
        <f t="shared" si="168"/>
        <v>Valid</v>
      </c>
      <c r="AC667" s="6">
        <v>5698.4</v>
      </c>
      <c r="AD667" s="6" t="str">
        <f>IF(OR(AO667="Cancelled",AM667="Failed"),"Exclude from Completed Sales","Include in Completed Sales")</f>
        <v>Exclude from Completed Sales</v>
      </c>
      <c r="AE667" s="6">
        <f t="shared" si="169"/>
        <v>5698.4039999999995</v>
      </c>
      <c r="AF667" s="6" t="str">
        <f t="shared" si="170"/>
        <v/>
      </c>
      <c r="AG667" s="6">
        <v>3640.89</v>
      </c>
      <c r="AH667" s="6">
        <v>2057.5100000000002</v>
      </c>
      <c r="AI667" s="6">
        <f t="shared" si="171"/>
        <v>2057.5139999999997</v>
      </c>
      <c r="AJ667" s="11">
        <f t="shared" si="172"/>
        <v>0.36106846759197836</v>
      </c>
      <c r="AK667" s="11" t="str">
        <f t="shared" si="173"/>
        <v>January</v>
      </c>
      <c r="AL667" s="12">
        <f t="shared" si="174"/>
        <v>2025</v>
      </c>
      <c r="AM667" s="6" t="s">
        <v>220</v>
      </c>
      <c r="AN667" s="6" t="s">
        <v>98</v>
      </c>
      <c r="AO667" s="6" t="str">
        <f t="shared" si="166"/>
        <v>Cancelled</v>
      </c>
    </row>
    <row r="668" spans="1:41">
      <c r="A668" s="6" t="s">
        <v>3160</v>
      </c>
      <c r="B668" s="7" t="s">
        <v>2172</v>
      </c>
      <c r="C668" s="8">
        <v>45464</v>
      </c>
      <c r="D668" s="7" t="s">
        <v>2114</v>
      </c>
      <c r="E668" s="9">
        <v>45469</v>
      </c>
      <c r="F668" s="9" t="str">
        <f t="shared" si="159"/>
        <v>Valid</v>
      </c>
      <c r="G668" s="10">
        <f t="shared" si="160"/>
        <v>5</v>
      </c>
      <c r="H668" s="10" t="str">
        <f t="shared" si="161"/>
        <v>Valid</v>
      </c>
      <c r="I668" s="6" t="s">
        <v>3161</v>
      </c>
      <c r="J668" s="6" t="s">
        <v>200</v>
      </c>
      <c r="K668" s="6" t="s">
        <v>200</v>
      </c>
      <c r="L668" s="6" t="s">
        <v>61</v>
      </c>
      <c r="M668" s="7" t="str">
        <f t="shared" si="162"/>
        <v>Small Business</v>
      </c>
      <c r="N668" s="6" t="s">
        <v>47</v>
      </c>
      <c r="O668" s="7" t="str">
        <f t="shared" si="163"/>
        <v>North</v>
      </c>
      <c r="P668" s="6" t="s">
        <v>174</v>
      </c>
      <c r="Q668" s="6" t="s">
        <v>175</v>
      </c>
      <c r="R668" s="6" t="s">
        <v>106</v>
      </c>
      <c r="S668" s="7" t="str">
        <f t="shared" si="164"/>
        <v>Technology</v>
      </c>
      <c r="T668" s="6" t="s">
        <v>114</v>
      </c>
      <c r="U668" s="6" t="s">
        <v>3162</v>
      </c>
      <c r="V668" s="6" t="s">
        <v>68</v>
      </c>
      <c r="W668" s="7" t="str">
        <f t="shared" si="165"/>
        <v>Same Day</v>
      </c>
      <c r="X668" s="6">
        <v>1</v>
      </c>
      <c r="Y668" s="6">
        <v>279.83</v>
      </c>
      <c r="Z668" s="6">
        <v>0.05</v>
      </c>
      <c r="AA668" s="6">
        <f t="shared" si="167"/>
        <v>0.05</v>
      </c>
      <c r="AB668" s="6" t="str">
        <f t="shared" si="168"/>
        <v>Valid</v>
      </c>
      <c r="AC668" s="6">
        <v>265.83999999999997</v>
      </c>
      <c r="AD668" s="6" t="str">
        <f>IF(OR(AO668="Cancelled",AM668="Failed"),"Exclude from Completed Sales","Include in Completed Sales")</f>
        <v>Include in Completed Sales</v>
      </c>
      <c r="AE668" s="6">
        <f t="shared" si="169"/>
        <v>265.83849999999995</v>
      </c>
      <c r="AF668" s="6" t="str">
        <f t="shared" si="170"/>
        <v/>
      </c>
      <c r="AG668" s="6">
        <v>223.49</v>
      </c>
      <c r="AH668" s="6">
        <v>42.35</v>
      </c>
      <c r="AI668" s="6">
        <f t="shared" si="171"/>
        <v>42.348499999999945</v>
      </c>
      <c r="AJ668" s="11">
        <f t="shared" si="172"/>
        <v>0.15930160605028976</v>
      </c>
      <c r="AK668" s="11" t="str">
        <f t="shared" si="173"/>
        <v>June</v>
      </c>
      <c r="AL668" s="12">
        <f t="shared" si="174"/>
        <v>2024</v>
      </c>
      <c r="AM668" s="6" t="s">
        <v>54</v>
      </c>
      <c r="AN668" s="6" t="s">
        <v>55</v>
      </c>
      <c r="AO668" s="6" t="str">
        <f t="shared" si="166"/>
        <v>Completed</v>
      </c>
    </row>
    <row r="669" spans="1:41">
      <c r="A669" s="6" t="s">
        <v>3163</v>
      </c>
      <c r="B669" s="7" t="s">
        <v>3164</v>
      </c>
      <c r="C669" s="8">
        <v>45797</v>
      </c>
      <c r="D669" s="7" t="s">
        <v>3165</v>
      </c>
      <c r="E669" s="9">
        <v>45804</v>
      </c>
      <c r="F669" s="9" t="str">
        <f t="shared" si="159"/>
        <v>Valid</v>
      </c>
      <c r="G669" s="10">
        <f t="shared" si="160"/>
        <v>7</v>
      </c>
      <c r="H669" s="10" t="str">
        <f t="shared" si="161"/>
        <v>Valid</v>
      </c>
      <c r="I669" s="6" t="s">
        <v>3166</v>
      </c>
      <c r="J669" s="6" t="s">
        <v>230</v>
      </c>
      <c r="K669" s="6" t="s">
        <v>230</v>
      </c>
      <c r="L669" s="6" t="s">
        <v>61</v>
      </c>
      <c r="M669" s="7" t="str">
        <f t="shared" si="162"/>
        <v>Small Business</v>
      </c>
      <c r="N669" s="6" t="s">
        <v>62</v>
      </c>
      <c r="O669" s="7" t="str">
        <f t="shared" si="163"/>
        <v>East</v>
      </c>
      <c r="P669" s="6" t="s">
        <v>206</v>
      </c>
      <c r="Q669" s="6" t="s">
        <v>207</v>
      </c>
      <c r="R669" s="6" t="s">
        <v>106</v>
      </c>
      <c r="S669" s="7" t="str">
        <f t="shared" si="164"/>
        <v>Technology</v>
      </c>
      <c r="T669" s="6" t="s">
        <v>402</v>
      </c>
      <c r="U669" s="6" t="s">
        <v>3167</v>
      </c>
      <c r="V669" s="6" t="s">
        <v>87</v>
      </c>
      <c r="W669" s="7" t="str">
        <f t="shared" si="165"/>
        <v>Standard Class</v>
      </c>
      <c r="X669" s="6">
        <v>1</v>
      </c>
      <c r="Y669" s="6">
        <v>3959.14</v>
      </c>
      <c r="Z669" s="6">
        <v>0</v>
      </c>
      <c r="AA669" s="6">
        <f t="shared" si="167"/>
        <v>0</v>
      </c>
      <c r="AB669" s="6" t="str">
        <f t="shared" si="168"/>
        <v>Valid</v>
      </c>
      <c r="AC669" s="6">
        <v>3959.14</v>
      </c>
      <c r="AD669" s="6" t="str">
        <f>IF(OR(AO669="Cancelled",AM669="Failed"),"Exclude from Completed Sales","Include in Completed Sales")</f>
        <v>Include in Completed Sales</v>
      </c>
      <c r="AE669" s="6">
        <f t="shared" si="169"/>
        <v>3959.14</v>
      </c>
      <c r="AF669" s="6" t="str">
        <f t="shared" si="170"/>
        <v/>
      </c>
      <c r="AG669" s="6">
        <v>3239.53</v>
      </c>
      <c r="AH669" s="6">
        <v>719.61</v>
      </c>
      <c r="AI669" s="6">
        <f t="shared" si="171"/>
        <v>719.60999999999967</v>
      </c>
      <c r="AJ669" s="11">
        <f t="shared" si="172"/>
        <v>0.18175916992074029</v>
      </c>
      <c r="AK669" s="11" t="str">
        <f t="shared" si="173"/>
        <v>May</v>
      </c>
      <c r="AL669" s="12">
        <f t="shared" si="174"/>
        <v>2025</v>
      </c>
      <c r="AM669" s="6" t="s">
        <v>157</v>
      </c>
      <c r="AN669" s="6" t="s">
        <v>145</v>
      </c>
      <c r="AO669" s="6" t="str">
        <f t="shared" si="166"/>
        <v>Returned</v>
      </c>
    </row>
    <row r="670" spans="1:41">
      <c r="A670" s="6" t="s">
        <v>3168</v>
      </c>
      <c r="B670" s="7" t="s">
        <v>3169</v>
      </c>
      <c r="C670" s="8">
        <v>45617</v>
      </c>
      <c r="D670" s="7" t="s">
        <v>241</v>
      </c>
      <c r="E670" s="9">
        <v>45619</v>
      </c>
      <c r="F670" s="9" t="str">
        <f t="shared" si="159"/>
        <v>Valid</v>
      </c>
      <c r="G670" s="10">
        <f t="shared" si="160"/>
        <v>2</v>
      </c>
      <c r="H670" s="10" t="str">
        <f t="shared" si="161"/>
        <v>Valid</v>
      </c>
      <c r="I670" s="6" t="s">
        <v>3170</v>
      </c>
      <c r="J670" s="6" t="s">
        <v>60</v>
      </c>
      <c r="K670" s="6" t="s">
        <v>60</v>
      </c>
      <c r="L670" s="6" t="s">
        <v>128</v>
      </c>
      <c r="M670" s="7" t="str">
        <f t="shared" si="162"/>
        <v>Corporate</v>
      </c>
      <c r="N670" s="6" t="s">
        <v>93</v>
      </c>
      <c r="O670" s="7" t="str">
        <f t="shared" si="163"/>
        <v>West</v>
      </c>
      <c r="P670" s="6" t="s">
        <v>255</v>
      </c>
      <c r="Q670" s="6" t="s">
        <v>256</v>
      </c>
      <c r="R670" s="6" t="s">
        <v>50</v>
      </c>
      <c r="S670" s="7" t="str">
        <f t="shared" si="164"/>
        <v>Office Supplies</v>
      </c>
      <c r="T670" s="6" t="s">
        <v>51</v>
      </c>
      <c r="U670" s="6" t="s">
        <v>3171</v>
      </c>
      <c r="V670" s="6" t="s">
        <v>53</v>
      </c>
      <c r="W670" s="7" t="str">
        <f t="shared" si="165"/>
        <v>Second Class</v>
      </c>
      <c r="X670" s="6">
        <v>5</v>
      </c>
      <c r="Y670" s="6">
        <v>600.46</v>
      </c>
      <c r="Z670" s="6">
        <v>0.2</v>
      </c>
      <c r="AA670" s="6">
        <f t="shared" si="167"/>
        <v>0.2</v>
      </c>
      <c r="AB670" s="6" t="str">
        <f t="shared" si="168"/>
        <v>Valid</v>
      </c>
      <c r="AC670" s="6">
        <v>2401.84</v>
      </c>
      <c r="AD670" s="6" t="str">
        <f>IF(OR(AO670="Cancelled",AM670="Failed"),"Exclude from Completed Sales","Include in Completed Sales")</f>
        <v>Include in Completed Sales</v>
      </c>
      <c r="AE670" s="6">
        <f t="shared" si="169"/>
        <v>2401.84</v>
      </c>
      <c r="AF670" s="6" t="str">
        <f t="shared" si="170"/>
        <v/>
      </c>
      <c r="AG670" s="6">
        <v>1873.11</v>
      </c>
      <c r="AH670" s="6">
        <v>528.73</v>
      </c>
      <c r="AI670" s="6">
        <f t="shared" si="171"/>
        <v>528.73000000000025</v>
      </c>
      <c r="AJ670" s="11">
        <f t="shared" si="172"/>
        <v>0.22013539619624964</v>
      </c>
      <c r="AK670" s="11" t="str">
        <f t="shared" si="173"/>
        <v>November</v>
      </c>
      <c r="AL670" s="12">
        <f t="shared" si="174"/>
        <v>2024</v>
      </c>
      <c r="AM670" s="6" t="s">
        <v>54</v>
      </c>
      <c r="AN670" s="6" t="s">
        <v>55</v>
      </c>
      <c r="AO670" s="6" t="str">
        <f t="shared" si="166"/>
        <v>Completed</v>
      </c>
    </row>
    <row r="671" spans="1:41">
      <c r="A671" s="6" t="s">
        <v>3172</v>
      </c>
      <c r="B671" s="7" t="s">
        <v>3173</v>
      </c>
      <c r="C671" s="8">
        <v>45375</v>
      </c>
      <c r="D671" s="7" t="s">
        <v>3174</v>
      </c>
      <c r="E671" s="9">
        <v>45383</v>
      </c>
      <c r="F671" s="9" t="str">
        <f t="shared" si="159"/>
        <v>Valid</v>
      </c>
      <c r="G671" s="10">
        <f t="shared" si="160"/>
        <v>8</v>
      </c>
      <c r="H671" s="10" t="str">
        <f t="shared" si="161"/>
        <v>Valid</v>
      </c>
      <c r="I671" s="6" t="s">
        <v>3175</v>
      </c>
      <c r="J671" s="6" t="s">
        <v>92</v>
      </c>
      <c r="K671" s="6" t="s">
        <v>92</v>
      </c>
      <c r="L671" s="6" t="s">
        <v>135</v>
      </c>
      <c r="M671" s="7" t="str">
        <f t="shared" si="162"/>
        <v>Home Office</v>
      </c>
      <c r="N671" s="6" t="s">
        <v>93</v>
      </c>
      <c r="O671" s="7" t="str">
        <f t="shared" si="163"/>
        <v>West</v>
      </c>
      <c r="P671" s="6" t="s">
        <v>94</v>
      </c>
      <c r="Q671" s="6" t="s">
        <v>95</v>
      </c>
      <c r="R671" s="6" t="s">
        <v>65</v>
      </c>
      <c r="S671" s="7" t="str">
        <f t="shared" si="164"/>
        <v>Furniture</v>
      </c>
      <c r="T671" s="6" t="s">
        <v>66</v>
      </c>
      <c r="U671" s="6" t="s">
        <v>3176</v>
      </c>
      <c r="V671" s="6" t="s">
        <v>53</v>
      </c>
      <c r="W671" s="7" t="str">
        <f t="shared" si="165"/>
        <v>Second Class</v>
      </c>
      <c r="X671" s="6">
        <v>4</v>
      </c>
      <c r="Y671" s="6">
        <v>1700.72</v>
      </c>
      <c r="Z671" s="6">
        <v>0.25</v>
      </c>
      <c r="AA671" s="6">
        <f t="shared" si="167"/>
        <v>0.25</v>
      </c>
      <c r="AB671" s="6" t="str">
        <f t="shared" si="168"/>
        <v>Valid</v>
      </c>
      <c r="AC671" s="6">
        <v>5102.16</v>
      </c>
      <c r="AD671" s="6" t="str">
        <f>IF(OR(AO671="Cancelled",AM671="Failed"),"Exclude from Completed Sales","Include in Completed Sales")</f>
        <v>Include in Completed Sales</v>
      </c>
      <c r="AE671" s="6">
        <f t="shared" si="169"/>
        <v>5102.16</v>
      </c>
      <c r="AF671" s="6" t="str">
        <f t="shared" si="170"/>
        <v/>
      </c>
      <c r="AG671" s="6">
        <v>3226.45</v>
      </c>
      <c r="AH671" s="6">
        <v>1875.71</v>
      </c>
      <c r="AI671" s="6">
        <f t="shared" si="171"/>
        <v>1875.71</v>
      </c>
      <c r="AJ671" s="11">
        <f t="shared" si="172"/>
        <v>0.36763057214983458</v>
      </c>
      <c r="AK671" s="11" t="str">
        <f t="shared" si="173"/>
        <v>March</v>
      </c>
      <c r="AL671" s="12">
        <f t="shared" si="174"/>
        <v>2024</v>
      </c>
      <c r="AM671" s="6" t="s">
        <v>54</v>
      </c>
      <c r="AN671" s="6" t="s">
        <v>55</v>
      </c>
      <c r="AO671" s="6" t="str">
        <f t="shared" si="166"/>
        <v>Completed</v>
      </c>
    </row>
    <row r="672" spans="1:41">
      <c r="A672" s="6" t="s">
        <v>3177</v>
      </c>
      <c r="B672" s="7" t="s">
        <v>3178</v>
      </c>
      <c r="C672" s="8">
        <v>45690</v>
      </c>
      <c r="D672" s="7" t="s">
        <v>2976</v>
      </c>
      <c r="E672" s="9">
        <v>45694</v>
      </c>
      <c r="F672" s="9" t="str">
        <f t="shared" si="159"/>
        <v>Valid</v>
      </c>
      <c r="G672" s="10">
        <f t="shared" si="160"/>
        <v>4</v>
      </c>
      <c r="H672" s="10" t="str">
        <f t="shared" si="161"/>
        <v>Valid</v>
      </c>
      <c r="I672" s="6" t="s">
        <v>2451</v>
      </c>
      <c r="J672" s="6" t="s">
        <v>188</v>
      </c>
      <c r="K672" s="6" t="s">
        <v>188</v>
      </c>
      <c r="L672" s="6" t="s">
        <v>128</v>
      </c>
      <c r="M672" s="7" t="str">
        <f t="shared" si="162"/>
        <v>Corporate</v>
      </c>
      <c r="N672" s="6" t="s">
        <v>47</v>
      </c>
      <c r="O672" s="7" t="str">
        <f t="shared" si="163"/>
        <v>North</v>
      </c>
      <c r="P672" s="6" t="s">
        <v>194</v>
      </c>
      <c r="Q672" s="6" t="s">
        <v>195</v>
      </c>
      <c r="R672" s="6" t="s">
        <v>65</v>
      </c>
      <c r="S672" s="7" t="str">
        <f t="shared" si="164"/>
        <v>Furniture</v>
      </c>
      <c r="T672" s="6" t="s">
        <v>66</v>
      </c>
      <c r="U672" s="6" t="s">
        <v>3179</v>
      </c>
      <c r="V672" s="6" t="s">
        <v>87</v>
      </c>
      <c r="W672" s="7" t="str">
        <f t="shared" si="165"/>
        <v>Standard Class</v>
      </c>
      <c r="X672" s="6">
        <v>8</v>
      </c>
      <c r="Y672" s="6">
        <v>857.86</v>
      </c>
      <c r="Z672" s="6">
        <v>0.1</v>
      </c>
      <c r="AA672" s="6">
        <f t="shared" si="167"/>
        <v>0.1</v>
      </c>
      <c r="AB672" s="6" t="str">
        <f t="shared" si="168"/>
        <v>Valid</v>
      </c>
      <c r="AC672" s="6">
        <v>6176.59</v>
      </c>
      <c r="AD672" s="6" t="str">
        <f>IF(OR(AO672="Cancelled",AM672="Failed"),"Exclude from Completed Sales","Include in Completed Sales")</f>
        <v>Include in Completed Sales</v>
      </c>
      <c r="AE672" s="6">
        <f t="shared" si="169"/>
        <v>6176.5920000000006</v>
      </c>
      <c r="AF672" s="6" t="str">
        <f t="shared" si="170"/>
        <v/>
      </c>
      <c r="AG672" s="6">
        <v>3560.96</v>
      </c>
      <c r="AH672" s="6">
        <v>2615.63</v>
      </c>
      <c r="AI672" s="6">
        <f t="shared" si="171"/>
        <v>2615.6320000000005</v>
      </c>
      <c r="AJ672" s="11">
        <f t="shared" si="172"/>
        <v>0.42347495188285067</v>
      </c>
      <c r="AK672" s="11" t="str">
        <f t="shared" si="173"/>
        <v>February</v>
      </c>
      <c r="AL672" s="12">
        <f t="shared" si="174"/>
        <v>2025</v>
      </c>
      <c r="AM672" s="6" t="s">
        <v>54</v>
      </c>
      <c r="AN672" s="6" t="s">
        <v>55</v>
      </c>
      <c r="AO672" s="6" t="str">
        <f t="shared" si="166"/>
        <v>Completed</v>
      </c>
    </row>
    <row r="673" spans="1:41">
      <c r="A673" s="6" t="s">
        <v>3180</v>
      </c>
      <c r="B673" s="7" t="s">
        <v>3181</v>
      </c>
      <c r="C673" s="8">
        <v>45373</v>
      </c>
      <c r="D673" s="7" t="s">
        <v>3182</v>
      </c>
      <c r="E673" s="9">
        <v>45378</v>
      </c>
      <c r="F673" s="9" t="str">
        <f t="shared" si="159"/>
        <v>Valid</v>
      </c>
      <c r="G673" s="10">
        <f t="shared" si="160"/>
        <v>5</v>
      </c>
      <c r="H673" s="10" t="str">
        <f t="shared" si="161"/>
        <v>Valid</v>
      </c>
      <c r="I673" s="6" t="s">
        <v>3183</v>
      </c>
      <c r="J673" s="6" t="s">
        <v>127</v>
      </c>
      <c r="K673" s="6" t="s">
        <v>127</v>
      </c>
      <c r="L673" s="6" t="s">
        <v>135</v>
      </c>
      <c r="M673" s="7" t="str">
        <f t="shared" si="162"/>
        <v>Home Office</v>
      </c>
      <c r="N673" s="6" t="s">
        <v>93</v>
      </c>
      <c r="O673" s="7" t="str">
        <f t="shared" si="163"/>
        <v>West</v>
      </c>
      <c r="P673" s="6" t="s">
        <v>269</v>
      </c>
      <c r="Q673" s="6" t="s">
        <v>270</v>
      </c>
      <c r="R673" s="6" t="s">
        <v>106</v>
      </c>
      <c r="S673" s="7" t="str">
        <f t="shared" si="164"/>
        <v>Technology</v>
      </c>
      <c r="T673" s="6" t="s">
        <v>3184</v>
      </c>
      <c r="U673" s="6" t="s">
        <v>3185</v>
      </c>
      <c r="V673" s="6" t="s">
        <v>53</v>
      </c>
      <c r="W673" s="7" t="str">
        <f t="shared" si="165"/>
        <v>Second Class</v>
      </c>
      <c r="X673" s="6">
        <v>9</v>
      </c>
      <c r="Y673" s="6">
        <v>3649.51</v>
      </c>
      <c r="Z673" s="6">
        <v>0.05</v>
      </c>
      <c r="AA673" s="6">
        <f t="shared" si="167"/>
        <v>0.05</v>
      </c>
      <c r="AB673" s="6" t="str">
        <f t="shared" si="168"/>
        <v>Valid</v>
      </c>
      <c r="AC673" s="6">
        <v>31203.31</v>
      </c>
      <c r="AD673" s="6" t="str">
        <f>IF(OR(AO673="Cancelled",AM673="Failed"),"Exclude from Completed Sales","Include in Completed Sales")</f>
        <v>Include in Completed Sales</v>
      </c>
      <c r="AE673" s="6">
        <f t="shared" si="169"/>
        <v>31203.310500000003</v>
      </c>
      <c r="AF673" s="6" t="str">
        <f t="shared" si="170"/>
        <v/>
      </c>
      <c r="AG673" s="6">
        <v>17738.13</v>
      </c>
      <c r="AH673" s="6">
        <v>13465.18</v>
      </c>
      <c r="AI673" s="6">
        <f t="shared" si="171"/>
        <v>13465.180500000002</v>
      </c>
      <c r="AJ673" s="11">
        <f t="shared" si="172"/>
        <v>0.43153051020019179</v>
      </c>
      <c r="AK673" s="11" t="str">
        <f t="shared" si="173"/>
        <v>March</v>
      </c>
      <c r="AL673" s="12">
        <f t="shared" si="174"/>
        <v>2024</v>
      </c>
      <c r="AM673" s="6" t="s">
        <v>54</v>
      </c>
      <c r="AN673" s="6" t="s">
        <v>55</v>
      </c>
      <c r="AO673" s="6" t="str">
        <f t="shared" si="166"/>
        <v>Completed</v>
      </c>
    </row>
    <row r="674" spans="1:41">
      <c r="A674" s="6" t="s">
        <v>3186</v>
      </c>
      <c r="B674" s="7" t="s">
        <v>3187</v>
      </c>
      <c r="C674" s="8">
        <v>45539</v>
      </c>
      <c r="D674" s="7" t="s">
        <v>3188</v>
      </c>
      <c r="E674" s="9">
        <v>45540</v>
      </c>
      <c r="F674" s="9" t="str">
        <f t="shared" si="159"/>
        <v>Valid</v>
      </c>
      <c r="G674" s="10">
        <f t="shared" si="160"/>
        <v>1</v>
      </c>
      <c r="H674" s="10" t="str">
        <f t="shared" si="161"/>
        <v>Valid</v>
      </c>
      <c r="I674" s="6" t="s">
        <v>3189</v>
      </c>
      <c r="J674" s="6" t="s">
        <v>127</v>
      </c>
      <c r="K674" s="6" t="s">
        <v>127</v>
      </c>
      <c r="L674" s="6" t="s">
        <v>128</v>
      </c>
      <c r="M674" s="7" t="str">
        <f t="shared" si="162"/>
        <v>Corporate</v>
      </c>
      <c r="N674" s="6" t="s">
        <v>93</v>
      </c>
      <c r="O674" s="7" t="str">
        <f t="shared" si="163"/>
        <v>West</v>
      </c>
      <c r="P674" s="6" t="s">
        <v>104</v>
      </c>
      <c r="Q674" s="6" t="s">
        <v>105</v>
      </c>
      <c r="R674" s="6" t="s">
        <v>65</v>
      </c>
      <c r="S674" s="7" t="str">
        <f t="shared" si="164"/>
        <v>Furniture</v>
      </c>
      <c r="T674" s="6" t="s">
        <v>96</v>
      </c>
      <c r="U674" s="6" t="s">
        <v>3190</v>
      </c>
      <c r="V674" s="6" t="s">
        <v>87</v>
      </c>
      <c r="W674" s="7" t="str">
        <f t="shared" si="165"/>
        <v>Standard Class</v>
      </c>
      <c r="X674" s="6">
        <v>5</v>
      </c>
      <c r="Y674" s="6">
        <v>2528.5300000000002</v>
      </c>
      <c r="Z674" s="6">
        <v>0.05</v>
      </c>
      <c r="AA674" s="6">
        <f t="shared" si="167"/>
        <v>0.05</v>
      </c>
      <c r="AB674" s="6" t="str">
        <f t="shared" si="168"/>
        <v>Valid</v>
      </c>
      <c r="AC674" s="6">
        <v>12010.52</v>
      </c>
      <c r="AD674" s="6" t="str">
        <f>IF(OR(AO674="Cancelled",AM674="Failed"),"Exclude from Completed Sales","Include in Completed Sales")</f>
        <v>Include in Completed Sales</v>
      </c>
      <c r="AE674" s="6">
        <f t="shared" si="169"/>
        <v>12010.5175</v>
      </c>
      <c r="AF674" s="6" t="str">
        <f t="shared" si="170"/>
        <v/>
      </c>
      <c r="AG674" s="6">
        <v>7864.61</v>
      </c>
      <c r="AH674" s="6">
        <v>4145.91</v>
      </c>
      <c r="AI674" s="6">
        <f t="shared" si="171"/>
        <v>4145.9075000000003</v>
      </c>
      <c r="AJ674" s="11">
        <f t="shared" si="172"/>
        <v>0.34518974723612039</v>
      </c>
      <c r="AK674" s="11" t="str">
        <f t="shared" si="173"/>
        <v>September</v>
      </c>
      <c r="AL674" s="12">
        <f t="shared" si="174"/>
        <v>2024</v>
      </c>
      <c r="AM674" s="6" t="s">
        <v>54</v>
      </c>
      <c r="AN674" s="6" t="s">
        <v>145</v>
      </c>
      <c r="AO674" s="6" t="str">
        <f t="shared" si="166"/>
        <v>Returned</v>
      </c>
    </row>
    <row r="675" spans="1:41">
      <c r="A675" s="6" t="s">
        <v>3191</v>
      </c>
      <c r="B675" s="7" t="s">
        <v>2421</v>
      </c>
      <c r="C675" s="8">
        <v>45701</v>
      </c>
      <c r="D675" s="7" t="s">
        <v>3192</v>
      </c>
      <c r="E675" s="9">
        <v>45704</v>
      </c>
      <c r="F675" s="9" t="str">
        <f t="shared" si="159"/>
        <v>Valid</v>
      </c>
      <c r="G675" s="10">
        <f t="shared" si="160"/>
        <v>3</v>
      </c>
      <c r="H675" s="10" t="str">
        <f t="shared" si="161"/>
        <v>Valid</v>
      </c>
      <c r="I675" s="6" t="s">
        <v>3193</v>
      </c>
      <c r="J675" s="6" t="s">
        <v>81</v>
      </c>
      <c r="K675" s="6" t="s">
        <v>81</v>
      </c>
      <c r="L675" s="6" t="s">
        <v>61</v>
      </c>
      <c r="M675" s="7" t="str">
        <f t="shared" si="162"/>
        <v>Small Business</v>
      </c>
      <c r="N675" s="6" t="s">
        <v>93</v>
      </c>
      <c r="O675" s="7" t="str">
        <f t="shared" si="163"/>
        <v>West</v>
      </c>
      <c r="P675" s="6" t="s">
        <v>48</v>
      </c>
      <c r="Q675" s="6" t="s">
        <v>155</v>
      </c>
      <c r="R675" s="6" t="s">
        <v>65</v>
      </c>
      <c r="S675" s="7" t="str">
        <f t="shared" si="164"/>
        <v>Furniture</v>
      </c>
      <c r="T675" s="6" t="s">
        <v>224</v>
      </c>
      <c r="U675" s="6" t="s">
        <v>3194</v>
      </c>
      <c r="V675" s="6" t="s">
        <v>53</v>
      </c>
      <c r="W675" s="7" t="str">
        <f t="shared" si="165"/>
        <v>Second Class</v>
      </c>
      <c r="X675" s="6">
        <v>4</v>
      </c>
      <c r="Y675" s="6">
        <v>4072.9</v>
      </c>
      <c r="Z675" s="6">
        <v>0.15</v>
      </c>
      <c r="AA675" s="6">
        <f t="shared" si="167"/>
        <v>0.15</v>
      </c>
      <c r="AB675" s="6" t="str">
        <f t="shared" si="168"/>
        <v>Valid</v>
      </c>
      <c r="AC675" s="6">
        <v>13847.86</v>
      </c>
      <c r="AD675" s="6" t="str">
        <f>IF(OR(AO675="Cancelled",AM675="Failed"),"Exclude from Completed Sales","Include in Completed Sales")</f>
        <v>Include in Completed Sales</v>
      </c>
      <c r="AE675" s="6">
        <f t="shared" si="169"/>
        <v>13847.86</v>
      </c>
      <c r="AF675" s="6" t="str">
        <f t="shared" si="170"/>
        <v/>
      </c>
      <c r="AG675" s="6">
        <v>8471.7800000000007</v>
      </c>
      <c r="AH675" s="6">
        <v>5376.08</v>
      </c>
      <c r="AI675" s="6">
        <f t="shared" si="171"/>
        <v>5376.08</v>
      </c>
      <c r="AJ675" s="11">
        <f t="shared" si="172"/>
        <v>0.38822460654570451</v>
      </c>
      <c r="AK675" s="11" t="str">
        <f t="shared" si="173"/>
        <v>February</v>
      </c>
      <c r="AL675" s="12">
        <f t="shared" si="174"/>
        <v>2025</v>
      </c>
      <c r="AM675" s="6" t="s">
        <v>54</v>
      </c>
      <c r="AN675" s="6" t="s">
        <v>55</v>
      </c>
      <c r="AO675" s="6" t="str">
        <f t="shared" si="166"/>
        <v>Completed</v>
      </c>
    </row>
    <row r="676" spans="1:41">
      <c r="A676" s="6" t="s">
        <v>3195</v>
      </c>
      <c r="B676" s="7" t="s">
        <v>3196</v>
      </c>
      <c r="C676" s="8">
        <v>45430</v>
      </c>
      <c r="D676" s="7" t="s">
        <v>3197</v>
      </c>
      <c r="E676" s="9">
        <v>45433</v>
      </c>
      <c r="F676" s="9" t="str">
        <f t="shared" si="159"/>
        <v>Valid</v>
      </c>
      <c r="G676" s="10">
        <f t="shared" si="160"/>
        <v>3</v>
      </c>
      <c r="H676" s="10" t="str">
        <f t="shared" si="161"/>
        <v>Valid</v>
      </c>
      <c r="I676" s="6" t="s">
        <v>3198</v>
      </c>
      <c r="J676" s="6" t="s">
        <v>103</v>
      </c>
      <c r="K676" s="6" t="s">
        <v>103</v>
      </c>
      <c r="L676" s="6" t="s">
        <v>128</v>
      </c>
      <c r="M676" s="7" t="str">
        <f t="shared" si="162"/>
        <v>Corporate</v>
      </c>
      <c r="N676" s="6" t="s">
        <v>62</v>
      </c>
      <c r="O676" s="7" t="str">
        <f t="shared" si="163"/>
        <v>East</v>
      </c>
      <c r="P676" s="6" t="s">
        <v>331</v>
      </c>
      <c r="Q676" s="6" t="s">
        <v>332</v>
      </c>
      <c r="R676" s="6" t="s">
        <v>106</v>
      </c>
      <c r="S676" s="7" t="str">
        <f t="shared" si="164"/>
        <v>Technology</v>
      </c>
      <c r="T676" s="6" t="s">
        <v>107</v>
      </c>
      <c r="U676" s="6" t="s">
        <v>3199</v>
      </c>
      <c r="V676" s="6" t="s">
        <v>53</v>
      </c>
      <c r="W676" s="7" t="str">
        <f t="shared" si="165"/>
        <v>Second Class</v>
      </c>
      <c r="X676" s="6">
        <v>1</v>
      </c>
      <c r="Y676" s="6">
        <v>1033.71</v>
      </c>
      <c r="Z676" s="6">
        <v>0</v>
      </c>
      <c r="AA676" s="6">
        <f t="shared" si="167"/>
        <v>0</v>
      </c>
      <c r="AB676" s="6" t="str">
        <f t="shared" si="168"/>
        <v>Valid</v>
      </c>
      <c r="AC676" s="6">
        <v>1033.71</v>
      </c>
      <c r="AD676" s="6" t="str">
        <f>IF(OR(AO676="Cancelled",AM676="Failed"),"Exclude from Completed Sales","Include in Completed Sales")</f>
        <v>Include in Completed Sales</v>
      </c>
      <c r="AE676" s="6">
        <f t="shared" si="169"/>
        <v>1033.71</v>
      </c>
      <c r="AF676" s="6" t="str">
        <f t="shared" si="170"/>
        <v/>
      </c>
      <c r="AG676" s="6">
        <v>630.82000000000005</v>
      </c>
      <c r="AH676" s="6">
        <v>402.89</v>
      </c>
      <c r="AI676" s="6">
        <f t="shared" si="171"/>
        <v>402.89</v>
      </c>
      <c r="AJ676" s="11">
        <f t="shared" si="172"/>
        <v>0.38975147768716562</v>
      </c>
      <c r="AK676" s="11" t="str">
        <f t="shared" si="173"/>
        <v>May</v>
      </c>
      <c r="AL676" s="12">
        <f t="shared" si="174"/>
        <v>2024</v>
      </c>
      <c r="AM676" s="6" t="s">
        <v>157</v>
      </c>
      <c r="AN676" s="6" t="s">
        <v>145</v>
      </c>
      <c r="AO676" s="6" t="str">
        <f t="shared" si="166"/>
        <v>Returned</v>
      </c>
    </row>
    <row r="677" spans="1:41">
      <c r="A677" s="6" t="s">
        <v>3200</v>
      </c>
      <c r="B677" s="7" t="s">
        <v>3201</v>
      </c>
      <c r="C677" s="8">
        <v>45815</v>
      </c>
      <c r="D677" s="7" t="s">
        <v>3202</v>
      </c>
      <c r="E677" s="9">
        <v>45818</v>
      </c>
      <c r="F677" s="9" t="str">
        <f t="shared" si="159"/>
        <v>Valid</v>
      </c>
      <c r="G677" s="10">
        <f t="shared" si="160"/>
        <v>3</v>
      </c>
      <c r="H677" s="10" t="str">
        <f t="shared" si="161"/>
        <v>Valid</v>
      </c>
      <c r="I677" s="6" t="s">
        <v>3053</v>
      </c>
      <c r="J677" s="6" t="s">
        <v>182</v>
      </c>
      <c r="K677" s="6" t="s">
        <v>182</v>
      </c>
      <c r="L677" s="6" t="s">
        <v>46</v>
      </c>
      <c r="M677" s="7" t="str">
        <f t="shared" si="162"/>
        <v>Consumer</v>
      </c>
      <c r="N677" s="6" t="s">
        <v>47</v>
      </c>
      <c r="O677" s="7" t="str">
        <f t="shared" si="163"/>
        <v>North</v>
      </c>
      <c r="P677" s="6" t="s">
        <v>48</v>
      </c>
      <c r="Q677" s="6" t="s">
        <v>49</v>
      </c>
      <c r="R677" s="6" t="s">
        <v>65</v>
      </c>
      <c r="S677" s="7" t="str">
        <f t="shared" si="164"/>
        <v>Furniture</v>
      </c>
      <c r="T677" s="6" t="s">
        <v>85</v>
      </c>
      <c r="U677" s="6" t="s">
        <v>3203</v>
      </c>
      <c r="V677" s="6" t="s">
        <v>68</v>
      </c>
      <c r="W677" s="7" t="str">
        <f t="shared" si="165"/>
        <v>Same Day</v>
      </c>
      <c r="X677" s="6">
        <v>3</v>
      </c>
      <c r="Y677" s="6">
        <v>963.26</v>
      </c>
      <c r="Z677" s="6">
        <v>0</v>
      </c>
      <c r="AA677" s="6">
        <f t="shared" si="167"/>
        <v>0</v>
      </c>
      <c r="AB677" s="6" t="str">
        <f t="shared" si="168"/>
        <v>Valid</v>
      </c>
      <c r="AC677" s="6">
        <v>2889.78</v>
      </c>
      <c r="AD677" s="6" t="str">
        <f>IF(OR(AO677="Cancelled",AM677="Failed"),"Exclude from Completed Sales","Include in Completed Sales")</f>
        <v>Include in Completed Sales</v>
      </c>
      <c r="AE677" s="6">
        <f t="shared" si="169"/>
        <v>2889.7799999999997</v>
      </c>
      <c r="AF677" s="6" t="str">
        <f t="shared" si="170"/>
        <v/>
      </c>
      <c r="AG677" s="6">
        <v>1811.23</v>
      </c>
      <c r="AH677" s="6">
        <v>1078.55</v>
      </c>
      <c r="AI677" s="6">
        <f t="shared" si="171"/>
        <v>1078.5499999999997</v>
      </c>
      <c r="AJ677" s="11">
        <f t="shared" si="172"/>
        <v>0.37322910394562903</v>
      </c>
      <c r="AK677" s="11" t="str">
        <f t="shared" si="173"/>
        <v>June</v>
      </c>
      <c r="AL677" s="12">
        <f t="shared" si="174"/>
        <v>2025</v>
      </c>
      <c r="AM677" s="6" t="s">
        <v>54</v>
      </c>
      <c r="AN677" s="6" t="s">
        <v>55</v>
      </c>
      <c r="AO677" s="6" t="str">
        <f t="shared" si="166"/>
        <v>Completed</v>
      </c>
    </row>
    <row r="678" spans="1:41">
      <c r="A678" s="6" t="s">
        <v>3204</v>
      </c>
      <c r="B678" s="7" t="s">
        <v>3205</v>
      </c>
      <c r="C678" s="8">
        <v>45911</v>
      </c>
      <c r="D678" s="7" t="s">
        <v>3206</v>
      </c>
      <c r="E678" s="9">
        <v>45918</v>
      </c>
      <c r="F678" s="9" t="str">
        <f t="shared" si="159"/>
        <v>Valid</v>
      </c>
      <c r="G678" s="10">
        <f t="shared" si="160"/>
        <v>7</v>
      </c>
      <c r="H678" s="10" t="str">
        <f t="shared" si="161"/>
        <v>Valid</v>
      </c>
      <c r="I678" s="6" t="s">
        <v>3207</v>
      </c>
      <c r="J678" s="6" t="s">
        <v>168</v>
      </c>
      <c r="K678" s="6" t="s">
        <v>168</v>
      </c>
      <c r="L678" s="6" t="s">
        <v>61</v>
      </c>
      <c r="M678" s="7" t="str">
        <f t="shared" si="162"/>
        <v>Small Business</v>
      </c>
      <c r="N678" s="6" t="s">
        <v>47</v>
      </c>
      <c r="O678" s="7" t="str">
        <f t="shared" si="163"/>
        <v>North</v>
      </c>
      <c r="P678" s="6" t="s">
        <v>526</v>
      </c>
      <c r="Q678" s="6" t="s">
        <v>527</v>
      </c>
      <c r="R678" s="6" t="s">
        <v>106</v>
      </c>
      <c r="S678" s="7" t="str">
        <f t="shared" si="164"/>
        <v>Technology</v>
      </c>
      <c r="T678" s="6" t="s">
        <v>243</v>
      </c>
      <c r="U678" s="6" t="s">
        <v>3208</v>
      </c>
      <c r="V678" s="6" t="s">
        <v>68</v>
      </c>
      <c r="W678" s="7" t="str">
        <f t="shared" si="165"/>
        <v>Same Day</v>
      </c>
      <c r="X678" s="6">
        <v>7</v>
      </c>
      <c r="Y678" s="6">
        <v>3411.21</v>
      </c>
      <c r="Z678" s="6">
        <v>0.15</v>
      </c>
      <c r="AA678" s="6">
        <f t="shared" si="167"/>
        <v>0.15</v>
      </c>
      <c r="AB678" s="6" t="str">
        <f t="shared" si="168"/>
        <v>Valid</v>
      </c>
      <c r="AC678" s="6">
        <v>20296.7</v>
      </c>
      <c r="AD678" s="6" t="str">
        <f>IF(OR(AO678="Cancelled",AM678="Failed"),"Exclude from Completed Sales","Include in Completed Sales")</f>
        <v>Include in Completed Sales</v>
      </c>
      <c r="AE678" s="6">
        <f t="shared" si="169"/>
        <v>20296.699499999999</v>
      </c>
      <c r="AF678" s="6" t="str">
        <f t="shared" si="170"/>
        <v/>
      </c>
      <c r="AG678" s="6">
        <v>14920.87</v>
      </c>
      <c r="AH678" s="6">
        <v>5375.83</v>
      </c>
      <c r="AI678" s="6">
        <f t="shared" si="171"/>
        <v>5375.829499999998</v>
      </c>
      <c r="AJ678" s="11">
        <f t="shared" si="172"/>
        <v>0.26486225014071862</v>
      </c>
      <c r="AK678" s="11" t="str">
        <f t="shared" si="173"/>
        <v>September</v>
      </c>
      <c r="AL678" s="12">
        <f t="shared" si="174"/>
        <v>2025</v>
      </c>
      <c r="AM678" s="6" t="s">
        <v>54</v>
      </c>
      <c r="AN678" s="6" t="s">
        <v>55</v>
      </c>
      <c r="AO678" s="6" t="str">
        <f t="shared" si="166"/>
        <v>Completed</v>
      </c>
    </row>
    <row r="679" spans="1:41">
      <c r="A679" s="6" t="s">
        <v>3209</v>
      </c>
      <c r="B679" s="7" t="s">
        <v>3210</v>
      </c>
      <c r="C679" s="8">
        <v>45465</v>
      </c>
      <c r="D679" s="7" t="s">
        <v>3211</v>
      </c>
      <c r="E679" s="9">
        <v>45470</v>
      </c>
      <c r="F679" s="9" t="str">
        <f t="shared" si="159"/>
        <v>Valid</v>
      </c>
      <c r="G679" s="10">
        <f t="shared" si="160"/>
        <v>5</v>
      </c>
      <c r="H679" s="10" t="str">
        <f t="shared" si="161"/>
        <v>Valid</v>
      </c>
      <c r="I679" s="6" t="s">
        <v>44</v>
      </c>
      <c r="J679" s="6" t="s">
        <v>73</v>
      </c>
      <c r="K679" s="6" t="s">
        <v>73</v>
      </c>
      <c r="L679" s="6" t="s">
        <v>135</v>
      </c>
      <c r="M679" s="7" t="str">
        <f t="shared" si="162"/>
        <v>Home Office</v>
      </c>
      <c r="N679" s="6" t="s">
        <v>82</v>
      </c>
      <c r="O679" s="7" t="str">
        <f t="shared" si="163"/>
        <v>South</v>
      </c>
      <c r="P679" s="6" t="s">
        <v>249</v>
      </c>
      <c r="Q679" s="6" t="s">
        <v>250</v>
      </c>
      <c r="R679" s="6" t="s">
        <v>65</v>
      </c>
      <c r="S679" s="7" t="str">
        <f t="shared" si="164"/>
        <v>Furniture</v>
      </c>
      <c r="T679" s="6" t="s">
        <v>96</v>
      </c>
      <c r="U679" s="6" t="s">
        <v>3212</v>
      </c>
      <c r="V679" s="6" t="s">
        <v>68</v>
      </c>
      <c r="W679" s="7" t="str">
        <f t="shared" si="165"/>
        <v>Same Day</v>
      </c>
      <c r="X679" s="6">
        <v>7</v>
      </c>
      <c r="Y679" s="6">
        <v>2623.48</v>
      </c>
      <c r="Z679" s="6">
        <v>0</v>
      </c>
      <c r="AA679" s="6">
        <f t="shared" si="167"/>
        <v>0</v>
      </c>
      <c r="AB679" s="6" t="str">
        <f t="shared" si="168"/>
        <v>Valid</v>
      </c>
      <c r="AC679" s="6">
        <v>18364.36</v>
      </c>
      <c r="AD679" s="6" t="str">
        <f>IF(OR(AO679="Cancelled",AM679="Failed"),"Exclude from Completed Sales","Include in Completed Sales")</f>
        <v>Include in Completed Sales</v>
      </c>
      <c r="AE679" s="6">
        <f t="shared" si="169"/>
        <v>18364.36</v>
      </c>
      <c r="AF679" s="6" t="str">
        <f t="shared" si="170"/>
        <v/>
      </c>
      <c r="AG679" s="6">
        <v>15445.81</v>
      </c>
      <c r="AH679" s="6">
        <v>2918.55</v>
      </c>
      <c r="AI679" s="6">
        <f t="shared" si="171"/>
        <v>2918.5500000000011</v>
      </c>
      <c r="AJ679" s="11">
        <f t="shared" si="172"/>
        <v>0.15892467801763857</v>
      </c>
      <c r="AK679" s="11" t="str">
        <f t="shared" si="173"/>
        <v>June</v>
      </c>
      <c r="AL679" s="12">
        <f t="shared" si="174"/>
        <v>2024</v>
      </c>
      <c r="AM679" s="6" t="s">
        <v>54</v>
      </c>
      <c r="AN679" s="6" t="s">
        <v>55</v>
      </c>
      <c r="AO679" s="6" t="str">
        <f t="shared" si="166"/>
        <v>Completed</v>
      </c>
    </row>
    <row r="680" spans="1:41">
      <c r="A680" s="6" t="s">
        <v>3213</v>
      </c>
      <c r="B680" s="7" t="s">
        <v>3214</v>
      </c>
      <c r="C680" s="8">
        <v>45620</v>
      </c>
      <c r="D680" s="7" t="s">
        <v>3215</v>
      </c>
      <c r="E680" s="9">
        <v>45627</v>
      </c>
      <c r="F680" s="9" t="str">
        <f t="shared" si="159"/>
        <v>Valid</v>
      </c>
      <c r="G680" s="10">
        <f t="shared" si="160"/>
        <v>7</v>
      </c>
      <c r="H680" s="10" t="str">
        <f t="shared" si="161"/>
        <v>Valid</v>
      </c>
      <c r="I680" s="6" t="s">
        <v>3216</v>
      </c>
      <c r="J680" s="6" t="s">
        <v>386</v>
      </c>
      <c r="K680" s="6" t="s">
        <v>386</v>
      </c>
      <c r="L680" s="6" t="s">
        <v>128</v>
      </c>
      <c r="M680" s="7" t="str">
        <f t="shared" si="162"/>
        <v>Corporate</v>
      </c>
      <c r="N680" s="6" t="s">
        <v>82</v>
      </c>
      <c r="O680" s="7" t="str">
        <f t="shared" si="163"/>
        <v>South</v>
      </c>
      <c r="P680" s="6" t="s">
        <v>249</v>
      </c>
      <c r="Q680" s="6" t="s">
        <v>250</v>
      </c>
      <c r="R680" s="6" t="s">
        <v>65</v>
      </c>
      <c r="S680" s="7" t="str">
        <f t="shared" si="164"/>
        <v>Furniture</v>
      </c>
      <c r="T680" s="6" t="s">
        <v>66</v>
      </c>
      <c r="U680" s="6" t="s">
        <v>3217</v>
      </c>
      <c r="V680" s="6" t="s">
        <v>53</v>
      </c>
      <c r="W680" s="7" t="str">
        <f t="shared" si="165"/>
        <v>Second Class</v>
      </c>
      <c r="X680" s="6">
        <v>9</v>
      </c>
      <c r="Y680" s="6">
        <v>2763.61</v>
      </c>
      <c r="Z680" s="6">
        <v>0.15</v>
      </c>
      <c r="AA680" s="6">
        <f t="shared" si="167"/>
        <v>0.15</v>
      </c>
      <c r="AB680" s="6" t="str">
        <f t="shared" si="168"/>
        <v>Valid</v>
      </c>
      <c r="AC680" s="6">
        <v>21141.62</v>
      </c>
      <c r="AD680" s="6" t="str">
        <f>IF(OR(AO680="Cancelled",AM680="Failed"),"Exclude from Completed Sales","Include in Completed Sales")</f>
        <v>Include in Completed Sales</v>
      </c>
      <c r="AE680" s="6">
        <f t="shared" si="169"/>
        <v>21141.6165</v>
      </c>
      <c r="AF680" s="6" t="str">
        <f t="shared" si="170"/>
        <v/>
      </c>
      <c r="AG680" s="6">
        <v>11676.33</v>
      </c>
      <c r="AH680" s="6">
        <v>9465.2900000000009</v>
      </c>
      <c r="AI680" s="6">
        <f t="shared" si="171"/>
        <v>9465.2865000000002</v>
      </c>
      <c r="AJ680" s="11">
        <f t="shared" si="172"/>
        <v>0.44770874071999178</v>
      </c>
      <c r="AK680" s="11" t="str">
        <f t="shared" si="173"/>
        <v>November</v>
      </c>
      <c r="AL680" s="12">
        <f t="shared" si="174"/>
        <v>2024</v>
      </c>
      <c r="AM680" s="6" t="s">
        <v>54</v>
      </c>
      <c r="AN680" s="6" t="s">
        <v>55</v>
      </c>
      <c r="AO680" s="6" t="str">
        <f t="shared" si="166"/>
        <v>Completed</v>
      </c>
    </row>
    <row r="681" spans="1:41">
      <c r="A681" s="6" t="s">
        <v>3218</v>
      </c>
      <c r="B681" s="7" t="s">
        <v>3219</v>
      </c>
      <c r="C681" s="8">
        <v>45885</v>
      </c>
      <c r="D681" s="7" t="s">
        <v>660</v>
      </c>
      <c r="E681" s="9">
        <v>45892</v>
      </c>
      <c r="F681" s="9" t="str">
        <f t="shared" si="159"/>
        <v>Valid</v>
      </c>
      <c r="G681" s="10">
        <f t="shared" si="160"/>
        <v>7</v>
      </c>
      <c r="H681" s="10" t="str">
        <f t="shared" si="161"/>
        <v>Valid</v>
      </c>
      <c r="I681" s="6" t="s">
        <v>3220</v>
      </c>
      <c r="J681" s="6" t="s">
        <v>200</v>
      </c>
      <c r="K681" s="6" t="s">
        <v>200</v>
      </c>
      <c r="L681" s="6" t="s">
        <v>128</v>
      </c>
      <c r="M681" s="7" t="str">
        <f t="shared" si="162"/>
        <v>Corporate</v>
      </c>
      <c r="N681" s="6" t="s">
        <v>47</v>
      </c>
      <c r="O681" s="7" t="str">
        <f t="shared" si="163"/>
        <v>North</v>
      </c>
      <c r="P681" s="6" t="s">
        <v>174</v>
      </c>
      <c r="Q681" s="6" t="s">
        <v>175</v>
      </c>
      <c r="R681" s="6" t="s">
        <v>106</v>
      </c>
      <c r="S681" s="7" t="str">
        <f t="shared" si="164"/>
        <v>Technology</v>
      </c>
      <c r="T681" s="6" t="s">
        <v>114</v>
      </c>
      <c r="U681" s="6" t="s">
        <v>3221</v>
      </c>
      <c r="V681" s="6" t="s">
        <v>68</v>
      </c>
      <c r="W681" s="7" t="str">
        <f t="shared" si="165"/>
        <v>Same Day</v>
      </c>
      <c r="X681" s="6">
        <v>4</v>
      </c>
      <c r="Y681" s="6">
        <v>1410.57</v>
      </c>
      <c r="Z681" s="6" t="s">
        <v>701</v>
      </c>
      <c r="AA681" s="6" t="str">
        <f t="shared" si="167"/>
        <v>70%</v>
      </c>
      <c r="AB681" s="6" t="str">
        <f t="shared" si="168"/>
        <v>Invalid - Discount Above Limit</v>
      </c>
      <c r="AC681" s="6">
        <v>5360.17</v>
      </c>
      <c r="AD681" s="6" t="str">
        <f>IF(OR(AO681="Cancelled",AM681="Failed"),"Exclude from Completed Sales","Include in Completed Sales")</f>
        <v>Exclude from Completed Sales</v>
      </c>
      <c r="AE681" s="6">
        <f t="shared" si="169"/>
        <v>1692.6840000000002</v>
      </c>
      <c r="AF681" s="6" t="str">
        <f t="shared" si="170"/>
        <v>Refunded</v>
      </c>
      <c r="AG681" s="6">
        <v>3881.51</v>
      </c>
      <c r="AH681" s="6">
        <v>1478.66</v>
      </c>
      <c r="AI681" s="6">
        <f t="shared" si="171"/>
        <v>-2188.826</v>
      </c>
      <c r="AJ681" s="11">
        <f t="shared" si="172"/>
        <v>-1.2931096412561351</v>
      </c>
      <c r="AK681" s="11" t="str">
        <f t="shared" si="173"/>
        <v>August</v>
      </c>
      <c r="AL681" s="12">
        <f t="shared" si="174"/>
        <v>2025</v>
      </c>
      <c r="AM681" s="6" t="s">
        <v>144</v>
      </c>
      <c r="AN681" s="6" t="s">
        <v>98</v>
      </c>
      <c r="AO681" s="6" t="str">
        <f t="shared" si="166"/>
        <v>Cancelled</v>
      </c>
    </row>
    <row r="682" spans="1:41">
      <c r="A682" s="6" t="s">
        <v>3222</v>
      </c>
      <c r="B682" s="7" t="s">
        <v>294</v>
      </c>
      <c r="C682" s="8">
        <v>45441</v>
      </c>
      <c r="D682" s="7" t="s">
        <v>597</v>
      </c>
      <c r="E682" s="9">
        <v>45448</v>
      </c>
      <c r="F682" s="9" t="str">
        <f t="shared" si="159"/>
        <v>Valid</v>
      </c>
      <c r="G682" s="10">
        <f t="shared" si="160"/>
        <v>7</v>
      </c>
      <c r="H682" s="10" t="str">
        <f t="shared" si="161"/>
        <v>Valid</v>
      </c>
      <c r="I682" s="6" t="s">
        <v>3223</v>
      </c>
      <c r="J682" s="6" t="s">
        <v>386</v>
      </c>
      <c r="K682" s="6" t="s">
        <v>386</v>
      </c>
      <c r="L682" s="6" t="s">
        <v>128</v>
      </c>
      <c r="M682" s="7" t="str">
        <f t="shared" si="162"/>
        <v>Corporate</v>
      </c>
      <c r="N682" s="6" t="s">
        <v>82</v>
      </c>
      <c r="O682" s="7" t="str">
        <f t="shared" si="163"/>
        <v>South</v>
      </c>
      <c r="P682" s="6" t="s">
        <v>359</v>
      </c>
      <c r="Q682" s="6" t="s">
        <v>360</v>
      </c>
      <c r="R682" s="6" t="s">
        <v>106</v>
      </c>
      <c r="S682" s="7" t="str">
        <f t="shared" si="164"/>
        <v>Technology</v>
      </c>
      <c r="T682" s="6" t="s">
        <v>107</v>
      </c>
      <c r="U682" s="6" t="s">
        <v>3224</v>
      </c>
      <c r="V682" s="6" t="s">
        <v>76</v>
      </c>
      <c r="W682" s="7" t="str">
        <f t="shared" si="165"/>
        <v>First Class</v>
      </c>
      <c r="X682" s="6">
        <v>4</v>
      </c>
      <c r="Y682" s="6">
        <v>3700.24</v>
      </c>
      <c r="Z682" s="6">
        <v>0</v>
      </c>
      <c r="AA682" s="6">
        <f t="shared" si="167"/>
        <v>0</v>
      </c>
      <c r="AB682" s="6" t="str">
        <f t="shared" si="168"/>
        <v>Valid</v>
      </c>
      <c r="AC682" s="6">
        <v>14800.96</v>
      </c>
      <c r="AD682" s="6" t="str">
        <f>IF(OR(AO682="Cancelled",AM682="Failed"),"Exclude from Completed Sales","Include in Completed Sales")</f>
        <v>Include in Completed Sales</v>
      </c>
      <c r="AE682" s="6">
        <f t="shared" si="169"/>
        <v>14800.96</v>
      </c>
      <c r="AF682" s="6" t="str">
        <f t="shared" si="170"/>
        <v/>
      </c>
      <c r="AG682" s="6">
        <v>12048.39</v>
      </c>
      <c r="AH682" s="6">
        <v>2752.57</v>
      </c>
      <c r="AI682" s="6">
        <f t="shared" si="171"/>
        <v>2752.5699999999997</v>
      </c>
      <c r="AJ682" s="11">
        <f t="shared" si="172"/>
        <v>0.18597239638509933</v>
      </c>
      <c r="AK682" s="11" t="str">
        <f t="shared" si="173"/>
        <v>May</v>
      </c>
      <c r="AL682" s="12">
        <f t="shared" si="174"/>
        <v>2024</v>
      </c>
      <c r="AM682" s="6" t="s">
        <v>54</v>
      </c>
      <c r="AN682" s="6" t="s">
        <v>55</v>
      </c>
      <c r="AO682" s="6" t="str">
        <f t="shared" si="166"/>
        <v>Completed</v>
      </c>
    </row>
    <row r="683" spans="1:41">
      <c r="A683" s="6" t="s">
        <v>3225</v>
      </c>
      <c r="B683" s="7" t="s">
        <v>3226</v>
      </c>
      <c r="C683" s="8">
        <v>45477</v>
      </c>
      <c r="D683" s="7" t="s">
        <v>3227</v>
      </c>
      <c r="E683" s="9">
        <v>45483</v>
      </c>
      <c r="F683" s="9" t="str">
        <f t="shared" si="159"/>
        <v>Valid</v>
      </c>
      <c r="G683" s="10">
        <f t="shared" si="160"/>
        <v>6</v>
      </c>
      <c r="H683" s="10" t="str">
        <f t="shared" si="161"/>
        <v>Valid</v>
      </c>
      <c r="I683" s="6" t="s">
        <v>3228</v>
      </c>
      <c r="J683" s="6" t="s">
        <v>103</v>
      </c>
      <c r="K683" s="6" t="s">
        <v>103</v>
      </c>
      <c r="L683" s="6" t="s">
        <v>128</v>
      </c>
      <c r="M683" s="7" t="str">
        <f t="shared" si="162"/>
        <v>Corporate</v>
      </c>
      <c r="N683" s="6" t="s">
        <v>47</v>
      </c>
      <c r="O683" s="7" t="str">
        <f t="shared" si="163"/>
        <v>North</v>
      </c>
      <c r="P683" s="6" t="s">
        <v>526</v>
      </c>
      <c r="Q683" s="6" t="s">
        <v>527</v>
      </c>
      <c r="R683" s="6" t="s">
        <v>65</v>
      </c>
      <c r="S683" s="7" t="str">
        <f t="shared" si="164"/>
        <v>Furniture</v>
      </c>
      <c r="T683" s="6" t="s">
        <v>66</v>
      </c>
      <c r="U683" s="6" t="s">
        <v>3229</v>
      </c>
      <c r="V683" s="6" t="s">
        <v>53</v>
      </c>
      <c r="W683" s="7" t="str">
        <f t="shared" si="165"/>
        <v>Second Class</v>
      </c>
      <c r="X683" s="6">
        <v>5</v>
      </c>
      <c r="Y683" s="6">
        <v>1200.27</v>
      </c>
      <c r="Z683" s="6">
        <v>0</v>
      </c>
      <c r="AA683" s="6">
        <f t="shared" si="167"/>
        <v>0</v>
      </c>
      <c r="AB683" s="6" t="str">
        <f t="shared" si="168"/>
        <v>Valid</v>
      </c>
      <c r="AC683" s="6">
        <v>6001.35</v>
      </c>
      <c r="AD683" s="6" t="str">
        <f>IF(OR(AO683="Cancelled",AM683="Failed"),"Exclude from Completed Sales","Include in Completed Sales")</f>
        <v>Exclude from Completed Sales</v>
      </c>
      <c r="AE683" s="6">
        <f t="shared" si="169"/>
        <v>6001.35</v>
      </c>
      <c r="AF683" s="6" t="str">
        <f t="shared" si="170"/>
        <v/>
      </c>
      <c r="AG683" s="6">
        <v>4182.99</v>
      </c>
      <c r="AH683" s="6">
        <v>1818.36</v>
      </c>
      <c r="AI683" s="6">
        <f t="shared" si="171"/>
        <v>1818.3600000000006</v>
      </c>
      <c r="AJ683" s="11">
        <f t="shared" si="172"/>
        <v>0.30299182683896131</v>
      </c>
      <c r="AK683" s="11" t="str">
        <f t="shared" si="173"/>
        <v>July</v>
      </c>
      <c r="AL683" s="12">
        <f t="shared" si="174"/>
        <v>2024</v>
      </c>
      <c r="AM683" s="6" t="s">
        <v>54</v>
      </c>
      <c r="AN683" s="6" t="s">
        <v>98</v>
      </c>
      <c r="AO683" s="6" t="str">
        <f t="shared" si="166"/>
        <v>Cancelled</v>
      </c>
    </row>
    <row r="684" spans="1:41">
      <c r="A684" s="6" t="s">
        <v>3230</v>
      </c>
      <c r="B684" s="7" t="s">
        <v>364</v>
      </c>
      <c r="C684" s="8">
        <v>45693</v>
      </c>
      <c r="D684" s="7" t="s">
        <v>2903</v>
      </c>
      <c r="E684" s="9">
        <v>45693</v>
      </c>
      <c r="F684" s="9" t="str">
        <f t="shared" si="159"/>
        <v>Valid</v>
      </c>
      <c r="G684" s="10">
        <f t="shared" si="160"/>
        <v>0</v>
      </c>
      <c r="H684" s="10" t="str">
        <f t="shared" si="161"/>
        <v>Valid</v>
      </c>
      <c r="I684" s="6" t="s">
        <v>3231</v>
      </c>
      <c r="J684" s="6" t="s">
        <v>3232</v>
      </c>
      <c r="K684" s="6" t="s">
        <v>3232</v>
      </c>
      <c r="L684" s="6" t="s">
        <v>128</v>
      </c>
      <c r="M684" s="7" t="str">
        <f t="shared" si="162"/>
        <v>Corporate</v>
      </c>
      <c r="N684" s="6" t="s">
        <v>47</v>
      </c>
      <c r="O684" s="7" t="str">
        <f t="shared" si="163"/>
        <v>North</v>
      </c>
      <c r="P684" s="6" t="s">
        <v>343</v>
      </c>
      <c r="Q684" s="6" t="s">
        <v>344</v>
      </c>
      <c r="R684" s="6" t="s">
        <v>50</v>
      </c>
      <c r="S684" s="7" t="str">
        <f t="shared" si="164"/>
        <v>Office Supplies</v>
      </c>
      <c r="T684" s="6" t="s">
        <v>176</v>
      </c>
      <c r="U684" s="6" t="s">
        <v>3233</v>
      </c>
      <c r="V684" s="6" t="s">
        <v>68</v>
      </c>
      <c r="W684" s="7" t="str">
        <f t="shared" si="165"/>
        <v>Same Day</v>
      </c>
      <c r="X684" s="6">
        <v>3</v>
      </c>
      <c r="Y684" s="6">
        <v>2590.7800000000002</v>
      </c>
      <c r="Z684" s="6"/>
      <c r="AA684" s="6">
        <f t="shared" si="167"/>
        <v>0</v>
      </c>
      <c r="AB684" s="6" t="str">
        <f t="shared" si="168"/>
        <v>Valid</v>
      </c>
      <c r="AC684" s="6">
        <v>7383.72</v>
      </c>
      <c r="AD684" s="6" t="str">
        <f>IF(OR(AO684="Cancelled",AM684="Failed"),"Exclude from Completed Sales","Include in Completed Sales")</f>
        <v>Include in Completed Sales</v>
      </c>
      <c r="AE684" s="6">
        <f t="shared" si="169"/>
        <v>7772.34</v>
      </c>
      <c r="AF684" s="6" t="str">
        <f t="shared" si="170"/>
        <v/>
      </c>
      <c r="AG684" s="6">
        <v>4113.66</v>
      </c>
      <c r="AH684" s="6">
        <v>3270.06</v>
      </c>
      <c r="AI684" s="6">
        <f t="shared" si="171"/>
        <v>3658.6800000000003</v>
      </c>
      <c r="AJ684" s="11">
        <f t="shared" si="172"/>
        <v>0.47073082237781677</v>
      </c>
      <c r="AK684" s="11" t="str">
        <f t="shared" si="173"/>
        <v>February</v>
      </c>
      <c r="AL684" s="12">
        <f t="shared" si="174"/>
        <v>2025</v>
      </c>
      <c r="AM684" s="6" t="s">
        <v>54</v>
      </c>
      <c r="AN684" s="6" t="s">
        <v>55</v>
      </c>
      <c r="AO684" s="6" t="str">
        <f t="shared" si="166"/>
        <v>Completed</v>
      </c>
    </row>
    <row r="685" spans="1:41">
      <c r="A685" s="6" t="s">
        <v>3234</v>
      </c>
      <c r="B685" s="7" t="s">
        <v>3235</v>
      </c>
      <c r="C685" s="8">
        <v>45858</v>
      </c>
      <c r="D685" s="7" t="s">
        <v>1749</v>
      </c>
      <c r="E685" s="9">
        <v>45862</v>
      </c>
      <c r="F685" s="9" t="str">
        <f t="shared" si="159"/>
        <v>Valid</v>
      </c>
      <c r="G685" s="10">
        <f t="shared" si="160"/>
        <v>4</v>
      </c>
      <c r="H685" s="10" t="str">
        <f t="shared" si="161"/>
        <v>Valid</v>
      </c>
      <c r="I685" s="6" t="s">
        <v>3236</v>
      </c>
      <c r="J685" s="6" t="s">
        <v>81</v>
      </c>
      <c r="K685" s="6" t="s">
        <v>81</v>
      </c>
      <c r="L685" s="6" t="s">
        <v>61</v>
      </c>
      <c r="M685" s="7" t="str">
        <f t="shared" si="162"/>
        <v>Small Business</v>
      </c>
      <c r="N685" s="6" t="s">
        <v>82</v>
      </c>
      <c r="O685" s="7" t="str">
        <f t="shared" si="163"/>
        <v>South</v>
      </c>
      <c r="P685" s="6" t="s">
        <v>83</v>
      </c>
      <c r="Q685" s="6" t="s">
        <v>84</v>
      </c>
      <c r="R685" s="6" t="s">
        <v>65</v>
      </c>
      <c r="S685" s="7" t="str">
        <f t="shared" si="164"/>
        <v>Furniture</v>
      </c>
      <c r="T685" s="6" t="s">
        <v>85</v>
      </c>
      <c r="U685" s="6" t="s">
        <v>3237</v>
      </c>
      <c r="V685" s="6" t="s">
        <v>53</v>
      </c>
      <c r="W685" s="7" t="str">
        <f t="shared" si="165"/>
        <v>Second Class</v>
      </c>
      <c r="X685" s="6">
        <v>6</v>
      </c>
      <c r="Y685" s="6">
        <v>1646.45</v>
      </c>
      <c r="Z685" s="6">
        <v>0.2</v>
      </c>
      <c r="AA685" s="6">
        <f t="shared" si="167"/>
        <v>0.2</v>
      </c>
      <c r="AB685" s="6" t="str">
        <f t="shared" si="168"/>
        <v>Valid</v>
      </c>
      <c r="AC685" s="6">
        <v>7902.96</v>
      </c>
      <c r="AD685" s="6" t="str">
        <f>IF(OR(AO685="Cancelled",AM685="Failed"),"Exclude from Completed Sales","Include in Completed Sales")</f>
        <v>Exclude from Completed Sales</v>
      </c>
      <c r="AE685" s="6">
        <f t="shared" si="169"/>
        <v>7902.9600000000009</v>
      </c>
      <c r="AF685" s="6" t="str">
        <f t="shared" si="170"/>
        <v>Refunded</v>
      </c>
      <c r="AG685" s="6">
        <v>5512.03</v>
      </c>
      <c r="AH685" s="6">
        <v>2390.9299999999998</v>
      </c>
      <c r="AI685" s="6">
        <f t="shared" si="171"/>
        <v>2390.9300000000012</v>
      </c>
      <c r="AJ685" s="11">
        <f t="shared" si="172"/>
        <v>0.30253601182341816</v>
      </c>
      <c r="AK685" s="11" t="str">
        <f t="shared" si="173"/>
        <v>July</v>
      </c>
      <c r="AL685" s="12">
        <f t="shared" si="174"/>
        <v>2025</v>
      </c>
      <c r="AM685" s="6" t="s">
        <v>144</v>
      </c>
      <c r="AN685" s="6" t="s">
        <v>98</v>
      </c>
      <c r="AO685" s="6" t="str">
        <f t="shared" si="166"/>
        <v>Cancelled</v>
      </c>
    </row>
    <row r="686" spans="1:41">
      <c r="A686" s="6" t="s">
        <v>3238</v>
      </c>
      <c r="B686" s="7" t="s">
        <v>3239</v>
      </c>
      <c r="C686" s="8">
        <v>45859</v>
      </c>
      <c r="D686" s="7" t="s">
        <v>514</v>
      </c>
      <c r="E686" s="9">
        <v>45859</v>
      </c>
      <c r="F686" s="9" t="str">
        <f t="shared" si="159"/>
        <v>Valid</v>
      </c>
      <c r="G686" s="10">
        <f t="shared" si="160"/>
        <v>0</v>
      </c>
      <c r="H686" s="10" t="str">
        <f t="shared" si="161"/>
        <v>Valid</v>
      </c>
      <c r="I686" s="6" t="s">
        <v>3240</v>
      </c>
      <c r="J686" s="6" t="s">
        <v>73</v>
      </c>
      <c r="K686" s="6" t="s">
        <v>73</v>
      </c>
      <c r="L686" s="6" t="s">
        <v>135</v>
      </c>
      <c r="M686" s="7" t="str">
        <f t="shared" si="162"/>
        <v>Home Office</v>
      </c>
      <c r="N686" s="6" t="s">
        <v>82</v>
      </c>
      <c r="O686" s="7" t="str">
        <f t="shared" si="163"/>
        <v>South</v>
      </c>
      <c r="P686" s="6" t="s">
        <v>359</v>
      </c>
      <c r="Q686" s="6" t="s">
        <v>360</v>
      </c>
      <c r="R686" s="6" t="s">
        <v>65</v>
      </c>
      <c r="S686" s="7" t="str">
        <f t="shared" si="164"/>
        <v>Furniture</v>
      </c>
      <c r="T686" s="6" t="s">
        <v>224</v>
      </c>
      <c r="U686" s="6" t="s">
        <v>3241</v>
      </c>
      <c r="V686" s="6" t="s">
        <v>76</v>
      </c>
      <c r="W686" s="7" t="str">
        <f t="shared" si="165"/>
        <v>First Class</v>
      </c>
      <c r="X686" s="6">
        <v>7</v>
      </c>
      <c r="Y686" s="6">
        <v>4396.6499999999996</v>
      </c>
      <c r="Z686" s="6">
        <v>0.2</v>
      </c>
      <c r="AA686" s="6">
        <f t="shared" si="167"/>
        <v>0.2</v>
      </c>
      <c r="AB686" s="6" t="str">
        <f t="shared" si="168"/>
        <v>Valid</v>
      </c>
      <c r="AC686" s="6">
        <v>24621.24</v>
      </c>
      <c r="AD686" s="6" t="str">
        <f>IF(OR(AO686="Cancelled",AM686="Failed"),"Exclude from Completed Sales","Include in Completed Sales")</f>
        <v>Exclude from Completed Sales</v>
      </c>
      <c r="AE686" s="6">
        <f t="shared" si="169"/>
        <v>24621.239999999998</v>
      </c>
      <c r="AF686" s="6" t="str">
        <f t="shared" si="170"/>
        <v>Refunded</v>
      </c>
      <c r="AG686" s="6">
        <v>17155.48</v>
      </c>
      <c r="AH686" s="6">
        <v>7465.76</v>
      </c>
      <c r="AI686" s="6">
        <f t="shared" si="171"/>
        <v>7465.7599999999984</v>
      </c>
      <c r="AJ686" s="11">
        <f t="shared" si="172"/>
        <v>0.3032243705028666</v>
      </c>
      <c r="AK686" s="11" t="str">
        <f t="shared" si="173"/>
        <v>July</v>
      </c>
      <c r="AL686" s="12">
        <f t="shared" si="174"/>
        <v>2025</v>
      </c>
      <c r="AM686" s="6" t="s">
        <v>144</v>
      </c>
      <c r="AN686" s="6" t="s">
        <v>98</v>
      </c>
      <c r="AO686" s="6" t="str">
        <f t="shared" si="166"/>
        <v>Cancelled</v>
      </c>
    </row>
    <row r="687" spans="1:41">
      <c r="A687" s="6" t="s">
        <v>3242</v>
      </c>
      <c r="B687" s="7" t="s">
        <v>3243</v>
      </c>
      <c r="C687" s="8">
        <v>45931</v>
      </c>
      <c r="D687" s="7" t="s">
        <v>519</v>
      </c>
      <c r="E687" s="9">
        <v>45933</v>
      </c>
      <c r="F687" s="9" t="str">
        <f t="shared" si="159"/>
        <v>Valid</v>
      </c>
      <c r="G687" s="10">
        <f t="shared" si="160"/>
        <v>2</v>
      </c>
      <c r="H687" s="10" t="str">
        <f t="shared" si="161"/>
        <v>Valid</v>
      </c>
      <c r="I687" s="6" t="s">
        <v>2754</v>
      </c>
      <c r="J687" s="6" t="s">
        <v>113</v>
      </c>
      <c r="K687" s="6" t="s">
        <v>113</v>
      </c>
      <c r="L687" s="6" t="s">
        <v>128</v>
      </c>
      <c r="M687" s="7" t="str">
        <f t="shared" si="162"/>
        <v>Corporate</v>
      </c>
      <c r="N687" s="6" t="s">
        <v>93</v>
      </c>
      <c r="O687" s="7" t="str">
        <f t="shared" si="163"/>
        <v>West</v>
      </c>
      <c r="P687" s="6" t="s">
        <v>269</v>
      </c>
      <c r="Q687" s="6" t="s">
        <v>270</v>
      </c>
      <c r="R687" s="6" t="s">
        <v>50</v>
      </c>
      <c r="S687" s="7" t="str">
        <f t="shared" si="164"/>
        <v>Office Supplies</v>
      </c>
      <c r="T687" s="6" t="s">
        <v>74</v>
      </c>
      <c r="U687" s="6" t="s">
        <v>3244</v>
      </c>
      <c r="V687" s="6" t="s">
        <v>87</v>
      </c>
      <c r="W687" s="7" t="str">
        <f t="shared" si="165"/>
        <v>Standard Class</v>
      </c>
      <c r="X687" s="6">
        <v>9</v>
      </c>
      <c r="Y687" s="6">
        <v>818.15</v>
      </c>
      <c r="Z687" s="6">
        <v>0.55000000000000004</v>
      </c>
      <c r="AA687" s="6">
        <f t="shared" si="167"/>
        <v>0.55000000000000004</v>
      </c>
      <c r="AB687" s="6" t="str">
        <f t="shared" si="168"/>
        <v>Valid</v>
      </c>
      <c r="AC687" s="6">
        <v>6627.01</v>
      </c>
      <c r="AD687" s="6" t="str">
        <f>IF(OR(AO687="Cancelled",AM687="Failed"),"Exclude from Completed Sales","Include in Completed Sales")</f>
        <v>Exclude from Completed Sales</v>
      </c>
      <c r="AE687" s="6">
        <f t="shared" si="169"/>
        <v>3313.5074999999993</v>
      </c>
      <c r="AF687" s="6" t="str">
        <f t="shared" si="170"/>
        <v/>
      </c>
      <c r="AG687" s="6">
        <v>5606.79</v>
      </c>
      <c r="AH687" s="6">
        <v>1020.22</v>
      </c>
      <c r="AI687" s="6">
        <f t="shared" si="171"/>
        <v>-2293.2825000000007</v>
      </c>
      <c r="AJ687" s="11">
        <f t="shared" si="172"/>
        <v>-0.69210119488185895</v>
      </c>
      <c r="AK687" s="11" t="str">
        <f t="shared" si="173"/>
        <v>October</v>
      </c>
      <c r="AL687" s="12">
        <f t="shared" si="174"/>
        <v>2025</v>
      </c>
      <c r="AM687" s="6" t="s">
        <v>220</v>
      </c>
      <c r="AN687" s="6" t="s">
        <v>98</v>
      </c>
      <c r="AO687" s="6" t="str">
        <f t="shared" si="166"/>
        <v>Cancelled</v>
      </c>
    </row>
    <row r="688" spans="1:41">
      <c r="A688" s="6" t="s">
        <v>3245</v>
      </c>
      <c r="B688" s="7" t="s">
        <v>3246</v>
      </c>
      <c r="C688" s="8">
        <v>45376</v>
      </c>
      <c r="D688" s="7" t="s">
        <v>2190</v>
      </c>
      <c r="E688" s="9">
        <v>45384</v>
      </c>
      <c r="F688" s="9" t="str">
        <f t="shared" si="159"/>
        <v>Valid</v>
      </c>
      <c r="G688" s="10">
        <f t="shared" si="160"/>
        <v>8</v>
      </c>
      <c r="H688" s="10" t="str">
        <f t="shared" si="161"/>
        <v>Valid</v>
      </c>
      <c r="I688" s="6" t="s">
        <v>3247</v>
      </c>
      <c r="J688" s="6" t="s">
        <v>188</v>
      </c>
      <c r="K688" s="6" t="s">
        <v>188</v>
      </c>
      <c r="L688" s="6" t="s">
        <v>135</v>
      </c>
      <c r="M688" s="7" t="str">
        <f t="shared" si="162"/>
        <v>Home Office</v>
      </c>
      <c r="N688" s="6" t="s">
        <v>82</v>
      </c>
      <c r="O688" s="7" t="str">
        <f t="shared" si="163"/>
        <v>South</v>
      </c>
      <c r="P688" s="6" t="s">
        <v>359</v>
      </c>
      <c r="Q688" s="6" t="s">
        <v>360</v>
      </c>
      <c r="R688" s="6" t="s">
        <v>106</v>
      </c>
      <c r="S688" s="7" t="str">
        <f t="shared" si="164"/>
        <v>Technology</v>
      </c>
      <c r="T688" s="6" t="s">
        <v>114</v>
      </c>
      <c r="U688" s="6" t="s">
        <v>3248</v>
      </c>
      <c r="V688" s="6" t="s">
        <v>87</v>
      </c>
      <c r="W688" s="7" t="str">
        <f t="shared" si="165"/>
        <v>Standard Class</v>
      </c>
      <c r="X688" s="6">
        <v>2</v>
      </c>
      <c r="Y688" s="6">
        <v>2349.13</v>
      </c>
      <c r="Z688" s="6">
        <v>0</v>
      </c>
      <c r="AA688" s="6">
        <f t="shared" si="167"/>
        <v>0</v>
      </c>
      <c r="AB688" s="6" t="str">
        <f t="shared" si="168"/>
        <v>Valid</v>
      </c>
      <c r="AC688" s="6">
        <v>4698.26</v>
      </c>
      <c r="AD688" s="6" t="str">
        <f>IF(OR(AO688="Cancelled",AM688="Failed"),"Exclude from Completed Sales","Include in Completed Sales")</f>
        <v>Include in Completed Sales</v>
      </c>
      <c r="AE688" s="6">
        <f t="shared" si="169"/>
        <v>4698.26</v>
      </c>
      <c r="AF688" s="6" t="str">
        <f t="shared" si="170"/>
        <v/>
      </c>
      <c r="AG688" s="6">
        <v>2654.92</v>
      </c>
      <c r="AH688" s="6">
        <v>2043.34</v>
      </c>
      <c r="AI688" s="6">
        <f t="shared" si="171"/>
        <v>2043.3400000000001</v>
      </c>
      <c r="AJ688" s="11">
        <f t="shared" si="172"/>
        <v>0.43491420227914163</v>
      </c>
      <c r="AK688" s="11" t="str">
        <f t="shared" si="173"/>
        <v>March</v>
      </c>
      <c r="AL688" s="12">
        <f t="shared" si="174"/>
        <v>2024</v>
      </c>
      <c r="AM688" s="6" t="s">
        <v>54</v>
      </c>
      <c r="AN688" s="6" t="s">
        <v>55</v>
      </c>
      <c r="AO688" s="6" t="str">
        <f t="shared" si="166"/>
        <v>Completed</v>
      </c>
    </row>
    <row r="689" spans="1:41">
      <c r="A689" s="6" t="s">
        <v>3249</v>
      </c>
      <c r="B689" s="7" t="s">
        <v>1211</v>
      </c>
      <c r="C689" s="8">
        <v>45938</v>
      </c>
      <c r="D689" s="7" t="s">
        <v>3250</v>
      </c>
      <c r="E689" s="9">
        <v>45943</v>
      </c>
      <c r="F689" s="9" t="str">
        <f t="shared" si="159"/>
        <v>Valid</v>
      </c>
      <c r="G689" s="10">
        <f t="shared" si="160"/>
        <v>5</v>
      </c>
      <c r="H689" s="10" t="str">
        <f t="shared" si="161"/>
        <v>Valid</v>
      </c>
      <c r="I689" s="6" t="s">
        <v>3251</v>
      </c>
      <c r="J689" s="6" t="s">
        <v>60</v>
      </c>
      <c r="K689" s="6" t="s">
        <v>60</v>
      </c>
      <c r="L689" s="6" t="s">
        <v>135</v>
      </c>
      <c r="M689" s="7" t="str">
        <f t="shared" si="162"/>
        <v>Home Office</v>
      </c>
      <c r="N689" s="6" t="s">
        <v>47</v>
      </c>
      <c r="O689" s="7" t="str">
        <f t="shared" si="163"/>
        <v>North</v>
      </c>
      <c r="P689" s="6" t="s">
        <v>174</v>
      </c>
      <c r="Q689" s="6" t="s">
        <v>175</v>
      </c>
      <c r="R689" s="6" t="s">
        <v>65</v>
      </c>
      <c r="S689" s="7" t="str">
        <f t="shared" si="164"/>
        <v>Furniture</v>
      </c>
      <c r="T689" s="6" t="s">
        <v>66</v>
      </c>
      <c r="U689" s="6" t="s">
        <v>3252</v>
      </c>
      <c r="V689" s="6" t="s">
        <v>76</v>
      </c>
      <c r="W689" s="7" t="str">
        <f t="shared" si="165"/>
        <v>First Class</v>
      </c>
      <c r="X689" s="6">
        <v>4</v>
      </c>
      <c r="Y689" s="6">
        <v>172.05</v>
      </c>
      <c r="Z689" s="6">
        <v>0</v>
      </c>
      <c r="AA689" s="6">
        <f t="shared" si="167"/>
        <v>0</v>
      </c>
      <c r="AB689" s="6" t="str">
        <f t="shared" si="168"/>
        <v>Valid</v>
      </c>
      <c r="AC689" s="6">
        <v>688.2</v>
      </c>
      <c r="AD689" s="6" t="str">
        <f>IF(OR(AO689="Cancelled",AM689="Failed"),"Exclude from Completed Sales","Include in Completed Sales")</f>
        <v>Exclude from Completed Sales</v>
      </c>
      <c r="AE689" s="6">
        <f t="shared" si="169"/>
        <v>688.2</v>
      </c>
      <c r="AF689" s="6" t="str">
        <f t="shared" si="170"/>
        <v/>
      </c>
      <c r="AG689" s="6">
        <v>497.68</v>
      </c>
      <c r="AH689" s="6">
        <v>190.52</v>
      </c>
      <c r="AI689" s="6">
        <f t="shared" si="171"/>
        <v>190.52000000000004</v>
      </c>
      <c r="AJ689" s="11">
        <f t="shared" si="172"/>
        <v>0.27683812845103173</v>
      </c>
      <c r="AK689" s="11" t="str">
        <f t="shared" si="173"/>
        <v>October</v>
      </c>
      <c r="AL689" s="12">
        <f t="shared" si="174"/>
        <v>2025</v>
      </c>
      <c r="AM689" s="6" t="s">
        <v>220</v>
      </c>
      <c r="AN689" s="6" t="s">
        <v>98</v>
      </c>
      <c r="AO689" s="6" t="str">
        <f t="shared" si="166"/>
        <v>Cancelled</v>
      </c>
    </row>
    <row r="690" spans="1:41">
      <c r="A690" s="6" t="s">
        <v>3253</v>
      </c>
      <c r="B690" s="7" t="s">
        <v>1182</v>
      </c>
      <c r="C690" s="8">
        <v>45714</v>
      </c>
      <c r="D690" s="7" t="s">
        <v>3254</v>
      </c>
      <c r="E690" s="9">
        <v>45715</v>
      </c>
      <c r="F690" s="9" t="str">
        <f t="shared" si="159"/>
        <v>Valid</v>
      </c>
      <c r="G690" s="10">
        <f t="shared" si="160"/>
        <v>1</v>
      </c>
      <c r="H690" s="10" t="str">
        <f t="shared" si="161"/>
        <v>Valid</v>
      </c>
      <c r="I690" s="6" t="s">
        <v>3255</v>
      </c>
      <c r="J690" s="6" t="s">
        <v>113</v>
      </c>
      <c r="K690" s="6" t="s">
        <v>113</v>
      </c>
      <c r="L690" s="6" t="s">
        <v>135</v>
      </c>
      <c r="M690" s="7" t="str">
        <f t="shared" si="162"/>
        <v>Home Office</v>
      </c>
      <c r="N690" s="6" t="s">
        <v>47</v>
      </c>
      <c r="O690" s="7" t="str">
        <f t="shared" si="163"/>
        <v>North</v>
      </c>
      <c r="P690" s="6" t="s">
        <v>343</v>
      </c>
      <c r="Q690" s="6" t="s">
        <v>344</v>
      </c>
      <c r="R690" s="6" t="s">
        <v>50</v>
      </c>
      <c r="S690" s="7" t="str">
        <f t="shared" si="164"/>
        <v>Office Supplies</v>
      </c>
      <c r="T690" s="6" t="s">
        <v>74</v>
      </c>
      <c r="U690" s="6" t="s">
        <v>3256</v>
      </c>
      <c r="V690" s="6" t="s">
        <v>53</v>
      </c>
      <c r="W690" s="7" t="str">
        <f t="shared" si="165"/>
        <v>Second Class</v>
      </c>
      <c r="X690" s="6">
        <v>6</v>
      </c>
      <c r="Y690" s="6">
        <v>3037.66</v>
      </c>
      <c r="Z690" s="6">
        <v>0.15</v>
      </c>
      <c r="AA690" s="6">
        <f t="shared" si="167"/>
        <v>0.15</v>
      </c>
      <c r="AB690" s="6" t="str">
        <f t="shared" si="168"/>
        <v>Valid</v>
      </c>
      <c r="AC690" s="6">
        <v>15492.07</v>
      </c>
      <c r="AD690" s="6" t="str">
        <f>IF(OR(AO690="Cancelled",AM690="Failed"),"Exclude from Completed Sales","Include in Completed Sales")</f>
        <v>Include in Completed Sales</v>
      </c>
      <c r="AE690" s="6">
        <f t="shared" si="169"/>
        <v>15492.065999999999</v>
      </c>
      <c r="AF690" s="6" t="str">
        <f t="shared" si="170"/>
        <v/>
      </c>
      <c r="AG690" s="6">
        <v>12581.23</v>
      </c>
      <c r="AH690" s="6">
        <v>2910.84</v>
      </c>
      <c r="AI690" s="6">
        <f t="shared" si="171"/>
        <v>2910.8359999999993</v>
      </c>
      <c r="AJ690" s="11">
        <f t="shared" si="172"/>
        <v>0.18789204745190213</v>
      </c>
      <c r="AK690" s="11" t="str">
        <f t="shared" si="173"/>
        <v>February</v>
      </c>
      <c r="AL690" s="12">
        <f t="shared" si="174"/>
        <v>2025</v>
      </c>
      <c r="AM690" s="6" t="s">
        <v>54</v>
      </c>
      <c r="AN690" s="6" t="s">
        <v>55</v>
      </c>
      <c r="AO690" s="6" t="str">
        <f t="shared" si="166"/>
        <v>Completed</v>
      </c>
    </row>
    <row r="691" spans="1:41">
      <c r="A691" s="6" t="s">
        <v>3257</v>
      </c>
      <c r="B691" s="7" t="s">
        <v>3258</v>
      </c>
      <c r="C691" s="8">
        <v>45570</v>
      </c>
      <c r="D691" s="7" t="s">
        <v>3259</v>
      </c>
      <c r="E691" s="9">
        <v>45571</v>
      </c>
      <c r="F691" s="9" t="str">
        <f t="shared" si="159"/>
        <v>Valid</v>
      </c>
      <c r="G691" s="10">
        <f t="shared" si="160"/>
        <v>1</v>
      </c>
      <c r="H691" s="10" t="str">
        <f t="shared" si="161"/>
        <v>Valid</v>
      </c>
      <c r="I691" s="6" t="s">
        <v>3260</v>
      </c>
      <c r="J691" s="6" t="s">
        <v>200</v>
      </c>
      <c r="K691" s="6" t="s">
        <v>200</v>
      </c>
      <c r="L691" s="6" t="s">
        <v>61</v>
      </c>
      <c r="M691" s="7" t="str">
        <f t="shared" si="162"/>
        <v>Small Business</v>
      </c>
      <c r="N691" s="6" t="s">
        <v>47</v>
      </c>
      <c r="O691" s="7" t="str">
        <f t="shared" si="163"/>
        <v>North</v>
      </c>
      <c r="P691" s="6" t="s">
        <v>174</v>
      </c>
      <c r="Q691" s="6" t="s">
        <v>175</v>
      </c>
      <c r="R691" s="6" t="s">
        <v>65</v>
      </c>
      <c r="S691" s="7" t="str">
        <f t="shared" si="164"/>
        <v>Furniture</v>
      </c>
      <c r="T691" s="6" t="s">
        <v>66</v>
      </c>
      <c r="U691" s="6" t="s">
        <v>3261</v>
      </c>
      <c r="V691" s="6" t="s">
        <v>87</v>
      </c>
      <c r="W691" s="7" t="str">
        <f t="shared" si="165"/>
        <v>Standard Class</v>
      </c>
      <c r="X691" s="6">
        <v>9</v>
      </c>
      <c r="Y691" s="6">
        <v>489.58</v>
      </c>
      <c r="Z691" s="6">
        <v>0.15</v>
      </c>
      <c r="AA691" s="6">
        <f t="shared" si="167"/>
        <v>0.15</v>
      </c>
      <c r="AB691" s="6" t="str">
        <f t="shared" si="168"/>
        <v>Valid</v>
      </c>
      <c r="AC691" s="6">
        <v>3745.29</v>
      </c>
      <c r="AD691" s="6" t="str">
        <f>IF(OR(AO691="Cancelled",AM691="Failed"),"Exclude from Completed Sales","Include in Completed Sales")</f>
        <v>Exclude from Completed Sales</v>
      </c>
      <c r="AE691" s="6">
        <f t="shared" si="169"/>
        <v>3745.2870000000003</v>
      </c>
      <c r="AF691" s="6" t="str">
        <f t="shared" si="170"/>
        <v/>
      </c>
      <c r="AG691" s="6">
        <v>2302.65</v>
      </c>
      <c r="AH691" s="6">
        <v>1442.64</v>
      </c>
      <c r="AI691" s="6">
        <f t="shared" si="171"/>
        <v>1442.6370000000002</v>
      </c>
      <c r="AJ691" s="11">
        <f t="shared" si="172"/>
        <v>0.38518730340291679</v>
      </c>
      <c r="AK691" s="11" t="str">
        <f t="shared" si="173"/>
        <v>October</v>
      </c>
      <c r="AL691" s="12">
        <f t="shared" si="174"/>
        <v>2024</v>
      </c>
      <c r="AM691" s="6" t="s">
        <v>220</v>
      </c>
      <c r="AN691" s="6" t="s">
        <v>98</v>
      </c>
      <c r="AO691" s="6" t="str">
        <f t="shared" si="166"/>
        <v>Cancelled</v>
      </c>
    </row>
    <row r="692" spans="1:41">
      <c r="A692" s="6" t="s">
        <v>3262</v>
      </c>
      <c r="B692" s="7" t="s">
        <v>897</v>
      </c>
      <c r="C692" s="8">
        <v>45546</v>
      </c>
      <c r="D692" s="7" t="s">
        <v>3263</v>
      </c>
      <c r="E692" s="9">
        <v>45550</v>
      </c>
      <c r="F692" s="9" t="str">
        <f t="shared" si="159"/>
        <v>Valid</v>
      </c>
      <c r="G692" s="10">
        <f t="shared" si="160"/>
        <v>4</v>
      </c>
      <c r="H692" s="10" t="str">
        <f t="shared" si="161"/>
        <v>Valid</v>
      </c>
      <c r="I692" s="6" t="s">
        <v>3264</v>
      </c>
      <c r="J692" s="6" t="s">
        <v>188</v>
      </c>
      <c r="K692" s="6" t="s">
        <v>188</v>
      </c>
      <c r="L692" s="6" t="s">
        <v>128</v>
      </c>
      <c r="M692" s="7" t="str">
        <f t="shared" si="162"/>
        <v>Corporate</v>
      </c>
      <c r="N692" s="6" t="s">
        <v>82</v>
      </c>
      <c r="O692" s="7" t="str">
        <f t="shared" si="163"/>
        <v>South</v>
      </c>
      <c r="P692" s="6" t="s">
        <v>359</v>
      </c>
      <c r="Q692" s="6" t="s">
        <v>360</v>
      </c>
      <c r="R692" s="6" t="s">
        <v>50</v>
      </c>
      <c r="S692" s="7" t="str">
        <f t="shared" si="164"/>
        <v>Office Supplies</v>
      </c>
      <c r="T692" s="6" t="s">
        <v>74</v>
      </c>
      <c r="U692" s="6" t="s">
        <v>3265</v>
      </c>
      <c r="V692" s="6" t="s">
        <v>87</v>
      </c>
      <c r="W692" s="7" t="str">
        <f t="shared" si="165"/>
        <v>Standard Class</v>
      </c>
      <c r="X692" s="6">
        <v>4</v>
      </c>
      <c r="Y692" s="6">
        <v>865.63</v>
      </c>
      <c r="Z692" s="6">
        <v>0</v>
      </c>
      <c r="AA692" s="6">
        <f t="shared" si="167"/>
        <v>0</v>
      </c>
      <c r="AB692" s="6" t="str">
        <f t="shared" si="168"/>
        <v>Valid</v>
      </c>
      <c r="AC692" s="6">
        <v>3462.52</v>
      </c>
      <c r="AD692" s="6" t="str">
        <f>IF(OR(AO692="Cancelled",AM692="Failed"),"Exclude from Completed Sales","Include in Completed Sales")</f>
        <v>Exclude from Completed Sales</v>
      </c>
      <c r="AE692" s="6">
        <f t="shared" si="169"/>
        <v>3462.52</v>
      </c>
      <c r="AF692" s="6" t="str">
        <f t="shared" si="170"/>
        <v/>
      </c>
      <c r="AG692" s="6">
        <v>2797.29</v>
      </c>
      <c r="AH692" s="6">
        <v>665.23</v>
      </c>
      <c r="AI692" s="6">
        <f t="shared" si="171"/>
        <v>665.23</v>
      </c>
      <c r="AJ692" s="11">
        <f t="shared" si="172"/>
        <v>0.19212307798944123</v>
      </c>
      <c r="AK692" s="11" t="str">
        <f t="shared" si="173"/>
        <v>September</v>
      </c>
      <c r="AL692" s="12">
        <f t="shared" si="174"/>
        <v>2024</v>
      </c>
      <c r="AM692" s="6" t="s">
        <v>220</v>
      </c>
      <c r="AN692" s="6" t="s">
        <v>145</v>
      </c>
      <c r="AO692" s="6" t="str">
        <f t="shared" si="166"/>
        <v>Returned</v>
      </c>
    </row>
    <row r="693" spans="1:41">
      <c r="A693" s="6" t="s">
        <v>3266</v>
      </c>
      <c r="B693" s="7" t="s">
        <v>2481</v>
      </c>
      <c r="C693" s="8">
        <v>45641</v>
      </c>
      <c r="D693" s="7" t="s">
        <v>3267</v>
      </c>
      <c r="E693" s="9">
        <v>45642</v>
      </c>
      <c r="F693" s="9" t="str">
        <f t="shared" si="159"/>
        <v>Valid</v>
      </c>
      <c r="G693" s="10">
        <f t="shared" si="160"/>
        <v>1</v>
      </c>
      <c r="H693" s="10" t="str">
        <f t="shared" si="161"/>
        <v>Valid</v>
      </c>
      <c r="I693" s="6" t="s">
        <v>3268</v>
      </c>
      <c r="J693" s="6" t="s">
        <v>200</v>
      </c>
      <c r="K693" s="6" t="s">
        <v>200</v>
      </c>
      <c r="L693" s="6" t="s">
        <v>46</v>
      </c>
      <c r="M693" s="7" t="str">
        <f t="shared" si="162"/>
        <v>Consumer</v>
      </c>
      <c r="N693" s="6" t="s">
        <v>62</v>
      </c>
      <c r="O693" s="7" t="str">
        <f t="shared" si="163"/>
        <v>East</v>
      </c>
      <c r="P693" s="6" t="s">
        <v>63</v>
      </c>
      <c r="Q693" s="6" t="s">
        <v>64</v>
      </c>
      <c r="R693" s="6" t="s">
        <v>106</v>
      </c>
      <c r="S693" s="7" t="str">
        <f t="shared" si="164"/>
        <v>Technology</v>
      </c>
      <c r="T693" s="6" t="s">
        <v>114</v>
      </c>
      <c r="U693" s="6" t="s">
        <v>3269</v>
      </c>
      <c r="V693" s="6" t="s">
        <v>53</v>
      </c>
      <c r="W693" s="7" t="str">
        <f t="shared" si="165"/>
        <v>Second Class</v>
      </c>
      <c r="X693" s="6">
        <v>6</v>
      </c>
      <c r="Y693" s="6">
        <v>1538.1</v>
      </c>
      <c r="Z693" s="6">
        <v>0.05</v>
      </c>
      <c r="AA693" s="6">
        <f t="shared" si="167"/>
        <v>0.05</v>
      </c>
      <c r="AB693" s="6" t="str">
        <f t="shared" si="168"/>
        <v>Valid</v>
      </c>
      <c r="AC693" s="6">
        <v>8767.17</v>
      </c>
      <c r="AD693" s="6" t="str">
        <f>IF(OR(AO693="Cancelled",AM693="Failed"),"Exclude from Completed Sales","Include in Completed Sales")</f>
        <v>Include in Completed Sales</v>
      </c>
      <c r="AE693" s="6">
        <f t="shared" si="169"/>
        <v>8767.1699999999983</v>
      </c>
      <c r="AF693" s="6" t="str">
        <f t="shared" si="170"/>
        <v/>
      </c>
      <c r="AG693" s="6">
        <v>5098.2</v>
      </c>
      <c r="AH693" s="6">
        <v>3668.97</v>
      </c>
      <c r="AI693" s="6">
        <f t="shared" si="171"/>
        <v>3668.9699999999984</v>
      </c>
      <c r="AJ693" s="11">
        <f t="shared" si="172"/>
        <v>0.41848966085977563</v>
      </c>
      <c r="AK693" s="11" t="str">
        <f t="shared" si="173"/>
        <v>December</v>
      </c>
      <c r="AL693" s="12">
        <f t="shared" si="174"/>
        <v>2024</v>
      </c>
      <c r="AM693" s="6" t="s">
        <v>54</v>
      </c>
      <c r="AN693" s="6" t="s">
        <v>55</v>
      </c>
      <c r="AO693" s="6" t="str">
        <f t="shared" si="166"/>
        <v>Completed</v>
      </c>
    </row>
    <row r="694" spans="1:41">
      <c r="A694" s="6" t="s">
        <v>3270</v>
      </c>
      <c r="B694" s="7" t="s">
        <v>247</v>
      </c>
      <c r="C694" s="8">
        <v>45935</v>
      </c>
      <c r="D694" s="7" t="s">
        <v>3271</v>
      </c>
      <c r="E694" s="9">
        <v>45940</v>
      </c>
      <c r="F694" s="9" t="str">
        <f t="shared" si="159"/>
        <v>Valid</v>
      </c>
      <c r="G694" s="10">
        <f t="shared" si="160"/>
        <v>5</v>
      </c>
      <c r="H694" s="10" t="str">
        <f t="shared" si="161"/>
        <v>Valid</v>
      </c>
      <c r="I694" s="6" t="s">
        <v>3272</v>
      </c>
      <c r="J694" s="6" t="s">
        <v>73</v>
      </c>
      <c r="K694" s="6" t="s">
        <v>73</v>
      </c>
      <c r="L694" s="6" t="s">
        <v>1801</v>
      </c>
      <c r="M694" s="7" t="str">
        <f t="shared" si="162"/>
        <v>Corporate</v>
      </c>
      <c r="N694" s="6" t="s">
        <v>82</v>
      </c>
      <c r="O694" s="7" t="str">
        <f t="shared" si="163"/>
        <v>South</v>
      </c>
      <c r="P694" s="6" t="s">
        <v>249</v>
      </c>
      <c r="Q694" s="6" t="s">
        <v>250</v>
      </c>
      <c r="R694" s="6" t="s">
        <v>65</v>
      </c>
      <c r="S694" s="7" t="str">
        <f t="shared" si="164"/>
        <v>Furniture</v>
      </c>
      <c r="T694" s="6" t="s">
        <v>85</v>
      </c>
      <c r="U694" s="6" t="s">
        <v>3273</v>
      </c>
      <c r="V694" s="6" t="s">
        <v>53</v>
      </c>
      <c r="W694" s="7" t="str">
        <f t="shared" si="165"/>
        <v>Second Class</v>
      </c>
      <c r="X694" s="6">
        <v>4</v>
      </c>
      <c r="Y694" s="6">
        <v>2365.6799999999998</v>
      </c>
      <c r="Z694" s="6">
        <v>0.1</v>
      </c>
      <c r="AA694" s="6">
        <f t="shared" si="167"/>
        <v>0.1</v>
      </c>
      <c r="AB694" s="6" t="str">
        <f t="shared" si="168"/>
        <v>Valid</v>
      </c>
      <c r="AC694" s="6">
        <v>8516.4500000000007</v>
      </c>
      <c r="AD694" s="6" t="str">
        <f>IF(OR(AO694="Cancelled",AM694="Failed"),"Exclude from Completed Sales","Include in Completed Sales")</f>
        <v>Include in Completed Sales</v>
      </c>
      <c r="AE694" s="6">
        <f t="shared" si="169"/>
        <v>8516.4480000000003</v>
      </c>
      <c r="AF694" s="6" t="str">
        <f t="shared" si="170"/>
        <v/>
      </c>
      <c r="AG694" s="6">
        <v>5903.81</v>
      </c>
      <c r="AH694" s="6">
        <v>2612.64</v>
      </c>
      <c r="AI694" s="6">
        <f t="shared" si="171"/>
        <v>2612.6379999999999</v>
      </c>
      <c r="AJ694" s="11">
        <f t="shared" si="172"/>
        <v>0.30677554774009069</v>
      </c>
      <c r="AK694" s="11" t="str">
        <f t="shared" si="173"/>
        <v>October</v>
      </c>
      <c r="AL694" s="12">
        <f t="shared" si="174"/>
        <v>2025</v>
      </c>
      <c r="AM694" s="6" t="s">
        <v>54</v>
      </c>
      <c r="AN694" s="6" t="s">
        <v>55</v>
      </c>
      <c r="AO694" s="6" t="str">
        <f t="shared" si="166"/>
        <v>Completed</v>
      </c>
    </row>
    <row r="695" spans="1:41">
      <c r="A695" s="6" t="s">
        <v>3274</v>
      </c>
      <c r="B695" s="7" t="s">
        <v>3275</v>
      </c>
      <c r="C695" s="8">
        <v>45750</v>
      </c>
      <c r="D695" s="7" t="s">
        <v>2518</v>
      </c>
      <c r="E695" s="9">
        <v>45758</v>
      </c>
      <c r="F695" s="9" t="str">
        <f t="shared" si="159"/>
        <v>Valid</v>
      </c>
      <c r="G695" s="10">
        <f t="shared" si="160"/>
        <v>8</v>
      </c>
      <c r="H695" s="10" t="str">
        <f t="shared" si="161"/>
        <v>Valid</v>
      </c>
      <c r="I695" s="6" t="s">
        <v>3276</v>
      </c>
      <c r="J695" s="6" t="s">
        <v>81</v>
      </c>
      <c r="K695" s="6" t="s">
        <v>81</v>
      </c>
      <c r="L695" s="6" t="s">
        <v>46</v>
      </c>
      <c r="M695" s="7" t="str">
        <f t="shared" si="162"/>
        <v>Consumer</v>
      </c>
      <c r="N695" s="6" t="s">
        <v>82</v>
      </c>
      <c r="O695" s="7" t="str">
        <f t="shared" si="163"/>
        <v>South</v>
      </c>
      <c r="P695" s="6" t="s">
        <v>359</v>
      </c>
      <c r="Q695" s="6" t="s">
        <v>360</v>
      </c>
      <c r="R695" s="6" t="s">
        <v>65</v>
      </c>
      <c r="S695" s="7" t="str">
        <f t="shared" si="164"/>
        <v>Furniture</v>
      </c>
      <c r="T695" s="6" t="s">
        <v>224</v>
      </c>
      <c r="U695" s="6" t="s">
        <v>3277</v>
      </c>
      <c r="V695" s="6" t="s">
        <v>53</v>
      </c>
      <c r="W695" s="7" t="str">
        <f t="shared" si="165"/>
        <v>Second Class</v>
      </c>
      <c r="X695" s="6">
        <v>3</v>
      </c>
      <c r="Y695" s="6">
        <v>4149.7700000000004</v>
      </c>
      <c r="Z695" s="6">
        <v>0.05</v>
      </c>
      <c r="AA695" s="6">
        <f t="shared" si="167"/>
        <v>0.05</v>
      </c>
      <c r="AB695" s="6" t="str">
        <f t="shared" si="168"/>
        <v>Valid</v>
      </c>
      <c r="AC695" s="6">
        <v>11826.84</v>
      </c>
      <c r="AD695" s="6" t="str">
        <f>IF(OR(AO695="Cancelled",AM695="Failed"),"Exclude from Completed Sales","Include in Completed Sales")</f>
        <v>Include in Completed Sales</v>
      </c>
      <c r="AE695" s="6">
        <f t="shared" si="169"/>
        <v>11826.844500000001</v>
      </c>
      <c r="AF695" s="6" t="str">
        <f t="shared" si="170"/>
        <v/>
      </c>
      <c r="AG695" s="6">
        <v>8035.96</v>
      </c>
      <c r="AH695" s="6">
        <v>3790.88</v>
      </c>
      <c r="AI695" s="6">
        <f t="shared" si="171"/>
        <v>3790.884500000001</v>
      </c>
      <c r="AJ695" s="11">
        <f t="shared" si="172"/>
        <v>0.32053220112938835</v>
      </c>
      <c r="AK695" s="11" t="str">
        <f t="shared" si="173"/>
        <v>April</v>
      </c>
      <c r="AL695" s="12">
        <f t="shared" si="174"/>
        <v>2025</v>
      </c>
      <c r="AM695" s="6" t="s">
        <v>54</v>
      </c>
      <c r="AN695" s="6" t="s">
        <v>55</v>
      </c>
      <c r="AO695" s="6" t="str">
        <f t="shared" si="166"/>
        <v>Completed</v>
      </c>
    </row>
    <row r="696" spans="1:41">
      <c r="A696" s="6" t="s">
        <v>3278</v>
      </c>
      <c r="B696" s="7" t="s">
        <v>1750</v>
      </c>
      <c r="C696" s="8">
        <v>45870</v>
      </c>
      <c r="D696" s="7" t="s">
        <v>3099</v>
      </c>
      <c r="E696" s="9">
        <v>45878</v>
      </c>
      <c r="F696" s="9" t="str">
        <f t="shared" si="159"/>
        <v>Valid</v>
      </c>
      <c r="G696" s="10">
        <f t="shared" si="160"/>
        <v>8</v>
      </c>
      <c r="H696" s="10" t="str">
        <f t="shared" si="161"/>
        <v>Valid</v>
      </c>
      <c r="I696" s="6" t="s">
        <v>1758</v>
      </c>
      <c r="J696" s="6" t="s">
        <v>73</v>
      </c>
      <c r="K696" s="6" t="s">
        <v>73</v>
      </c>
      <c r="L696" s="6" t="s">
        <v>46</v>
      </c>
      <c r="M696" s="7" t="str">
        <f t="shared" si="162"/>
        <v>Consumer</v>
      </c>
      <c r="N696" s="6" t="s">
        <v>82</v>
      </c>
      <c r="O696" s="7" t="str">
        <f t="shared" si="163"/>
        <v>South</v>
      </c>
      <c r="P696" s="6" t="s">
        <v>120</v>
      </c>
      <c r="Q696" s="6" t="s">
        <v>121</v>
      </c>
      <c r="R696" s="6" t="s">
        <v>50</v>
      </c>
      <c r="S696" s="7" t="str">
        <f t="shared" si="164"/>
        <v>Office Supplies</v>
      </c>
      <c r="T696" s="6" t="s">
        <v>176</v>
      </c>
      <c r="U696" s="6" t="s">
        <v>3279</v>
      </c>
      <c r="V696" s="6" t="s">
        <v>76</v>
      </c>
      <c r="W696" s="7" t="str">
        <f t="shared" si="165"/>
        <v>First Class</v>
      </c>
      <c r="X696" s="6">
        <v>5</v>
      </c>
      <c r="Y696" s="6">
        <v>2736.24</v>
      </c>
      <c r="Z696" s="6">
        <v>0.15</v>
      </c>
      <c r="AA696" s="6">
        <f t="shared" si="167"/>
        <v>0.15</v>
      </c>
      <c r="AB696" s="6" t="str">
        <f t="shared" si="168"/>
        <v>Valid</v>
      </c>
      <c r="AC696" s="6">
        <v>11629.02</v>
      </c>
      <c r="AD696" s="6" t="str">
        <f>IF(OR(AO696="Cancelled",AM696="Failed"),"Exclude from Completed Sales","Include in Completed Sales")</f>
        <v>Include in Completed Sales</v>
      </c>
      <c r="AE696" s="6">
        <f t="shared" si="169"/>
        <v>11629.019999999999</v>
      </c>
      <c r="AF696" s="6" t="str">
        <f t="shared" si="170"/>
        <v/>
      </c>
      <c r="AG696" s="6">
        <v>9627.2099999999991</v>
      </c>
      <c r="AH696" s="6">
        <v>2001.81</v>
      </c>
      <c r="AI696" s="6">
        <f t="shared" si="171"/>
        <v>2001.8099999999995</v>
      </c>
      <c r="AJ696" s="11">
        <f t="shared" si="172"/>
        <v>0.17213918283741877</v>
      </c>
      <c r="AK696" s="11" t="str">
        <f t="shared" si="173"/>
        <v>August</v>
      </c>
      <c r="AL696" s="12">
        <f t="shared" si="174"/>
        <v>2025</v>
      </c>
      <c r="AM696" s="6" t="s">
        <v>54</v>
      </c>
      <c r="AN696" s="6" t="s">
        <v>55</v>
      </c>
      <c r="AO696" s="6" t="str">
        <f t="shared" si="166"/>
        <v>Completed</v>
      </c>
    </row>
    <row r="697" spans="1:41">
      <c r="A697" s="6" t="s">
        <v>3280</v>
      </c>
      <c r="B697" s="7" t="s">
        <v>3281</v>
      </c>
      <c r="C697" s="8">
        <v>45474</v>
      </c>
      <c r="D697" s="7" t="s">
        <v>2125</v>
      </c>
      <c r="E697" s="9">
        <v>45474</v>
      </c>
      <c r="F697" s="9" t="str">
        <f t="shared" si="159"/>
        <v>Valid</v>
      </c>
      <c r="G697" s="10">
        <f t="shared" si="160"/>
        <v>0</v>
      </c>
      <c r="H697" s="10" t="str">
        <f t="shared" si="161"/>
        <v>Valid</v>
      </c>
      <c r="I697" s="6" t="s">
        <v>3282</v>
      </c>
      <c r="J697" s="6" t="s">
        <v>182</v>
      </c>
      <c r="K697" s="6" t="s">
        <v>182</v>
      </c>
      <c r="L697" s="6" t="s">
        <v>46</v>
      </c>
      <c r="M697" s="7" t="str">
        <f t="shared" si="162"/>
        <v>Consumer</v>
      </c>
      <c r="N697" s="6" t="s">
        <v>93</v>
      </c>
      <c r="O697" s="7" t="str">
        <f t="shared" si="163"/>
        <v>West</v>
      </c>
      <c r="P697" s="6" t="s">
        <v>104</v>
      </c>
      <c r="Q697" s="6" t="s">
        <v>105</v>
      </c>
      <c r="R697" s="6" t="s">
        <v>106</v>
      </c>
      <c r="S697" s="7" t="str">
        <f t="shared" si="164"/>
        <v>Technology</v>
      </c>
      <c r="T697" s="6" t="s">
        <v>402</v>
      </c>
      <c r="U697" s="6" t="s">
        <v>3283</v>
      </c>
      <c r="V697" s="6" t="s">
        <v>87</v>
      </c>
      <c r="W697" s="7" t="str">
        <f t="shared" si="165"/>
        <v>Standard Class</v>
      </c>
      <c r="X697" s="6">
        <v>4</v>
      </c>
      <c r="Y697" s="6">
        <v>257.39</v>
      </c>
      <c r="Z697" s="6">
        <v>0</v>
      </c>
      <c r="AA697" s="6">
        <f t="shared" si="167"/>
        <v>0</v>
      </c>
      <c r="AB697" s="6" t="str">
        <f t="shared" si="168"/>
        <v>Valid</v>
      </c>
      <c r="AC697" s="6">
        <v>1029.56</v>
      </c>
      <c r="AD697" s="6" t="str">
        <f>IF(OR(AO697="Cancelled",AM697="Failed"),"Exclude from Completed Sales","Include in Completed Sales")</f>
        <v>Include in Completed Sales</v>
      </c>
      <c r="AE697" s="6">
        <f t="shared" si="169"/>
        <v>1029.56</v>
      </c>
      <c r="AF697" s="6" t="str">
        <f t="shared" si="170"/>
        <v/>
      </c>
      <c r="AG697" s="6">
        <v>626.33000000000004</v>
      </c>
      <c r="AH697" s="6">
        <v>403.23</v>
      </c>
      <c r="AI697" s="6">
        <f t="shared" si="171"/>
        <v>403.2299999999999</v>
      </c>
      <c r="AJ697" s="11">
        <f t="shared" si="172"/>
        <v>0.39165274486188267</v>
      </c>
      <c r="AK697" s="11" t="str">
        <f t="shared" si="173"/>
        <v>July</v>
      </c>
      <c r="AL697" s="12">
        <f t="shared" si="174"/>
        <v>2024</v>
      </c>
      <c r="AM697" s="6" t="s">
        <v>54</v>
      </c>
      <c r="AN697" s="6" t="s">
        <v>55</v>
      </c>
      <c r="AO697" s="6" t="str">
        <f t="shared" si="166"/>
        <v>Completed</v>
      </c>
    </row>
    <row r="698" spans="1:41">
      <c r="A698" s="6" t="s">
        <v>3284</v>
      </c>
      <c r="B698" s="7" t="s">
        <v>3285</v>
      </c>
      <c r="C698" s="8">
        <v>45922</v>
      </c>
      <c r="D698" s="7" t="s">
        <v>3286</v>
      </c>
      <c r="E698" s="9">
        <v>45925</v>
      </c>
      <c r="F698" s="9" t="str">
        <f t="shared" si="159"/>
        <v>Valid</v>
      </c>
      <c r="G698" s="10">
        <f t="shared" si="160"/>
        <v>3</v>
      </c>
      <c r="H698" s="10" t="str">
        <f t="shared" si="161"/>
        <v>Valid</v>
      </c>
      <c r="I698" s="6" t="s">
        <v>3287</v>
      </c>
      <c r="J698" s="6" t="s">
        <v>73</v>
      </c>
      <c r="K698" s="6" t="s">
        <v>73</v>
      </c>
      <c r="L698" s="6" t="s">
        <v>61</v>
      </c>
      <c r="M698" s="7" t="str">
        <f t="shared" si="162"/>
        <v>Small Business</v>
      </c>
      <c r="N698" s="6" t="s">
        <v>82</v>
      </c>
      <c r="O698" s="7" t="str">
        <f t="shared" si="163"/>
        <v>South</v>
      </c>
      <c r="P698" s="6" t="s">
        <v>262</v>
      </c>
      <c r="Q698" s="6" t="s">
        <v>263</v>
      </c>
      <c r="R698" s="6" t="s">
        <v>106</v>
      </c>
      <c r="S698" s="7" t="str">
        <f t="shared" si="164"/>
        <v>Technology</v>
      </c>
      <c r="T698" s="6" t="s">
        <v>243</v>
      </c>
      <c r="U698" s="6" t="s">
        <v>3288</v>
      </c>
      <c r="V698" s="6"/>
      <c r="W698" s="7" t="str">
        <f t="shared" si="165"/>
        <v>Unknown</v>
      </c>
      <c r="X698" s="6">
        <v>4</v>
      </c>
      <c r="Y698" s="6">
        <v>1178.8399999999999</v>
      </c>
      <c r="Z698" s="6">
        <v>0.25</v>
      </c>
      <c r="AA698" s="6">
        <f t="shared" si="167"/>
        <v>0.25</v>
      </c>
      <c r="AB698" s="6" t="str">
        <f t="shared" si="168"/>
        <v>Valid</v>
      </c>
      <c r="AC698" s="6">
        <v>3536.52</v>
      </c>
      <c r="AD698" s="6" t="str">
        <f>IF(OR(AO698="Cancelled",AM698="Failed"),"Exclude from Completed Sales","Include in Completed Sales")</f>
        <v>Include in Completed Sales</v>
      </c>
      <c r="AE698" s="6">
        <f t="shared" si="169"/>
        <v>3536.5199999999995</v>
      </c>
      <c r="AF698" s="6" t="str">
        <f t="shared" si="170"/>
        <v/>
      </c>
      <c r="AG698" s="6">
        <v>2102.41</v>
      </c>
      <c r="AH698" s="6">
        <v>1363.28</v>
      </c>
      <c r="AI698" s="6">
        <f t="shared" si="171"/>
        <v>1434.1099999999997</v>
      </c>
      <c r="AJ698" s="11">
        <f t="shared" si="172"/>
        <v>0.40551446054313278</v>
      </c>
      <c r="AK698" s="11" t="str">
        <f t="shared" si="173"/>
        <v>September</v>
      </c>
      <c r="AL698" s="12">
        <f t="shared" si="174"/>
        <v>2025</v>
      </c>
      <c r="AM698" s="6" t="s">
        <v>54</v>
      </c>
      <c r="AN698" s="6" t="s">
        <v>55</v>
      </c>
      <c r="AO698" s="6" t="str">
        <f t="shared" si="166"/>
        <v>Completed</v>
      </c>
    </row>
    <row r="699" spans="1:41">
      <c r="A699" s="6" t="s">
        <v>3289</v>
      </c>
      <c r="B699" s="7" t="s">
        <v>2343</v>
      </c>
      <c r="C699" s="8">
        <v>45717</v>
      </c>
      <c r="D699" s="7" t="s">
        <v>807</v>
      </c>
      <c r="E699" s="9">
        <v>45723</v>
      </c>
      <c r="F699" s="9" t="str">
        <f t="shared" si="159"/>
        <v>Valid</v>
      </c>
      <c r="G699" s="10">
        <f t="shared" si="160"/>
        <v>6</v>
      </c>
      <c r="H699" s="10" t="str">
        <f t="shared" si="161"/>
        <v>Valid</v>
      </c>
      <c r="I699" s="6" t="s">
        <v>3290</v>
      </c>
      <c r="J699" s="6" t="s">
        <v>81</v>
      </c>
      <c r="K699" s="6" t="s">
        <v>81</v>
      </c>
      <c r="L699" s="6" t="s">
        <v>128</v>
      </c>
      <c r="M699" s="7" t="str">
        <f t="shared" si="162"/>
        <v>Corporate</v>
      </c>
      <c r="N699" s="6" t="s">
        <v>82</v>
      </c>
      <c r="O699" s="7" t="str">
        <f t="shared" si="163"/>
        <v>South</v>
      </c>
      <c r="P699" s="6" t="s">
        <v>120</v>
      </c>
      <c r="Q699" s="6" t="s">
        <v>121</v>
      </c>
      <c r="R699" s="6" t="s">
        <v>50</v>
      </c>
      <c r="S699" s="7" t="str">
        <f t="shared" si="164"/>
        <v>Office Supplies</v>
      </c>
      <c r="T699" s="6" t="s">
        <v>129</v>
      </c>
      <c r="U699" s="6" t="s">
        <v>3291</v>
      </c>
      <c r="V699" s="6" t="s">
        <v>76</v>
      </c>
      <c r="W699" s="7" t="str">
        <f t="shared" si="165"/>
        <v>First Class</v>
      </c>
      <c r="X699" s="6">
        <v>7</v>
      </c>
      <c r="Y699" s="6">
        <v>567.15</v>
      </c>
      <c r="Z699" s="6"/>
      <c r="AA699" s="6">
        <f t="shared" si="167"/>
        <v>0</v>
      </c>
      <c r="AB699" s="6" t="str">
        <f t="shared" si="168"/>
        <v>Valid</v>
      </c>
      <c r="AC699" s="6">
        <v>2977.54</v>
      </c>
      <c r="AD699" s="6" t="str">
        <f>IF(OR(AO699="Cancelled",AM699="Failed"),"Exclude from Completed Sales","Include in Completed Sales")</f>
        <v>Include in Completed Sales</v>
      </c>
      <c r="AE699" s="6">
        <f t="shared" si="169"/>
        <v>3970.0499999999997</v>
      </c>
      <c r="AF699" s="6" t="str">
        <f t="shared" si="170"/>
        <v>Refunded</v>
      </c>
      <c r="AG699" s="6">
        <v>1849.3</v>
      </c>
      <c r="AH699" s="6">
        <v>1128.24</v>
      </c>
      <c r="AI699" s="6">
        <f t="shared" si="171"/>
        <v>2120.75</v>
      </c>
      <c r="AJ699" s="11">
        <f t="shared" si="172"/>
        <v>0.53418722686112274</v>
      </c>
      <c r="AK699" s="11" t="str">
        <f t="shared" si="173"/>
        <v>March</v>
      </c>
      <c r="AL699" s="12">
        <f t="shared" si="174"/>
        <v>2025</v>
      </c>
      <c r="AM699" s="6" t="s">
        <v>144</v>
      </c>
      <c r="AN699" s="6" t="s">
        <v>145</v>
      </c>
      <c r="AO699" s="6" t="str">
        <f t="shared" si="166"/>
        <v>Returned</v>
      </c>
    </row>
    <row r="700" spans="1:41">
      <c r="A700" s="6" t="s">
        <v>3292</v>
      </c>
      <c r="B700" s="7" t="s">
        <v>3293</v>
      </c>
      <c r="C700" s="8">
        <v>45549</v>
      </c>
      <c r="D700" s="7" t="s">
        <v>1761</v>
      </c>
      <c r="E700" s="9">
        <v>45549</v>
      </c>
      <c r="F700" s="9" t="str">
        <f t="shared" si="159"/>
        <v>Valid</v>
      </c>
      <c r="G700" s="10">
        <f t="shared" si="160"/>
        <v>0</v>
      </c>
      <c r="H700" s="10" t="str">
        <f t="shared" si="161"/>
        <v>Valid</v>
      </c>
      <c r="I700" s="6" t="s">
        <v>3294</v>
      </c>
      <c r="J700" s="6" t="s">
        <v>60</v>
      </c>
      <c r="K700" s="6" t="s">
        <v>60</v>
      </c>
      <c r="L700" s="6" t="s">
        <v>128</v>
      </c>
      <c r="M700" s="7" t="str">
        <f t="shared" si="162"/>
        <v>Corporate</v>
      </c>
      <c r="N700" s="6" t="s">
        <v>47</v>
      </c>
      <c r="O700" s="7" t="str">
        <f t="shared" si="163"/>
        <v>North</v>
      </c>
      <c r="P700" s="6" t="s">
        <v>48</v>
      </c>
      <c r="Q700" s="6" t="s">
        <v>49</v>
      </c>
      <c r="R700" s="6" t="s">
        <v>106</v>
      </c>
      <c r="S700" s="7" t="str">
        <f t="shared" si="164"/>
        <v>Technology</v>
      </c>
      <c r="T700" s="6" t="s">
        <v>402</v>
      </c>
      <c r="U700" s="6" t="s">
        <v>3295</v>
      </c>
      <c r="V700" s="6" t="s">
        <v>87</v>
      </c>
      <c r="W700" s="7" t="str">
        <f t="shared" si="165"/>
        <v>Standard Class</v>
      </c>
      <c r="X700" s="6">
        <v>8</v>
      </c>
      <c r="Y700" s="6">
        <v>4081.66</v>
      </c>
      <c r="Z700" s="6">
        <v>0.15</v>
      </c>
      <c r="AA700" s="6">
        <f t="shared" si="167"/>
        <v>0.15</v>
      </c>
      <c r="AB700" s="6" t="str">
        <f t="shared" si="168"/>
        <v>Valid</v>
      </c>
      <c r="AC700" s="6">
        <v>28208.1</v>
      </c>
      <c r="AD700" s="6" t="str">
        <f>IF(OR(AO700="Cancelled",AM700="Failed"),"Exclude from Completed Sales","Include in Completed Sales")</f>
        <v>Include in Completed Sales</v>
      </c>
      <c r="AE700" s="6">
        <f t="shared" si="169"/>
        <v>27755.287999999997</v>
      </c>
      <c r="AF700" s="6" t="str">
        <f t="shared" si="170"/>
        <v/>
      </c>
      <c r="AG700" s="6">
        <v>23751.91</v>
      </c>
      <c r="AH700" s="6">
        <v>4003.38</v>
      </c>
      <c r="AI700" s="6">
        <f t="shared" si="171"/>
        <v>4003.377999999997</v>
      </c>
      <c r="AJ700" s="11">
        <f t="shared" si="172"/>
        <v>0.14423838801456493</v>
      </c>
      <c r="AK700" s="11" t="str">
        <f t="shared" si="173"/>
        <v>September</v>
      </c>
      <c r="AL700" s="12">
        <f t="shared" si="174"/>
        <v>2024</v>
      </c>
      <c r="AM700" s="6" t="s">
        <v>54</v>
      </c>
      <c r="AN700" s="6" t="s">
        <v>145</v>
      </c>
      <c r="AO700" s="6" t="str">
        <f t="shared" si="166"/>
        <v>Returned</v>
      </c>
    </row>
    <row r="701" spans="1:41">
      <c r="A701" s="6" t="s">
        <v>3296</v>
      </c>
      <c r="B701" s="7" t="s">
        <v>3297</v>
      </c>
      <c r="C701" s="8">
        <v>45454</v>
      </c>
      <c r="D701" s="7" t="s">
        <v>3298</v>
      </c>
      <c r="E701" s="9">
        <v>45454</v>
      </c>
      <c r="F701" s="9" t="str">
        <f t="shared" si="159"/>
        <v>Valid</v>
      </c>
      <c r="G701" s="10">
        <f t="shared" si="160"/>
        <v>0</v>
      </c>
      <c r="H701" s="10" t="str">
        <f t="shared" si="161"/>
        <v>Valid</v>
      </c>
      <c r="I701" s="6" t="s">
        <v>3299</v>
      </c>
      <c r="J701" s="6" t="s">
        <v>81</v>
      </c>
      <c r="K701" s="6" t="s">
        <v>81</v>
      </c>
      <c r="L701" s="6" t="s">
        <v>61</v>
      </c>
      <c r="M701" s="7" t="str">
        <f t="shared" si="162"/>
        <v>Small Business</v>
      </c>
      <c r="N701" s="6" t="s">
        <v>82</v>
      </c>
      <c r="O701" s="7" t="str">
        <f t="shared" si="163"/>
        <v>South</v>
      </c>
      <c r="P701" s="6" t="s">
        <v>249</v>
      </c>
      <c r="Q701" s="6" t="s">
        <v>250</v>
      </c>
      <c r="R701" s="6" t="s">
        <v>65</v>
      </c>
      <c r="S701" s="7" t="str">
        <f t="shared" si="164"/>
        <v>Furniture</v>
      </c>
      <c r="T701" s="6" t="s">
        <v>224</v>
      </c>
      <c r="U701" s="6" t="s">
        <v>3300</v>
      </c>
      <c r="V701" s="6" t="s">
        <v>87</v>
      </c>
      <c r="W701" s="7" t="str">
        <f t="shared" si="165"/>
        <v>Standard Class</v>
      </c>
      <c r="X701" s="6">
        <v>9</v>
      </c>
      <c r="Y701" s="6">
        <v>1400.11</v>
      </c>
      <c r="Z701" s="6">
        <v>0.25</v>
      </c>
      <c r="AA701" s="6">
        <f t="shared" si="167"/>
        <v>0.25</v>
      </c>
      <c r="AB701" s="6" t="str">
        <f t="shared" si="168"/>
        <v>Valid</v>
      </c>
      <c r="AC701" s="6">
        <v>9450.74</v>
      </c>
      <c r="AD701" s="6" t="str">
        <f>IF(OR(AO701="Cancelled",AM701="Failed"),"Exclude from Completed Sales","Include in Completed Sales")</f>
        <v>Include in Completed Sales</v>
      </c>
      <c r="AE701" s="6">
        <f t="shared" si="169"/>
        <v>9450.7425000000003</v>
      </c>
      <c r="AF701" s="6" t="str">
        <f t="shared" si="170"/>
        <v/>
      </c>
      <c r="AG701" s="6">
        <v>7798.56</v>
      </c>
      <c r="AH701" s="6">
        <v>1652.18</v>
      </c>
      <c r="AI701" s="6">
        <f t="shared" si="171"/>
        <v>1652.1824999999999</v>
      </c>
      <c r="AJ701" s="11">
        <f t="shared" si="172"/>
        <v>0.17482039109625511</v>
      </c>
      <c r="AK701" s="11" t="str">
        <f t="shared" si="173"/>
        <v>June</v>
      </c>
      <c r="AL701" s="12">
        <f t="shared" si="174"/>
        <v>2024</v>
      </c>
      <c r="AM701" s="6" t="s">
        <v>54</v>
      </c>
      <c r="AN701" s="6" t="s">
        <v>55</v>
      </c>
      <c r="AO701" s="6" t="str">
        <f t="shared" si="166"/>
        <v>Completed</v>
      </c>
    </row>
    <row r="702" spans="1:41">
      <c r="A702" s="6" t="s">
        <v>3301</v>
      </c>
      <c r="B702" s="7" t="s">
        <v>3302</v>
      </c>
      <c r="C702" s="8">
        <v>45553</v>
      </c>
      <c r="D702" s="7" t="s">
        <v>1154</v>
      </c>
      <c r="E702" s="9">
        <v>45556</v>
      </c>
      <c r="F702" s="9" t="str">
        <f t="shared" si="159"/>
        <v>Valid</v>
      </c>
      <c r="G702" s="10">
        <f t="shared" si="160"/>
        <v>3</v>
      </c>
      <c r="H702" s="10" t="str">
        <f t="shared" si="161"/>
        <v>Valid</v>
      </c>
      <c r="I702" s="6" t="s">
        <v>3303</v>
      </c>
      <c r="J702" s="6" t="s">
        <v>113</v>
      </c>
      <c r="K702" s="6" t="s">
        <v>113</v>
      </c>
      <c r="L702" s="6" t="s">
        <v>128</v>
      </c>
      <c r="M702" s="7" t="str">
        <f t="shared" si="162"/>
        <v>Corporate</v>
      </c>
      <c r="N702" s="6" t="s">
        <v>62</v>
      </c>
      <c r="O702" s="7" t="str">
        <f t="shared" si="163"/>
        <v>East</v>
      </c>
      <c r="P702" s="6" t="s">
        <v>141</v>
      </c>
      <c r="Q702" s="6" t="s">
        <v>142</v>
      </c>
      <c r="R702" s="6" t="s">
        <v>106</v>
      </c>
      <c r="S702" s="7" t="str">
        <f t="shared" si="164"/>
        <v>Technology</v>
      </c>
      <c r="T702" s="6" t="s">
        <v>402</v>
      </c>
      <c r="U702" s="6" t="s">
        <v>3304</v>
      </c>
      <c r="V702" s="6" t="s">
        <v>87</v>
      </c>
      <c r="W702" s="7" t="str">
        <f t="shared" si="165"/>
        <v>Standard Class</v>
      </c>
      <c r="X702" s="6">
        <v>3</v>
      </c>
      <c r="Y702" s="6">
        <v>3055.9</v>
      </c>
      <c r="Z702" s="6">
        <v>0.15</v>
      </c>
      <c r="AA702" s="6">
        <f t="shared" si="167"/>
        <v>0.15</v>
      </c>
      <c r="AB702" s="6" t="str">
        <f t="shared" si="168"/>
        <v>Valid</v>
      </c>
      <c r="AC702" s="6">
        <v>7792.55</v>
      </c>
      <c r="AD702" s="6" t="str">
        <f>IF(OR(AO702="Cancelled",AM702="Failed"),"Exclude from Completed Sales","Include in Completed Sales")</f>
        <v>Include in Completed Sales</v>
      </c>
      <c r="AE702" s="6">
        <f t="shared" si="169"/>
        <v>7792.5450000000001</v>
      </c>
      <c r="AF702" s="6" t="str">
        <f t="shared" si="170"/>
        <v/>
      </c>
      <c r="AG702" s="6">
        <v>4691.7299999999996</v>
      </c>
      <c r="AH702" s="6">
        <v>3100.82</v>
      </c>
      <c r="AI702" s="6">
        <f t="shared" si="171"/>
        <v>3100.8150000000005</v>
      </c>
      <c r="AJ702" s="11">
        <f t="shared" si="172"/>
        <v>0.39792070498149201</v>
      </c>
      <c r="AK702" s="11" t="str">
        <f t="shared" si="173"/>
        <v>September</v>
      </c>
      <c r="AL702" s="12">
        <f t="shared" si="174"/>
        <v>2024</v>
      </c>
      <c r="AM702" s="6" t="s">
        <v>54</v>
      </c>
      <c r="AN702" s="6" t="s">
        <v>55</v>
      </c>
      <c r="AO702" s="6" t="str">
        <f t="shared" si="166"/>
        <v>Completed</v>
      </c>
    </row>
    <row r="703" spans="1:41">
      <c r="A703" s="6" t="s">
        <v>3305</v>
      </c>
      <c r="B703" s="7" t="s">
        <v>1642</v>
      </c>
      <c r="C703" s="8">
        <v>45412</v>
      </c>
      <c r="D703" s="7" t="s">
        <v>1313</v>
      </c>
      <c r="E703" s="9">
        <v>45416</v>
      </c>
      <c r="F703" s="9" t="str">
        <f t="shared" si="159"/>
        <v>Valid</v>
      </c>
      <c r="G703" s="10">
        <f t="shared" si="160"/>
        <v>4</v>
      </c>
      <c r="H703" s="10" t="str">
        <f t="shared" si="161"/>
        <v>Valid</v>
      </c>
      <c r="I703" s="6" t="s">
        <v>3306</v>
      </c>
      <c r="J703" s="6" t="s">
        <v>200</v>
      </c>
      <c r="K703" s="6" t="s">
        <v>200</v>
      </c>
      <c r="L703" s="6" t="s">
        <v>61</v>
      </c>
      <c r="M703" s="7" t="str">
        <f t="shared" si="162"/>
        <v>Small Business</v>
      </c>
      <c r="N703" s="6" t="s">
        <v>93</v>
      </c>
      <c r="O703" s="7" t="str">
        <f t="shared" si="163"/>
        <v>West</v>
      </c>
      <c r="P703" s="6" t="s">
        <v>255</v>
      </c>
      <c r="Q703" s="6" t="s">
        <v>256</v>
      </c>
      <c r="R703" s="6" t="s">
        <v>50</v>
      </c>
      <c r="S703" s="7" t="str">
        <f t="shared" si="164"/>
        <v>Office Supplies</v>
      </c>
      <c r="T703" s="6" t="s">
        <v>74</v>
      </c>
      <c r="U703" s="6" t="s">
        <v>3307</v>
      </c>
      <c r="V703" s="6" t="s">
        <v>68</v>
      </c>
      <c r="W703" s="7" t="str">
        <f t="shared" si="165"/>
        <v>Same Day</v>
      </c>
      <c r="X703" s="6">
        <v>7</v>
      </c>
      <c r="Y703" s="6">
        <v>1224.94</v>
      </c>
      <c r="Z703" s="6">
        <v>0</v>
      </c>
      <c r="AA703" s="6">
        <f t="shared" si="167"/>
        <v>0</v>
      </c>
      <c r="AB703" s="6" t="str">
        <f t="shared" si="168"/>
        <v>Valid</v>
      </c>
      <c r="AC703" s="6">
        <v>8574.58</v>
      </c>
      <c r="AD703" s="6" t="str">
        <f>IF(OR(AO703="Cancelled",AM703="Failed"),"Exclude from Completed Sales","Include in Completed Sales")</f>
        <v>Include in Completed Sales</v>
      </c>
      <c r="AE703" s="6">
        <f t="shared" si="169"/>
        <v>8574.58</v>
      </c>
      <c r="AF703" s="6" t="str">
        <f t="shared" si="170"/>
        <v/>
      </c>
      <c r="AG703" s="6">
        <v>6685.81</v>
      </c>
      <c r="AH703" s="6">
        <v>1888.77</v>
      </c>
      <c r="AI703" s="6">
        <f t="shared" si="171"/>
        <v>1888.7699999999995</v>
      </c>
      <c r="AJ703" s="11">
        <f t="shared" si="172"/>
        <v>0.22027551203674112</v>
      </c>
      <c r="AK703" s="11" t="str">
        <f t="shared" si="173"/>
        <v>April</v>
      </c>
      <c r="AL703" s="12">
        <f t="shared" si="174"/>
        <v>2024</v>
      </c>
      <c r="AM703" s="6" t="s">
        <v>54</v>
      </c>
      <c r="AN703" s="6" t="s">
        <v>145</v>
      </c>
      <c r="AO703" s="6" t="str">
        <f t="shared" si="166"/>
        <v>Returned</v>
      </c>
    </row>
    <row r="704" spans="1:41">
      <c r="A704" s="6" t="s">
        <v>3308</v>
      </c>
      <c r="B704" s="7" t="s">
        <v>3309</v>
      </c>
      <c r="C704" s="8">
        <v>45690</v>
      </c>
      <c r="D704" s="7" t="s">
        <v>2904</v>
      </c>
      <c r="E704" s="9">
        <v>45694</v>
      </c>
      <c r="F704" s="9" t="str">
        <f t="shared" si="159"/>
        <v>Valid</v>
      </c>
      <c r="G704" s="10">
        <f t="shared" si="160"/>
        <v>4</v>
      </c>
      <c r="H704" s="10" t="str">
        <f t="shared" si="161"/>
        <v>Valid</v>
      </c>
      <c r="I704" s="6" t="s">
        <v>3310</v>
      </c>
      <c r="J704" s="6" t="s">
        <v>45</v>
      </c>
      <c r="K704" s="6" t="s">
        <v>45</v>
      </c>
      <c r="L704" s="6" t="s">
        <v>61</v>
      </c>
      <c r="M704" s="7" t="str">
        <f t="shared" si="162"/>
        <v>Small Business</v>
      </c>
      <c r="N704" s="6" t="s">
        <v>93</v>
      </c>
      <c r="O704" s="7" t="str">
        <f t="shared" si="163"/>
        <v>West</v>
      </c>
      <c r="P704" s="6" t="s">
        <v>48</v>
      </c>
      <c r="Q704" s="6" t="s">
        <v>155</v>
      </c>
      <c r="R704" s="6" t="s">
        <v>65</v>
      </c>
      <c r="S704" s="7" t="str">
        <f t="shared" si="164"/>
        <v>Furniture</v>
      </c>
      <c r="T704" s="6" t="s">
        <v>66</v>
      </c>
      <c r="U704" s="6" t="s">
        <v>3311</v>
      </c>
      <c r="V704" s="6" t="s">
        <v>53</v>
      </c>
      <c r="W704" s="7" t="str">
        <f t="shared" si="165"/>
        <v>Second Class</v>
      </c>
      <c r="X704" s="6">
        <v>3</v>
      </c>
      <c r="Y704" s="6">
        <v>997.34</v>
      </c>
      <c r="Z704" s="6">
        <v>0.1</v>
      </c>
      <c r="AA704" s="6">
        <f t="shared" si="167"/>
        <v>0.1</v>
      </c>
      <c r="AB704" s="6" t="str">
        <f t="shared" si="168"/>
        <v>Valid</v>
      </c>
      <c r="AC704" s="6">
        <v>2692.82</v>
      </c>
      <c r="AD704" s="6" t="str">
        <f>IF(OR(AO704="Cancelled",AM704="Failed"),"Exclude from Completed Sales","Include in Completed Sales")</f>
        <v>Include in Completed Sales</v>
      </c>
      <c r="AE704" s="6">
        <f t="shared" si="169"/>
        <v>2692.8180000000002</v>
      </c>
      <c r="AF704" s="6" t="str">
        <f t="shared" si="170"/>
        <v/>
      </c>
      <c r="AG704" s="6">
        <v>1820.08</v>
      </c>
      <c r="AH704" s="6">
        <v>872.74</v>
      </c>
      <c r="AI704" s="6">
        <f t="shared" si="171"/>
        <v>872.73800000000028</v>
      </c>
      <c r="AJ704" s="11">
        <f t="shared" si="172"/>
        <v>0.32409839803506968</v>
      </c>
      <c r="AK704" s="11" t="str">
        <f t="shared" si="173"/>
        <v>February</v>
      </c>
      <c r="AL704" s="12">
        <f t="shared" si="174"/>
        <v>2025</v>
      </c>
      <c r="AM704" s="6" t="s">
        <v>54</v>
      </c>
      <c r="AN704" s="6" t="s">
        <v>55</v>
      </c>
      <c r="AO704" s="6" t="str">
        <f t="shared" si="166"/>
        <v>Completed</v>
      </c>
    </row>
    <row r="705" spans="1:41">
      <c r="A705" s="6" t="s">
        <v>3312</v>
      </c>
      <c r="B705" s="7" t="s">
        <v>3313</v>
      </c>
      <c r="C705" s="8">
        <v>45584</v>
      </c>
      <c r="D705" s="7" t="s">
        <v>2400</v>
      </c>
      <c r="E705" s="9">
        <v>45585</v>
      </c>
      <c r="F705" s="9" t="str">
        <f t="shared" si="159"/>
        <v>Valid</v>
      </c>
      <c r="G705" s="10">
        <f t="shared" si="160"/>
        <v>1</v>
      </c>
      <c r="H705" s="10" t="str">
        <f t="shared" si="161"/>
        <v>Valid</v>
      </c>
      <c r="I705" s="6" t="s">
        <v>3314</v>
      </c>
      <c r="J705" s="6" t="s">
        <v>127</v>
      </c>
      <c r="K705" s="6" t="s">
        <v>127</v>
      </c>
      <c r="L705" s="6" t="s">
        <v>128</v>
      </c>
      <c r="M705" s="7" t="str">
        <f t="shared" si="162"/>
        <v>Corporate</v>
      </c>
      <c r="N705" s="6" t="s">
        <v>47</v>
      </c>
      <c r="O705" s="7" t="str">
        <f t="shared" si="163"/>
        <v>North</v>
      </c>
      <c r="P705" s="6" t="s">
        <v>48</v>
      </c>
      <c r="Q705" s="6" t="s">
        <v>49</v>
      </c>
      <c r="R705" s="6" t="s">
        <v>65</v>
      </c>
      <c r="S705" s="7" t="str">
        <f t="shared" si="164"/>
        <v>Furniture</v>
      </c>
      <c r="T705" s="6" t="s">
        <v>66</v>
      </c>
      <c r="U705" s="6" t="s">
        <v>3315</v>
      </c>
      <c r="V705" s="6" t="s">
        <v>76</v>
      </c>
      <c r="W705" s="7" t="str">
        <f t="shared" si="165"/>
        <v>First Class</v>
      </c>
      <c r="X705" s="6">
        <v>1</v>
      </c>
      <c r="Y705" s="6">
        <v>1150.03</v>
      </c>
      <c r="Z705" s="6">
        <v>0.1</v>
      </c>
      <c r="AA705" s="6">
        <f t="shared" si="167"/>
        <v>0.1</v>
      </c>
      <c r="AB705" s="6" t="str">
        <f t="shared" si="168"/>
        <v>Valid</v>
      </c>
      <c r="AC705" s="6">
        <v>1035.03</v>
      </c>
      <c r="AD705" s="6" t="str">
        <f>IF(OR(AO705="Cancelled",AM705="Failed"),"Exclude from Completed Sales","Include in Completed Sales")</f>
        <v>Include in Completed Sales</v>
      </c>
      <c r="AE705" s="6">
        <f t="shared" si="169"/>
        <v>1035.027</v>
      </c>
      <c r="AF705" s="6" t="str">
        <f t="shared" si="170"/>
        <v/>
      </c>
      <c r="AG705" s="6">
        <v>854.35</v>
      </c>
      <c r="AH705" s="6">
        <v>180.68</v>
      </c>
      <c r="AI705" s="6">
        <f t="shared" si="171"/>
        <v>180.67700000000002</v>
      </c>
      <c r="AJ705" s="11">
        <f t="shared" si="172"/>
        <v>0.1745625959516032</v>
      </c>
      <c r="AK705" s="11" t="str">
        <f t="shared" si="173"/>
        <v>October</v>
      </c>
      <c r="AL705" s="12">
        <f t="shared" si="174"/>
        <v>2024</v>
      </c>
      <c r="AM705" s="6" t="s">
        <v>54</v>
      </c>
      <c r="AN705" s="6" t="s">
        <v>55</v>
      </c>
      <c r="AO705" s="6" t="str">
        <f t="shared" si="166"/>
        <v>Completed</v>
      </c>
    </row>
    <row r="706" spans="1:41">
      <c r="A706" s="6" t="s">
        <v>3316</v>
      </c>
      <c r="B706" s="7" t="s">
        <v>1578</v>
      </c>
      <c r="C706" s="8">
        <v>45364</v>
      </c>
      <c r="D706" s="7" t="s">
        <v>3317</v>
      </c>
      <c r="E706" s="9">
        <v>45371</v>
      </c>
      <c r="F706" s="9" t="str">
        <f t="shared" ref="F706:F769" si="175">IF(E706&lt;C706,"Invalid Shipping Record","Valid")</f>
        <v>Valid</v>
      </c>
      <c r="G706" s="10">
        <f t="shared" ref="G706:G769" si="176">E706-C706</f>
        <v>7</v>
      </c>
      <c r="H706" s="10" t="str">
        <f t="shared" ref="H706:H769" si="177">IF(OR(C706="",E706=""),"Missing Date",IF(OR(NOT(ISNUMBER(C706)),NOT(ISNUMBER(E706))),"Invalid Date",IF(E706&lt;C706,"Invalid Shipping Record","Valid")))</f>
        <v>Valid</v>
      </c>
      <c r="I706" s="6" t="s">
        <v>3318</v>
      </c>
      <c r="J706" s="6" t="s">
        <v>162</v>
      </c>
      <c r="K706" s="6" t="s">
        <v>162</v>
      </c>
      <c r="L706" s="6" t="s">
        <v>135</v>
      </c>
      <c r="M706" s="7" t="str">
        <f t="shared" ref="M706:M769" si="178">PROPER(TRIM(L706))</f>
        <v>Home Office</v>
      </c>
      <c r="N706" s="6" t="s">
        <v>82</v>
      </c>
      <c r="O706" s="7" t="str">
        <f t="shared" ref="O706:O769" si="179">IF(TRIM(N706)="","Unknown",PROPER(TRIM(N706)))</f>
        <v>South</v>
      </c>
      <c r="P706" s="6" t="s">
        <v>359</v>
      </c>
      <c r="Q706" s="6" t="s">
        <v>360</v>
      </c>
      <c r="R706" s="6" t="s">
        <v>65</v>
      </c>
      <c r="S706" s="7" t="str">
        <f t="shared" ref="S706:S769" si="180">PROPER(TRIM(R706))</f>
        <v>Furniture</v>
      </c>
      <c r="T706" s="6" t="s">
        <v>224</v>
      </c>
      <c r="U706" s="6" t="s">
        <v>3319</v>
      </c>
      <c r="V706" s="6"/>
      <c r="W706" s="7" t="str">
        <f t="shared" ref="W706:W769" si="181">IF(TRIM(V706)="","Unknown",PROPER(TRIM(V706)))</f>
        <v>Unknown</v>
      </c>
      <c r="X706" s="6">
        <v>1</v>
      </c>
      <c r="Y706" s="6">
        <v>2825.63</v>
      </c>
      <c r="Z706" s="6">
        <v>0.15</v>
      </c>
      <c r="AA706" s="6">
        <f t="shared" si="167"/>
        <v>0.15</v>
      </c>
      <c r="AB706" s="6" t="str">
        <f t="shared" si="168"/>
        <v>Valid</v>
      </c>
      <c r="AC706" s="6">
        <v>2401.79</v>
      </c>
      <c r="AD706" s="6" t="str">
        <f>IF(OR(AO706="Cancelled",AM706="Failed"),"Exclude from Completed Sales","Include in Completed Sales")</f>
        <v>Include in Completed Sales</v>
      </c>
      <c r="AE706" s="6">
        <f t="shared" si="169"/>
        <v>2401.7855</v>
      </c>
      <c r="AF706" s="6" t="str">
        <f t="shared" si="170"/>
        <v/>
      </c>
      <c r="AG706" s="6">
        <v>1820.34</v>
      </c>
      <c r="AH706" s="6">
        <v>581.45000000000005</v>
      </c>
      <c r="AI706" s="6">
        <f t="shared" si="171"/>
        <v>581.44550000000004</v>
      </c>
      <c r="AJ706" s="11">
        <f t="shared" si="172"/>
        <v>0.24208885431276025</v>
      </c>
      <c r="AK706" s="11" t="str">
        <f t="shared" si="173"/>
        <v>March</v>
      </c>
      <c r="AL706" s="12">
        <f t="shared" si="174"/>
        <v>2024</v>
      </c>
      <c r="AM706" s="6" t="s">
        <v>54</v>
      </c>
      <c r="AN706" s="6" t="s">
        <v>55</v>
      </c>
      <c r="AO706" s="6" t="str">
        <f t="shared" ref="AO706:AO769" si="182">PROPER(TRIM(AN706))</f>
        <v>Completed</v>
      </c>
    </row>
    <row r="707" spans="1:41">
      <c r="A707" s="6" t="s">
        <v>3320</v>
      </c>
      <c r="B707" s="7" t="s">
        <v>3321</v>
      </c>
      <c r="C707" s="8">
        <v>45543</v>
      </c>
      <c r="D707" s="7" t="s">
        <v>3322</v>
      </c>
      <c r="E707" s="9">
        <v>45549</v>
      </c>
      <c r="F707" s="9" t="str">
        <f t="shared" si="175"/>
        <v>Valid</v>
      </c>
      <c r="G707" s="10">
        <f t="shared" si="176"/>
        <v>6</v>
      </c>
      <c r="H707" s="10" t="str">
        <f t="shared" si="177"/>
        <v>Valid</v>
      </c>
      <c r="I707" s="6" t="s">
        <v>3323</v>
      </c>
      <c r="J707" s="6" t="s">
        <v>200</v>
      </c>
      <c r="K707" s="6" t="s">
        <v>200</v>
      </c>
      <c r="L707" s="6" t="s">
        <v>46</v>
      </c>
      <c r="M707" s="7" t="str">
        <f t="shared" si="178"/>
        <v>Consumer</v>
      </c>
      <c r="N707" s="6" t="s">
        <v>47</v>
      </c>
      <c r="O707" s="7" t="str">
        <f t="shared" si="179"/>
        <v>North</v>
      </c>
      <c r="P707" s="6" t="s">
        <v>48</v>
      </c>
      <c r="Q707" s="6" t="s">
        <v>49</v>
      </c>
      <c r="R707" s="6" t="s">
        <v>50</v>
      </c>
      <c r="S707" s="7" t="str">
        <f t="shared" si="180"/>
        <v>Office Supplies</v>
      </c>
      <c r="T707" s="6" t="s">
        <v>218</v>
      </c>
      <c r="U707" s="6" t="s">
        <v>3324</v>
      </c>
      <c r="V707" s="6" t="s">
        <v>87</v>
      </c>
      <c r="W707" s="7" t="str">
        <f t="shared" si="181"/>
        <v>Standard Class</v>
      </c>
      <c r="X707" s="6">
        <v>5</v>
      </c>
      <c r="Y707" s="6">
        <v>3371.75</v>
      </c>
      <c r="Z707" s="6">
        <v>0.05</v>
      </c>
      <c r="AA707" s="6">
        <f t="shared" ref="AA707:AA770" si="183">IF(Z707="",0,Z707)</f>
        <v>0.05</v>
      </c>
      <c r="AB707" s="6" t="str">
        <f t="shared" ref="AB707:AB770" si="184">IF(AA707&lt;0,"Invalid - Negative Discount",IF(AA707&gt;1,"Invalid - Discount Above Limit","Valid"))</f>
        <v>Valid</v>
      </c>
      <c r="AC707" s="6">
        <v>16015.81</v>
      </c>
      <c r="AD707" s="6" t="str">
        <f>IF(OR(AO707="Cancelled",AM707="Failed"),"Exclude from Completed Sales","Include in Completed Sales")</f>
        <v>Include in Completed Sales</v>
      </c>
      <c r="AE707" s="6">
        <f t="shared" ref="AE707:AE770" si="185">X707*Y707*(1-AA707)</f>
        <v>16015.8125</v>
      </c>
      <c r="AF707" s="6" t="str">
        <f t="shared" ref="AF707:AF770" si="186">IF(TRIM(AM707)="Refunded","Refunded","")</f>
        <v/>
      </c>
      <c r="AG707" s="6">
        <v>11352.38</v>
      </c>
      <c r="AH707" s="6">
        <v>4663.43</v>
      </c>
      <c r="AI707" s="6">
        <f t="shared" ref="AI707:AI770" si="187">AE707-AG707</f>
        <v>4663.4325000000008</v>
      </c>
      <c r="AJ707" s="11">
        <f t="shared" ref="AJ707:AJ770" si="188">IF(AE707=0,0,AI707/AE707)</f>
        <v>0.29117676671102394</v>
      </c>
      <c r="AK707" s="11" t="str">
        <f t="shared" ref="AK707:AK770" si="189">TEXT(C707,"mmmm")</f>
        <v>September</v>
      </c>
      <c r="AL707" s="12">
        <f t="shared" ref="AL707:AL770" si="190">YEAR(C707)</f>
        <v>2024</v>
      </c>
      <c r="AM707" s="6" t="s">
        <v>54</v>
      </c>
      <c r="AN707" s="6" t="s">
        <v>55</v>
      </c>
      <c r="AO707" s="6" t="str">
        <f t="shared" si="182"/>
        <v>Completed</v>
      </c>
    </row>
    <row r="708" spans="1:41">
      <c r="A708" s="6" t="s">
        <v>3325</v>
      </c>
      <c r="B708" s="7" t="s">
        <v>3326</v>
      </c>
      <c r="C708" s="8">
        <v>45467</v>
      </c>
      <c r="D708" s="7" t="s">
        <v>1063</v>
      </c>
      <c r="E708" s="9">
        <v>45471</v>
      </c>
      <c r="F708" s="9" t="str">
        <f t="shared" si="175"/>
        <v>Valid</v>
      </c>
      <c r="G708" s="10">
        <f t="shared" si="176"/>
        <v>4</v>
      </c>
      <c r="H708" s="10" t="str">
        <f t="shared" si="177"/>
        <v>Valid</v>
      </c>
      <c r="I708" s="6" t="s">
        <v>3327</v>
      </c>
      <c r="J708" s="6" t="s">
        <v>73</v>
      </c>
      <c r="K708" s="6" t="s">
        <v>73</v>
      </c>
      <c r="L708" s="6" t="s">
        <v>61</v>
      </c>
      <c r="M708" s="7" t="str">
        <f t="shared" si="178"/>
        <v>Small Business</v>
      </c>
      <c r="N708" s="6" t="s">
        <v>62</v>
      </c>
      <c r="O708" s="7" t="str">
        <f t="shared" si="179"/>
        <v>East</v>
      </c>
      <c r="P708" s="6" t="s">
        <v>63</v>
      </c>
      <c r="Q708" s="6" t="s">
        <v>64</v>
      </c>
      <c r="R708" s="6" t="s">
        <v>50</v>
      </c>
      <c r="S708" s="7" t="str">
        <f t="shared" si="180"/>
        <v>Office Supplies</v>
      </c>
      <c r="T708" s="6" t="s">
        <v>51</v>
      </c>
      <c r="U708" s="6" t="s">
        <v>3328</v>
      </c>
      <c r="V708" s="6" t="s">
        <v>68</v>
      </c>
      <c r="W708" s="7" t="str">
        <f t="shared" si="181"/>
        <v>Same Day</v>
      </c>
      <c r="X708" s="6">
        <v>1</v>
      </c>
      <c r="Y708" s="6">
        <v>2112.75</v>
      </c>
      <c r="Z708" s="6">
        <v>0.1</v>
      </c>
      <c r="AA708" s="6">
        <f t="shared" si="183"/>
        <v>0.1</v>
      </c>
      <c r="AB708" s="6" t="str">
        <f t="shared" si="184"/>
        <v>Valid</v>
      </c>
      <c r="AC708" s="6">
        <v>1901.48</v>
      </c>
      <c r="AD708" s="6" t="str">
        <f>IF(OR(AO708="Cancelled",AM708="Failed"),"Exclude from Completed Sales","Include in Completed Sales")</f>
        <v>Include in Completed Sales</v>
      </c>
      <c r="AE708" s="6">
        <f t="shared" si="185"/>
        <v>1901.4750000000001</v>
      </c>
      <c r="AF708" s="6" t="str">
        <f t="shared" si="186"/>
        <v/>
      </c>
      <c r="AG708" s="6">
        <v>1354.28</v>
      </c>
      <c r="AH708" s="6">
        <v>547.20000000000005</v>
      </c>
      <c r="AI708" s="6">
        <f t="shared" si="187"/>
        <v>547.19500000000016</v>
      </c>
      <c r="AJ708" s="11">
        <f t="shared" si="188"/>
        <v>0.28777396494826391</v>
      </c>
      <c r="AK708" s="11" t="str">
        <f t="shared" si="189"/>
        <v>June</v>
      </c>
      <c r="AL708" s="12">
        <f t="shared" si="190"/>
        <v>2024</v>
      </c>
      <c r="AM708" s="6" t="s">
        <v>54</v>
      </c>
      <c r="AN708" s="6" t="s">
        <v>55</v>
      </c>
      <c r="AO708" s="6" t="str">
        <f t="shared" si="182"/>
        <v>Completed</v>
      </c>
    </row>
    <row r="709" spans="1:41">
      <c r="A709" s="6" t="s">
        <v>3329</v>
      </c>
      <c r="B709" s="7" t="s">
        <v>3330</v>
      </c>
      <c r="C709" s="8">
        <v>45832</v>
      </c>
      <c r="D709" s="7" t="s">
        <v>2391</v>
      </c>
      <c r="E709" s="9">
        <v>45834</v>
      </c>
      <c r="F709" s="9" t="str">
        <f t="shared" si="175"/>
        <v>Valid</v>
      </c>
      <c r="G709" s="10">
        <f t="shared" si="176"/>
        <v>2</v>
      </c>
      <c r="H709" s="10" t="str">
        <f t="shared" si="177"/>
        <v>Valid</v>
      </c>
      <c r="I709" s="6" t="s">
        <v>3331</v>
      </c>
      <c r="J709" s="6" t="s">
        <v>103</v>
      </c>
      <c r="K709" s="6" t="s">
        <v>103</v>
      </c>
      <c r="L709" s="6" t="s">
        <v>46</v>
      </c>
      <c r="M709" s="7" t="str">
        <f t="shared" si="178"/>
        <v>Consumer</v>
      </c>
      <c r="N709" s="6" t="s">
        <v>47</v>
      </c>
      <c r="O709" s="7" t="str">
        <f t="shared" si="179"/>
        <v>North</v>
      </c>
      <c r="P709" s="6" t="s">
        <v>48</v>
      </c>
      <c r="Q709" s="6" t="s">
        <v>49</v>
      </c>
      <c r="R709" s="6" t="s">
        <v>106</v>
      </c>
      <c r="S709" s="7" t="str">
        <f t="shared" si="180"/>
        <v>Technology</v>
      </c>
      <c r="T709" s="6" t="s">
        <v>107</v>
      </c>
      <c r="U709" s="6" t="s">
        <v>3332</v>
      </c>
      <c r="V709" s="6" t="s">
        <v>68</v>
      </c>
      <c r="W709" s="7" t="str">
        <f t="shared" si="181"/>
        <v>Same Day</v>
      </c>
      <c r="X709" s="6">
        <v>5</v>
      </c>
      <c r="Y709" s="6">
        <v>3722.66</v>
      </c>
      <c r="Z709" s="6">
        <v>0.55000000000000004</v>
      </c>
      <c r="AA709" s="6">
        <f t="shared" si="183"/>
        <v>0.55000000000000004</v>
      </c>
      <c r="AB709" s="6" t="str">
        <f t="shared" si="184"/>
        <v>Valid</v>
      </c>
      <c r="AC709" s="6">
        <v>16751.97</v>
      </c>
      <c r="AD709" s="6" t="str">
        <f>IF(OR(AO709="Cancelled",AM709="Failed"),"Exclude from Completed Sales","Include in Completed Sales")</f>
        <v>Include in Completed Sales</v>
      </c>
      <c r="AE709" s="6">
        <f t="shared" si="185"/>
        <v>8375.9849999999988</v>
      </c>
      <c r="AF709" s="6" t="str">
        <f t="shared" si="186"/>
        <v/>
      </c>
      <c r="AG709" s="6">
        <v>11678.32</v>
      </c>
      <c r="AH709" s="6">
        <v>5073.6499999999996</v>
      </c>
      <c r="AI709" s="6">
        <f t="shared" si="187"/>
        <v>-3302.3350000000009</v>
      </c>
      <c r="AJ709" s="11">
        <f t="shared" si="188"/>
        <v>-0.39426228676388525</v>
      </c>
      <c r="AK709" s="11" t="str">
        <f t="shared" si="189"/>
        <v>June</v>
      </c>
      <c r="AL709" s="12">
        <f t="shared" si="190"/>
        <v>2025</v>
      </c>
      <c r="AM709" s="6" t="s">
        <v>54</v>
      </c>
      <c r="AN709" s="6" t="s">
        <v>55</v>
      </c>
      <c r="AO709" s="6" t="str">
        <f t="shared" si="182"/>
        <v>Completed</v>
      </c>
    </row>
    <row r="710" spans="1:41">
      <c r="A710" s="6" t="s">
        <v>3333</v>
      </c>
      <c r="B710" s="7" t="s">
        <v>3334</v>
      </c>
      <c r="C710" s="8">
        <v>45736</v>
      </c>
      <c r="D710" s="7" t="s">
        <v>3335</v>
      </c>
      <c r="E710" s="9">
        <v>45742</v>
      </c>
      <c r="F710" s="9" t="str">
        <f t="shared" si="175"/>
        <v>Valid</v>
      </c>
      <c r="G710" s="10">
        <f t="shared" si="176"/>
        <v>6</v>
      </c>
      <c r="H710" s="10" t="str">
        <f t="shared" si="177"/>
        <v>Valid</v>
      </c>
      <c r="I710" s="6" t="s">
        <v>3336</v>
      </c>
      <c r="J710" s="6" t="s">
        <v>188</v>
      </c>
      <c r="K710" s="6" t="s">
        <v>188</v>
      </c>
      <c r="L710" s="6" t="s">
        <v>46</v>
      </c>
      <c r="M710" s="7" t="str">
        <f t="shared" si="178"/>
        <v>Consumer</v>
      </c>
      <c r="N710" s="6" t="s">
        <v>62</v>
      </c>
      <c r="O710" s="7" t="str">
        <f t="shared" si="179"/>
        <v>East</v>
      </c>
      <c r="P710" s="6" t="s">
        <v>236</v>
      </c>
      <c r="Q710" s="6" t="s">
        <v>237</v>
      </c>
      <c r="R710" s="6" t="s">
        <v>65</v>
      </c>
      <c r="S710" s="7" t="str">
        <f t="shared" si="180"/>
        <v>Furniture</v>
      </c>
      <c r="T710" s="6" t="s">
        <v>224</v>
      </c>
      <c r="U710" s="6" t="s">
        <v>3337</v>
      </c>
      <c r="V710" s="6" t="s">
        <v>76</v>
      </c>
      <c r="W710" s="7" t="str">
        <f t="shared" si="181"/>
        <v>First Class</v>
      </c>
      <c r="X710" s="6">
        <v>4</v>
      </c>
      <c r="Y710" s="6">
        <v>4357.66</v>
      </c>
      <c r="Z710" s="6">
        <v>0.05</v>
      </c>
      <c r="AA710" s="6">
        <f t="shared" si="183"/>
        <v>0.05</v>
      </c>
      <c r="AB710" s="6" t="str">
        <f t="shared" si="184"/>
        <v>Valid</v>
      </c>
      <c r="AC710" s="6">
        <v>16559.11</v>
      </c>
      <c r="AD710" s="6" t="str">
        <f>IF(OR(AO710="Cancelled",AM710="Failed"),"Exclude from Completed Sales","Include in Completed Sales")</f>
        <v>Include in Completed Sales</v>
      </c>
      <c r="AE710" s="6">
        <f t="shared" si="185"/>
        <v>16559.108</v>
      </c>
      <c r="AF710" s="6" t="str">
        <f t="shared" si="186"/>
        <v/>
      </c>
      <c r="AG710" s="6">
        <v>13233.79</v>
      </c>
      <c r="AH710" s="6">
        <v>3325.32</v>
      </c>
      <c r="AI710" s="6">
        <f t="shared" si="187"/>
        <v>3325.3179999999993</v>
      </c>
      <c r="AJ710" s="11">
        <f t="shared" si="188"/>
        <v>0.20081504390212318</v>
      </c>
      <c r="AK710" s="11" t="str">
        <f t="shared" si="189"/>
        <v>March</v>
      </c>
      <c r="AL710" s="12">
        <f t="shared" si="190"/>
        <v>2025</v>
      </c>
      <c r="AM710" s="6" t="s">
        <v>54</v>
      </c>
      <c r="AN710" s="6" t="s">
        <v>55</v>
      </c>
      <c r="AO710" s="6" t="str">
        <f t="shared" si="182"/>
        <v>Completed</v>
      </c>
    </row>
    <row r="711" spans="1:41">
      <c r="A711" s="6" t="s">
        <v>3338</v>
      </c>
      <c r="B711" s="7" t="s">
        <v>215</v>
      </c>
      <c r="C711" s="8">
        <v>45676</v>
      </c>
      <c r="D711" s="7" t="s">
        <v>204</v>
      </c>
      <c r="E711" s="9">
        <v>45680</v>
      </c>
      <c r="F711" s="9" t="str">
        <f t="shared" si="175"/>
        <v>Valid</v>
      </c>
      <c r="G711" s="10">
        <f t="shared" si="176"/>
        <v>4</v>
      </c>
      <c r="H711" s="10" t="str">
        <f t="shared" si="177"/>
        <v>Valid</v>
      </c>
      <c r="I711" s="6" t="s">
        <v>3339</v>
      </c>
      <c r="J711" s="6" t="s">
        <v>386</v>
      </c>
      <c r="K711" s="6" t="s">
        <v>386</v>
      </c>
      <c r="L711" s="6" t="s">
        <v>135</v>
      </c>
      <c r="M711" s="7" t="str">
        <f t="shared" si="178"/>
        <v>Home Office</v>
      </c>
      <c r="N711" s="6" t="s">
        <v>47</v>
      </c>
      <c r="O711" s="7" t="str">
        <f t="shared" si="179"/>
        <v>North</v>
      </c>
      <c r="P711" s="6" t="s">
        <v>174</v>
      </c>
      <c r="Q711" s="6" t="s">
        <v>175</v>
      </c>
      <c r="R711" s="6" t="s">
        <v>106</v>
      </c>
      <c r="S711" s="7" t="str">
        <f t="shared" si="180"/>
        <v>Technology</v>
      </c>
      <c r="T711" s="6" t="s">
        <v>243</v>
      </c>
      <c r="U711" s="6" t="s">
        <v>3340</v>
      </c>
      <c r="V711" s="6" t="s">
        <v>68</v>
      </c>
      <c r="W711" s="7" t="str">
        <f t="shared" si="181"/>
        <v>Same Day</v>
      </c>
      <c r="X711" s="6">
        <v>7</v>
      </c>
      <c r="Y711" s="6">
        <v>1363.04</v>
      </c>
      <c r="Z711" s="6">
        <v>0.15</v>
      </c>
      <c r="AA711" s="6">
        <f t="shared" si="183"/>
        <v>0.15</v>
      </c>
      <c r="AB711" s="6" t="str">
        <f t="shared" si="184"/>
        <v>Valid</v>
      </c>
      <c r="AC711" s="6">
        <v>8110.09</v>
      </c>
      <c r="AD711" s="6" t="str">
        <f>IF(OR(AO711="Cancelled",AM711="Failed"),"Exclude from Completed Sales","Include in Completed Sales")</f>
        <v>Exclude from Completed Sales</v>
      </c>
      <c r="AE711" s="6">
        <f t="shared" si="185"/>
        <v>8110.0879999999988</v>
      </c>
      <c r="AF711" s="6" t="str">
        <f t="shared" si="186"/>
        <v/>
      </c>
      <c r="AG711" s="6">
        <v>6417.32</v>
      </c>
      <c r="AH711" s="6">
        <v>1692.77</v>
      </c>
      <c r="AI711" s="6">
        <f t="shared" si="187"/>
        <v>1692.7679999999991</v>
      </c>
      <c r="AJ711" s="11">
        <f t="shared" si="188"/>
        <v>0.2087237524426368</v>
      </c>
      <c r="AK711" s="11" t="str">
        <f t="shared" si="189"/>
        <v>January</v>
      </c>
      <c r="AL711" s="12">
        <f t="shared" si="190"/>
        <v>2025</v>
      </c>
      <c r="AM711" s="6" t="s">
        <v>54</v>
      </c>
      <c r="AN711" s="6" t="s">
        <v>98</v>
      </c>
      <c r="AO711" s="6" t="str">
        <f t="shared" si="182"/>
        <v>Cancelled</v>
      </c>
    </row>
    <row r="712" spans="1:41">
      <c r="A712" s="6" t="s">
        <v>3341</v>
      </c>
      <c r="B712" s="7" t="s">
        <v>3342</v>
      </c>
      <c r="C712" s="8">
        <v>45485</v>
      </c>
      <c r="D712" s="7" t="s">
        <v>3343</v>
      </c>
      <c r="E712" s="9">
        <v>45492</v>
      </c>
      <c r="F712" s="9" t="str">
        <f t="shared" si="175"/>
        <v>Valid</v>
      </c>
      <c r="G712" s="10">
        <f t="shared" si="176"/>
        <v>7</v>
      </c>
      <c r="H712" s="10" t="str">
        <f t="shared" si="177"/>
        <v>Valid</v>
      </c>
      <c r="I712" s="6" t="s">
        <v>3344</v>
      </c>
      <c r="J712" s="6" t="s">
        <v>103</v>
      </c>
      <c r="K712" s="6" t="s">
        <v>103</v>
      </c>
      <c r="L712" s="6" t="s">
        <v>128</v>
      </c>
      <c r="M712" s="7" t="str">
        <f t="shared" si="178"/>
        <v>Corporate</v>
      </c>
      <c r="N712" s="6" t="s">
        <v>47</v>
      </c>
      <c r="O712" s="7" t="str">
        <f t="shared" si="179"/>
        <v>North</v>
      </c>
      <c r="P712" s="6" t="s">
        <v>174</v>
      </c>
      <c r="Q712" s="6" t="s">
        <v>175</v>
      </c>
      <c r="R712" s="6" t="s">
        <v>50</v>
      </c>
      <c r="S712" s="7" t="str">
        <f t="shared" si="180"/>
        <v>Office Supplies</v>
      </c>
      <c r="T712" s="6" t="s">
        <v>74</v>
      </c>
      <c r="U712" s="6" t="s">
        <v>3345</v>
      </c>
      <c r="V712" s="6" t="s">
        <v>53</v>
      </c>
      <c r="W712" s="7" t="str">
        <f t="shared" si="181"/>
        <v>Second Class</v>
      </c>
      <c r="X712" s="6">
        <v>5</v>
      </c>
      <c r="Y712" s="6">
        <v>1559.16</v>
      </c>
      <c r="Z712" s="6">
        <v>0.05</v>
      </c>
      <c r="AA712" s="6">
        <f t="shared" si="183"/>
        <v>0.05</v>
      </c>
      <c r="AB712" s="6" t="str">
        <f t="shared" si="184"/>
        <v>Valid</v>
      </c>
      <c r="AC712" s="6">
        <v>7406.01</v>
      </c>
      <c r="AD712" s="6" t="str">
        <f>IF(OR(AO712="Cancelled",AM712="Failed"),"Exclude from Completed Sales","Include in Completed Sales")</f>
        <v>Include in Completed Sales</v>
      </c>
      <c r="AE712" s="6">
        <f t="shared" si="185"/>
        <v>7406.01</v>
      </c>
      <c r="AF712" s="6" t="str">
        <f t="shared" si="186"/>
        <v/>
      </c>
      <c r="AG712" s="6">
        <v>5941.74</v>
      </c>
      <c r="AH712" s="6">
        <v>1464.27</v>
      </c>
      <c r="AI712" s="6">
        <f t="shared" si="187"/>
        <v>1464.2700000000004</v>
      </c>
      <c r="AJ712" s="11">
        <f t="shared" si="188"/>
        <v>0.19771374869869207</v>
      </c>
      <c r="AK712" s="11" t="str">
        <f t="shared" si="189"/>
        <v>July</v>
      </c>
      <c r="AL712" s="12">
        <f t="shared" si="190"/>
        <v>2024</v>
      </c>
      <c r="AM712" s="6" t="s">
        <v>54</v>
      </c>
      <c r="AN712" s="6" t="s">
        <v>55</v>
      </c>
      <c r="AO712" s="6" t="str">
        <f t="shared" si="182"/>
        <v>Completed</v>
      </c>
    </row>
    <row r="713" spans="1:41">
      <c r="A713" s="6" t="s">
        <v>3346</v>
      </c>
      <c r="B713" s="7" t="s">
        <v>3347</v>
      </c>
      <c r="C713" s="8">
        <v>45690</v>
      </c>
      <c r="D713" s="7" t="s">
        <v>3309</v>
      </c>
      <c r="E713" s="9">
        <v>45690</v>
      </c>
      <c r="F713" s="9" t="str">
        <f t="shared" si="175"/>
        <v>Valid</v>
      </c>
      <c r="G713" s="10">
        <f t="shared" si="176"/>
        <v>0</v>
      </c>
      <c r="H713" s="10" t="str">
        <f t="shared" si="177"/>
        <v>Valid</v>
      </c>
      <c r="I713" s="6" t="s">
        <v>3348</v>
      </c>
      <c r="J713" s="6" t="s">
        <v>386</v>
      </c>
      <c r="K713" s="6" t="s">
        <v>386</v>
      </c>
      <c r="L713" s="6" t="s">
        <v>128</v>
      </c>
      <c r="M713" s="7" t="str">
        <f t="shared" si="178"/>
        <v>Corporate</v>
      </c>
      <c r="N713" s="6" t="s">
        <v>62</v>
      </c>
      <c r="O713" s="7" t="str">
        <f t="shared" si="179"/>
        <v>East</v>
      </c>
      <c r="P713" s="6" t="s">
        <v>141</v>
      </c>
      <c r="Q713" s="6" t="s">
        <v>142</v>
      </c>
      <c r="R713" s="6" t="s">
        <v>106</v>
      </c>
      <c r="S713" s="7" t="str">
        <f t="shared" si="180"/>
        <v>Technology</v>
      </c>
      <c r="T713" s="6" t="s">
        <v>402</v>
      </c>
      <c r="U713" s="6" t="s">
        <v>3349</v>
      </c>
      <c r="V713" s="6" t="s">
        <v>76</v>
      </c>
      <c r="W713" s="7" t="str">
        <f t="shared" si="181"/>
        <v>First Class</v>
      </c>
      <c r="X713" s="6">
        <v>1</v>
      </c>
      <c r="Y713" s="6">
        <v>4326.75</v>
      </c>
      <c r="Z713" s="6">
        <v>0.05</v>
      </c>
      <c r="AA713" s="6">
        <f t="shared" si="183"/>
        <v>0.05</v>
      </c>
      <c r="AB713" s="6" t="str">
        <f t="shared" si="184"/>
        <v>Valid</v>
      </c>
      <c r="AC713" s="6">
        <v>4110.41</v>
      </c>
      <c r="AD713" s="6" t="str">
        <f>IF(OR(AO713="Cancelled",AM713="Failed"),"Exclude from Completed Sales","Include in Completed Sales")</f>
        <v>Include in Completed Sales</v>
      </c>
      <c r="AE713" s="6">
        <f t="shared" si="185"/>
        <v>4110.4124999999995</v>
      </c>
      <c r="AF713" s="6" t="str">
        <f t="shared" si="186"/>
        <v/>
      </c>
      <c r="AG713" s="6">
        <v>2394.14</v>
      </c>
      <c r="AH713" s="6">
        <v>1716.27</v>
      </c>
      <c r="AI713" s="6">
        <f t="shared" si="187"/>
        <v>1716.2724999999996</v>
      </c>
      <c r="AJ713" s="11">
        <f t="shared" si="188"/>
        <v>0.41754264322619683</v>
      </c>
      <c r="AK713" s="11" t="str">
        <f t="shared" si="189"/>
        <v>February</v>
      </c>
      <c r="AL713" s="12">
        <f t="shared" si="190"/>
        <v>2025</v>
      </c>
      <c r="AM713" s="6" t="s">
        <v>157</v>
      </c>
      <c r="AN713" s="6" t="s">
        <v>145</v>
      </c>
      <c r="AO713" s="6" t="str">
        <f t="shared" si="182"/>
        <v>Returned</v>
      </c>
    </row>
    <row r="714" spans="1:41">
      <c r="A714" s="6" t="s">
        <v>3350</v>
      </c>
      <c r="B714" s="7" t="s">
        <v>2149</v>
      </c>
      <c r="C714" s="8">
        <v>45332</v>
      </c>
      <c r="D714" s="7" t="s">
        <v>3351</v>
      </c>
      <c r="E714" s="9">
        <v>45340</v>
      </c>
      <c r="F714" s="9" t="str">
        <f t="shared" si="175"/>
        <v>Valid</v>
      </c>
      <c r="G714" s="10">
        <f t="shared" si="176"/>
        <v>8</v>
      </c>
      <c r="H714" s="10" t="str">
        <f t="shared" si="177"/>
        <v>Valid</v>
      </c>
      <c r="I714" s="6" t="s">
        <v>3352</v>
      </c>
      <c r="J714" s="6" t="s">
        <v>73</v>
      </c>
      <c r="K714" s="6" t="s">
        <v>73</v>
      </c>
      <c r="L714" s="6" t="s">
        <v>135</v>
      </c>
      <c r="M714" s="7" t="str">
        <f t="shared" si="178"/>
        <v>Home Office</v>
      </c>
      <c r="N714" s="6" t="s">
        <v>93</v>
      </c>
      <c r="O714" s="7" t="str">
        <f t="shared" si="179"/>
        <v>West</v>
      </c>
      <c r="P714" s="6" t="s">
        <v>104</v>
      </c>
      <c r="Q714" s="6" t="s">
        <v>105</v>
      </c>
      <c r="R714" s="6" t="s">
        <v>65</v>
      </c>
      <c r="S714" s="7" t="str">
        <f t="shared" si="180"/>
        <v>Furniture</v>
      </c>
      <c r="T714" s="6" t="s">
        <v>96</v>
      </c>
      <c r="U714" s="6" t="s">
        <v>3353</v>
      </c>
      <c r="V714" s="6" t="s">
        <v>76</v>
      </c>
      <c r="W714" s="7" t="str">
        <f t="shared" si="181"/>
        <v>First Class</v>
      </c>
      <c r="X714" s="6">
        <v>7</v>
      </c>
      <c r="Y714" s="6">
        <v>1382.86</v>
      </c>
      <c r="Z714" s="6">
        <v>0</v>
      </c>
      <c r="AA714" s="6">
        <f t="shared" si="183"/>
        <v>0</v>
      </c>
      <c r="AB714" s="6" t="str">
        <f t="shared" si="184"/>
        <v>Valid</v>
      </c>
      <c r="AC714" s="6">
        <v>9680.02</v>
      </c>
      <c r="AD714" s="6" t="str">
        <f>IF(OR(AO714="Cancelled",AM714="Failed"),"Exclude from Completed Sales","Include in Completed Sales")</f>
        <v>Include in Completed Sales</v>
      </c>
      <c r="AE714" s="6">
        <f t="shared" si="185"/>
        <v>9680.0199999999986</v>
      </c>
      <c r="AF714" s="6" t="str">
        <f t="shared" si="186"/>
        <v/>
      </c>
      <c r="AG714" s="6">
        <v>6876.66</v>
      </c>
      <c r="AH714" s="6">
        <v>2803.36</v>
      </c>
      <c r="AI714" s="6">
        <f t="shared" si="187"/>
        <v>2803.3599999999988</v>
      </c>
      <c r="AJ714" s="11">
        <f t="shared" si="188"/>
        <v>0.28960270743242256</v>
      </c>
      <c r="AK714" s="11" t="str">
        <f t="shared" si="189"/>
        <v>February</v>
      </c>
      <c r="AL714" s="12">
        <f t="shared" si="190"/>
        <v>2024</v>
      </c>
      <c r="AM714" s="6" t="s">
        <v>54</v>
      </c>
      <c r="AN714" s="6" t="s">
        <v>55</v>
      </c>
      <c r="AO714" s="6" t="str">
        <f t="shared" si="182"/>
        <v>Completed</v>
      </c>
    </row>
    <row r="715" spans="1:41">
      <c r="A715" s="6" t="s">
        <v>3354</v>
      </c>
      <c r="B715" s="7" t="s">
        <v>3355</v>
      </c>
      <c r="C715" s="8">
        <v>45814</v>
      </c>
      <c r="D715" s="7" t="s">
        <v>3202</v>
      </c>
      <c r="E715" s="9">
        <v>45818</v>
      </c>
      <c r="F715" s="9" t="str">
        <f t="shared" si="175"/>
        <v>Valid</v>
      </c>
      <c r="G715" s="10">
        <f t="shared" si="176"/>
        <v>4</v>
      </c>
      <c r="H715" s="10" t="str">
        <f t="shared" si="177"/>
        <v>Valid</v>
      </c>
      <c r="I715" s="6" t="s">
        <v>923</v>
      </c>
      <c r="J715" s="6" t="s">
        <v>60</v>
      </c>
      <c r="K715" s="6" t="s">
        <v>60</v>
      </c>
      <c r="L715" s="6" t="s">
        <v>46</v>
      </c>
      <c r="M715" s="7" t="str">
        <f t="shared" si="178"/>
        <v>Consumer</v>
      </c>
      <c r="N715" s="6" t="s">
        <v>93</v>
      </c>
      <c r="O715" s="7" t="str">
        <f t="shared" si="179"/>
        <v>West</v>
      </c>
      <c r="P715" s="6" t="s">
        <v>48</v>
      </c>
      <c r="Q715" s="6" t="s">
        <v>155</v>
      </c>
      <c r="R715" s="6" t="s">
        <v>106</v>
      </c>
      <c r="S715" s="7" t="str">
        <f t="shared" si="180"/>
        <v>Technology</v>
      </c>
      <c r="T715" s="6" t="s">
        <v>402</v>
      </c>
      <c r="U715" s="6" t="s">
        <v>3356</v>
      </c>
      <c r="V715" s="6" t="s">
        <v>53</v>
      </c>
      <c r="W715" s="7" t="str">
        <f t="shared" si="181"/>
        <v>Second Class</v>
      </c>
      <c r="X715" s="6">
        <v>1</v>
      </c>
      <c r="Y715" s="6">
        <v>289.97000000000003</v>
      </c>
      <c r="Z715" s="6">
        <v>0.25</v>
      </c>
      <c r="AA715" s="6">
        <f t="shared" si="183"/>
        <v>0.25</v>
      </c>
      <c r="AB715" s="6" t="str">
        <f t="shared" si="184"/>
        <v>Valid</v>
      </c>
      <c r="AC715" s="6">
        <v>217.48</v>
      </c>
      <c r="AD715" s="6" t="str">
        <f>IF(OR(AO715="Cancelled",AM715="Failed"),"Exclude from Completed Sales","Include in Completed Sales")</f>
        <v>Include in Completed Sales</v>
      </c>
      <c r="AE715" s="6">
        <f t="shared" si="185"/>
        <v>217.47750000000002</v>
      </c>
      <c r="AF715" s="6" t="str">
        <f t="shared" si="186"/>
        <v/>
      </c>
      <c r="AG715" s="6">
        <v>132.13</v>
      </c>
      <c r="AH715" s="6">
        <v>85.35</v>
      </c>
      <c r="AI715" s="6">
        <f t="shared" si="187"/>
        <v>85.347500000000025</v>
      </c>
      <c r="AJ715" s="11">
        <f t="shared" si="188"/>
        <v>0.39244289639158081</v>
      </c>
      <c r="AK715" s="11" t="str">
        <f t="shared" si="189"/>
        <v>June</v>
      </c>
      <c r="AL715" s="12">
        <f t="shared" si="190"/>
        <v>2025</v>
      </c>
      <c r="AM715" s="6" t="s">
        <v>54</v>
      </c>
      <c r="AN715" s="6" t="s">
        <v>55</v>
      </c>
      <c r="AO715" s="6" t="str">
        <f t="shared" si="182"/>
        <v>Completed</v>
      </c>
    </row>
    <row r="716" spans="1:41">
      <c r="A716" s="6" t="s">
        <v>3357</v>
      </c>
      <c r="B716" s="7" t="s">
        <v>2135</v>
      </c>
      <c r="C716" s="8">
        <v>45738</v>
      </c>
      <c r="D716" s="7" t="s">
        <v>2251</v>
      </c>
      <c r="E716" s="9">
        <v>45739</v>
      </c>
      <c r="F716" s="9" t="str">
        <f t="shared" si="175"/>
        <v>Valid</v>
      </c>
      <c r="G716" s="10">
        <f t="shared" si="176"/>
        <v>1</v>
      </c>
      <c r="H716" s="10" t="str">
        <f t="shared" si="177"/>
        <v>Valid</v>
      </c>
      <c r="I716" s="6" t="s">
        <v>3358</v>
      </c>
      <c r="J716" s="6" t="s">
        <v>45</v>
      </c>
      <c r="K716" s="6" t="s">
        <v>45</v>
      </c>
      <c r="L716" s="6" t="s">
        <v>135</v>
      </c>
      <c r="M716" s="7" t="str">
        <f t="shared" si="178"/>
        <v>Home Office</v>
      </c>
      <c r="N716" s="6" t="s">
        <v>47</v>
      </c>
      <c r="O716" s="7" t="str">
        <f t="shared" si="179"/>
        <v>North</v>
      </c>
      <c r="P716" s="6" t="s">
        <v>526</v>
      </c>
      <c r="Q716" s="6" t="s">
        <v>527</v>
      </c>
      <c r="R716" s="6" t="s">
        <v>106</v>
      </c>
      <c r="S716" s="7" t="str">
        <f t="shared" si="180"/>
        <v>Technology</v>
      </c>
      <c r="T716" s="6" t="s">
        <v>114</v>
      </c>
      <c r="U716" s="6" t="s">
        <v>3359</v>
      </c>
      <c r="V716" s="6" t="s">
        <v>87</v>
      </c>
      <c r="W716" s="7" t="str">
        <f t="shared" si="181"/>
        <v>Standard Class</v>
      </c>
      <c r="X716" s="6">
        <v>9</v>
      </c>
      <c r="Y716" s="6">
        <v>2075.02</v>
      </c>
      <c r="Z716" s="6">
        <v>0</v>
      </c>
      <c r="AA716" s="6">
        <f t="shared" si="183"/>
        <v>0</v>
      </c>
      <c r="AB716" s="6" t="str">
        <f t="shared" si="184"/>
        <v>Valid</v>
      </c>
      <c r="AC716" s="6">
        <v>18675.18</v>
      </c>
      <c r="AD716" s="6" t="str">
        <f>IF(OR(AO716="Cancelled",AM716="Failed"),"Exclude from Completed Sales","Include in Completed Sales")</f>
        <v>Include in Completed Sales</v>
      </c>
      <c r="AE716" s="6">
        <f t="shared" si="185"/>
        <v>18675.18</v>
      </c>
      <c r="AF716" s="6" t="str">
        <f t="shared" si="186"/>
        <v/>
      </c>
      <c r="AG716" s="6">
        <v>13974.7</v>
      </c>
      <c r="AH716" s="6">
        <v>4700.4799999999996</v>
      </c>
      <c r="AI716" s="6">
        <f t="shared" si="187"/>
        <v>4700.4799999999996</v>
      </c>
      <c r="AJ716" s="11">
        <f t="shared" si="188"/>
        <v>0.25169663692665878</v>
      </c>
      <c r="AK716" s="11" t="str">
        <f t="shared" si="189"/>
        <v>March</v>
      </c>
      <c r="AL716" s="12">
        <f t="shared" si="190"/>
        <v>2025</v>
      </c>
      <c r="AM716" s="6" t="s">
        <v>54</v>
      </c>
      <c r="AN716" s="6" t="s">
        <v>55</v>
      </c>
      <c r="AO716" s="6" t="str">
        <f t="shared" si="182"/>
        <v>Completed</v>
      </c>
    </row>
    <row r="717" spans="1:41">
      <c r="A717" s="6" t="s">
        <v>3360</v>
      </c>
      <c r="B717" s="7" t="s">
        <v>474</v>
      </c>
      <c r="C717" s="8">
        <v>45891</v>
      </c>
      <c r="D717" s="7" t="s">
        <v>475</v>
      </c>
      <c r="E717" s="9">
        <v>45896</v>
      </c>
      <c r="F717" s="9" t="str">
        <f t="shared" si="175"/>
        <v>Valid</v>
      </c>
      <c r="G717" s="10">
        <f t="shared" si="176"/>
        <v>5</v>
      </c>
      <c r="H717" s="10" t="str">
        <f t="shared" si="177"/>
        <v>Valid</v>
      </c>
      <c r="I717" s="6" t="s">
        <v>3361</v>
      </c>
      <c r="J717" s="6" t="s">
        <v>162</v>
      </c>
      <c r="K717" s="6" t="s">
        <v>162</v>
      </c>
      <c r="L717" s="6" t="s">
        <v>46</v>
      </c>
      <c r="M717" s="7" t="str">
        <f t="shared" si="178"/>
        <v>Consumer</v>
      </c>
      <c r="N717" s="6" t="s">
        <v>47</v>
      </c>
      <c r="O717" s="7" t="str">
        <f t="shared" si="179"/>
        <v>North</v>
      </c>
      <c r="P717" s="6" t="s">
        <v>343</v>
      </c>
      <c r="Q717" s="6" t="s">
        <v>344</v>
      </c>
      <c r="R717" s="6" t="s">
        <v>65</v>
      </c>
      <c r="S717" s="7" t="str">
        <f t="shared" si="180"/>
        <v>Furniture</v>
      </c>
      <c r="T717" s="6" t="s">
        <v>96</v>
      </c>
      <c r="U717" s="6" t="s">
        <v>3362</v>
      </c>
      <c r="V717" s="6" t="s">
        <v>53</v>
      </c>
      <c r="W717" s="7" t="str">
        <f t="shared" si="181"/>
        <v>Second Class</v>
      </c>
      <c r="X717" s="6">
        <v>7</v>
      </c>
      <c r="Y717" s="6">
        <v>2843.09</v>
      </c>
      <c r="Z717" s="6">
        <v>0</v>
      </c>
      <c r="AA717" s="6">
        <f t="shared" si="183"/>
        <v>0</v>
      </c>
      <c r="AB717" s="6" t="str">
        <f t="shared" si="184"/>
        <v>Valid</v>
      </c>
      <c r="AC717" s="6">
        <v>19901.63</v>
      </c>
      <c r="AD717" s="6" t="str">
        <f>IF(OR(AO717="Cancelled",AM717="Failed"),"Exclude from Completed Sales","Include in Completed Sales")</f>
        <v>Exclude from Completed Sales</v>
      </c>
      <c r="AE717" s="6">
        <f t="shared" si="185"/>
        <v>19901.63</v>
      </c>
      <c r="AF717" s="6" t="str">
        <f t="shared" si="186"/>
        <v>Refunded</v>
      </c>
      <c r="AG717" s="6">
        <v>15492.03</v>
      </c>
      <c r="AH717" s="6">
        <v>4409.6000000000004</v>
      </c>
      <c r="AI717" s="6">
        <f t="shared" si="187"/>
        <v>4409.6000000000004</v>
      </c>
      <c r="AJ717" s="11">
        <f t="shared" si="188"/>
        <v>0.22156979101711771</v>
      </c>
      <c r="AK717" s="11" t="str">
        <f t="shared" si="189"/>
        <v>August</v>
      </c>
      <c r="AL717" s="12">
        <f t="shared" si="190"/>
        <v>2025</v>
      </c>
      <c r="AM717" s="6" t="s">
        <v>144</v>
      </c>
      <c r="AN717" s="6" t="s">
        <v>98</v>
      </c>
      <c r="AO717" s="6" t="str">
        <f t="shared" si="182"/>
        <v>Cancelled</v>
      </c>
    </row>
    <row r="718" spans="1:41">
      <c r="A718" s="6" t="s">
        <v>3363</v>
      </c>
      <c r="B718" s="7" t="s">
        <v>3364</v>
      </c>
      <c r="C718" s="8">
        <v>45895</v>
      </c>
      <c r="D718" s="7" t="s">
        <v>222</v>
      </c>
      <c r="E718" s="9">
        <v>45900</v>
      </c>
      <c r="F718" s="9" t="str">
        <f t="shared" si="175"/>
        <v>Valid</v>
      </c>
      <c r="G718" s="10">
        <f t="shared" si="176"/>
        <v>5</v>
      </c>
      <c r="H718" s="10" t="str">
        <f t="shared" si="177"/>
        <v>Valid</v>
      </c>
      <c r="I718" s="6" t="s">
        <v>3365</v>
      </c>
      <c r="J718" s="6" t="s">
        <v>230</v>
      </c>
      <c r="K718" s="6" t="s">
        <v>230</v>
      </c>
      <c r="L718" s="6" t="s">
        <v>61</v>
      </c>
      <c r="M718" s="7" t="str">
        <f t="shared" si="178"/>
        <v>Small Business</v>
      </c>
      <c r="N718" s="6" t="s">
        <v>47</v>
      </c>
      <c r="O718" s="7" t="str">
        <f t="shared" si="179"/>
        <v>North</v>
      </c>
      <c r="P718" s="6" t="s">
        <v>343</v>
      </c>
      <c r="Q718" s="6" t="s">
        <v>344</v>
      </c>
      <c r="R718" s="6" t="s">
        <v>106</v>
      </c>
      <c r="S718" s="7" t="str">
        <f t="shared" si="180"/>
        <v>Technology</v>
      </c>
      <c r="T718" s="6" t="s">
        <v>243</v>
      </c>
      <c r="U718" s="6" t="s">
        <v>3366</v>
      </c>
      <c r="V718" s="6" t="s">
        <v>76</v>
      </c>
      <c r="W718" s="7" t="str">
        <f t="shared" si="181"/>
        <v>First Class</v>
      </c>
      <c r="X718" s="6">
        <v>1</v>
      </c>
      <c r="Y718" s="6">
        <v>3388.02</v>
      </c>
      <c r="Z718" s="6">
        <v>0.15</v>
      </c>
      <c r="AA718" s="6">
        <f t="shared" si="183"/>
        <v>0.15</v>
      </c>
      <c r="AB718" s="6" t="str">
        <f t="shared" si="184"/>
        <v>Valid</v>
      </c>
      <c r="AC718" s="6">
        <v>2879.82</v>
      </c>
      <c r="AD718" s="6" t="str">
        <f>IF(OR(AO718="Cancelled",AM718="Failed"),"Exclude from Completed Sales","Include in Completed Sales")</f>
        <v>Include in Completed Sales</v>
      </c>
      <c r="AE718" s="6">
        <f t="shared" si="185"/>
        <v>2879.817</v>
      </c>
      <c r="AF718" s="6" t="str">
        <f t="shared" si="186"/>
        <v/>
      </c>
      <c r="AG718" s="6">
        <v>1824.88</v>
      </c>
      <c r="AH718" s="6">
        <v>1054.94</v>
      </c>
      <c r="AI718" s="6">
        <f t="shared" si="187"/>
        <v>1054.9369999999999</v>
      </c>
      <c r="AJ718" s="11">
        <f t="shared" si="188"/>
        <v>0.3663208460815392</v>
      </c>
      <c r="AK718" s="11" t="str">
        <f t="shared" si="189"/>
        <v>August</v>
      </c>
      <c r="AL718" s="12">
        <f t="shared" si="190"/>
        <v>2025</v>
      </c>
      <c r="AM718" s="6" t="s">
        <v>54</v>
      </c>
      <c r="AN718" s="6" t="s">
        <v>55</v>
      </c>
      <c r="AO718" s="6" t="str">
        <f t="shared" si="182"/>
        <v>Completed</v>
      </c>
    </row>
    <row r="719" spans="1:41">
      <c r="A719" s="6" t="s">
        <v>3367</v>
      </c>
      <c r="B719" s="7" t="s">
        <v>3368</v>
      </c>
      <c r="C719" s="8">
        <v>45942</v>
      </c>
      <c r="D719" s="7" t="s">
        <v>329</v>
      </c>
      <c r="E719" s="9">
        <v>45945</v>
      </c>
      <c r="F719" s="9" t="str">
        <f t="shared" si="175"/>
        <v>Valid</v>
      </c>
      <c r="G719" s="10">
        <f t="shared" si="176"/>
        <v>3</v>
      </c>
      <c r="H719" s="10" t="str">
        <f t="shared" si="177"/>
        <v>Valid</v>
      </c>
      <c r="I719" s="6" t="s">
        <v>3369</v>
      </c>
      <c r="J719" s="6" t="s">
        <v>386</v>
      </c>
      <c r="K719" s="6" t="s">
        <v>386</v>
      </c>
      <c r="L719" s="6" t="s">
        <v>61</v>
      </c>
      <c r="M719" s="7" t="str">
        <f t="shared" si="178"/>
        <v>Small Business</v>
      </c>
      <c r="N719" s="6" t="s">
        <v>47</v>
      </c>
      <c r="O719" s="7" t="str">
        <f t="shared" si="179"/>
        <v>North</v>
      </c>
      <c r="P719" s="6" t="s">
        <v>343</v>
      </c>
      <c r="Q719" s="6" t="s">
        <v>344</v>
      </c>
      <c r="R719" s="6" t="s">
        <v>106</v>
      </c>
      <c r="S719" s="7" t="str">
        <f t="shared" si="180"/>
        <v>Technology</v>
      </c>
      <c r="T719" s="6" t="s">
        <v>402</v>
      </c>
      <c r="U719" s="6" t="s">
        <v>3370</v>
      </c>
      <c r="V719" s="6" t="s">
        <v>87</v>
      </c>
      <c r="W719" s="7" t="str">
        <f t="shared" si="181"/>
        <v>Standard Class</v>
      </c>
      <c r="X719" s="6">
        <v>9</v>
      </c>
      <c r="Y719" s="6">
        <v>2598.92</v>
      </c>
      <c r="Z719" s="6">
        <v>0.2</v>
      </c>
      <c r="AA719" s="6">
        <f t="shared" si="183"/>
        <v>0.2</v>
      </c>
      <c r="AB719" s="6" t="str">
        <f t="shared" si="184"/>
        <v>Valid</v>
      </c>
      <c r="AC719" s="6">
        <v>18712.22</v>
      </c>
      <c r="AD719" s="6" t="str">
        <f>IF(OR(AO719="Cancelled",AM719="Failed"),"Exclude from Completed Sales","Include in Completed Sales")</f>
        <v>Exclude from Completed Sales</v>
      </c>
      <c r="AE719" s="6">
        <f t="shared" si="185"/>
        <v>18712.223999999998</v>
      </c>
      <c r="AF719" s="6" t="str">
        <f t="shared" si="186"/>
        <v/>
      </c>
      <c r="AG719" s="6">
        <v>11852.22</v>
      </c>
      <c r="AH719" s="6">
        <v>6860</v>
      </c>
      <c r="AI719" s="6">
        <f t="shared" si="187"/>
        <v>6860.003999999999</v>
      </c>
      <c r="AJ719" s="11">
        <f t="shared" si="188"/>
        <v>0.3666054874075898</v>
      </c>
      <c r="AK719" s="11" t="str">
        <f t="shared" si="189"/>
        <v>October</v>
      </c>
      <c r="AL719" s="12">
        <f t="shared" si="190"/>
        <v>2025</v>
      </c>
      <c r="AM719" s="6" t="s">
        <v>157</v>
      </c>
      <c r="AN719" s="6" t="s">
        <v>98</v>
      </c>
      <c r="AO719" s="6" t="str">
        <f t="shared" si="182"/>
        <v>Cancelled</v>
      </c>
    </row>
    <row r="720" spans="1:41">
      <c r="A720" s="6" t="s">
        <v>3371</v>
      </c>
      <c r="B720" s="7" t="s">
        <v>3372</v>
      </c>
      <c r="C720" s="8">
        <v>45541</v>
      </c>
      <c r="D720" s="7" t="s">
        <v>896</v>
      </c>
      <c r="E720" s="9">
        <v>45544</v>
      </c>
      <c r="F720" s="9" t="str">
        <f t="shared" si="175"/>
        <v>Valid</v>
      </c>
      <c r="G720" s="10">
        <f t="shared" si="176"/>
        <v>3</v>
      </c>
      <c r="H720" s="10" t="str">
        <f t="shared" si="177"/>
        <v>Valid</v>
      </c>
      <c r="I720" s="6" t="s">
        <v>3373</v>
      </c>
      <c r="J720" s="6" t="s">
        <v>60</v>
      </c>
      <c r="K720" s="6" t="s">
        <v>60</v>
      </c>
      <c r="L720" s="6" t="s">
        <v>46</v>
      </c>
      <c r="M720" s="7" t="str">
        <f t="shared" si="178"/>
        <v>Consumer</v>
      </c>
      <c r="N720" s="6" t="s">
        <v>93</v>
      </c>
      <c r="O720" s="7" t="str">
        <f t="shared" si="179"/>
        <v>West</v>
      </c>
      <c r="P720" s="6" t="s">
        <v>94</v>
      </c>
      <c r="Q720" s="6" t="s">
        <v>95</v>
      </c>
      <c r="R720" s="6" t="s">
        <v>50</v>
      </c>
      <c r="S720" s="7" t="str">
        <f t="shared" si="180"/>
        <v>Office Supplies</v>
      </c>
      <c r="T720" s="6" t="s">
        <v>74</v>
      </c>
      <c r="U720" s="6" t="s">
        <v>3374</v>
      </c>
      <c r="V720" s="6" t="s">
        <v>68</v>
      </c>
      <c r="W720" s="7" t="str">
        <f t="shared" si="181"/>
        <v>Same Day</v>
      </c>
      <c r="X720" s="6">
        <v>3</v>
      </c>
      <c r="Y720" s="6">
        <v>1972.27</v>
      </c>
      <c r="Z720" s="6">
        <v>0.2</v>
      </c>
      <c r="AA720" s="6">
        <f t="shared" si="183"/>
        <v>0.2</v>
      </c>
      <c r="AB720" s="6" t="str">
        <f t="shared" si="184"/>
        <v>Valid</v>
      </c>
      <c r="AC720" s="6">
        <v>4733.45</v>
      </c>
      <c r="AD720" s="6" t="str">
        <f>IF(OR(AO720="Cancelled",AM720="Failed"),"Exclude from Completed Sales","Include in Completed Sales")</f>
        <v>Include in Completed Sales</v>
      </c>
      <c r="AE720" s="6">
        <f t="shared" si="185"/>
        <v>4733.4479999999994</v>
      </c>
      <c r="AF720" s="6" t="str">
        <f t="shared" si="186"/>
        <v/>
      </c>
      <c r="AG720" s="6">
        <v>3672.32</v>
      </c>
      <c r="AH720" s="6">
        <v>1061.1300000000001</v>
      </c>
      <c r="AI720" s="6">
        <f t="shared" si="187"/>
        <v>1061.1279999999992</v>
      </c>
      <c r="AJ720" s="11">
        <f t="shared" si="188"/>
        <v>0.22417654107534282</v>
      </c>
      <c r="AK720" s="11" t="str">
        <f t="shared" si="189"/>
        <v>September</v>
      </c>
      <c r="AL720" s="12">
        <f t="shared" si="190"/>
        <v>2024</v>
      </c>
      <c r="AM720" s="6" t="s">
        <v>54</v>
      </c>
      <c r="AN720" s="6" t="s">
        <v>55</v>
      </c>
      <c r="AO720" s="6" t="str">
        <f t="shared" si="182"/>
        <v>Completed</v>
      </c>
    </row>
    <row r="721" spans="1:41">
      <c r="A721" s="6" t="s">
        <v>3375</v>
      </c>
      <c r="B721" s="7" t="s">
        <v>1744</v>
      </c>
      <c r="C721" s="8">
        <v>45908</v>
      </c>
      <c r="D721" s="7" t="s">
        <v>1745</v>
      </c>
      <c r="E721" s="9">
        <v>45909</v>
      </c>
      <c r="F721" s="9" t="str">
        <f t="shared" si="175"/>
        <v>Valid</v>
      </c>
      <c r="G721" s="10">
        <f t="shared" si="176"/>
        <v>1</v>
      </c>
      <c r="H721" s="10" t="str">
        <f t="shared" si="177"/>
        <v>Valid</v>
      </c>
      <c r="I721" s="6" t="s">
        <v>205</v>
      </c>
      <c r="J721" s="6" t="s">
        <v>386</v>
      </c>
      <c r="K721" s="6" t="s">
        <v>386</v>
      </c>
      <c r="L721" s="6" t="s">
        <v>128</v>
      </c>
      <c r="M721" s="7" t="str">
        <f t="shared" si="178"/>
        <v>Corporate</v>
      </c>
      <c r="N721" s="6" t="s">
        <v>93</v>
      </c>
      <c r="O721" s="7" t="str">
        <f t="shared" si="179"/>
        <v>West</v>
      </c>
      <c r="P721" s="6" t="s">
        <v>255</v>
      </c>
      <c r="Q721" s="6" t="s">
        <v>256</v>
      </c>
      <c r="R721" s="6" t="s">
        <v>50</v>
      </c>
      <c r="S721" s="7" t="str">
        <f t="shared" si="180"/>
        <v>Office Supplies</v>
      </c>
      <c r="T721" s="6" t="s">
        <v>74</v>
      </c>
      <c r="U721" s="6" t="s">
        <v>3376</v>
      </c>
      <c r="V721" s="6" t="s">
        <v>68</v>
      </c>
      <c r="W721" s="7" t="str">
        <f t="shared" si="181"/>
        <v>Same Day</v>
      </c>
      <c r="X721" s="6">
        <v>2</v>
      </c>
      <c r="Y721" s="6">
        <v>2372.41</v>
      </c>
      <c r="Z721" s="6">
        <v>0.2</v>
      </c>
      <c r="AA721" s="6">
        <f t="shared" si="183"/>
        <v>0.2</v>
      </c>
      <c r="AB721" s="6" t="str">
        <f t="shared" si="184"/>
        <v>Valid</v>
      </c>
      <c r="AC721" s="6">
        <v>3795.86</v>
      </c>
      <c r="AD721" s="6" t="str">
        <f>IF(OR(AO721="Cancelled",AM721="Failed"),"Exclude from Completed Sales","Include in Completed Sales")</f>
        <v>Include in Completed Sales</v>
      </c>
      <c r="AE721" s="6">
        <f t="shared" si="185"/>
        <v>3795.8559999999998</v>
      </c>
      <c r="AF721" s="6" t="str">
        <f t="shared" si="186"/>
        <v/>
      </c>
      <c r="AG721" s="6">
        <v>2264.92</v>
      </c>
      <c r="AH721" s="6">
        <v>1530.94</v>
      </c>
      <c r="AI721" s="6">
        <f t="shared" si="187"/>
        <v>1530.9359999999997</v>
      </c>
      <c r="AJ721" s="11">
        <f t="shared" si="188"/>
        <v>0.40331772332775528</v>
      </c>
      <c r="AK721" s="11" t="str">
        <f t="shared" si="189"/>
        <v>September</v>
      </c>
      <c r="AL721" s="12">
        <f t="shared" si="190"/>
        <v>2025</v>
      </c>
      <c r="AM721" s="6" t="s">
        <v>54</v>
      </c>
      <c r="AN721" s="6" t="s">
        <v>55</v>
      </c>
      <c r="AO721" s="6" t="str">
        <f t="shared" si="182"/>
        <v>Completed</v>
      </c>
    </row>
    <row r="722" spans="1:41">
      <c r="A722" s="6" t="s">
        <v>3377</v>
      </c>
      <c r="B722" s="7" t="s">
        <v>1129</v>
      </c>
      <c r="C722" s="8">
        <v>45489</v>
      </c>
      <c r="D722" s="7" t="s">
        <v>3378</v>
      </c>
      <c r="E722" s="9">
        <v>45489</v>
      </c>
      <c r="F722" s="9" t="str">
        <f t="shared" si="175"/>
        <v>Valid</v>
      </c>
      <c r="G722" s="10">
        <f t="shared" si="176"/>
        <v>0</v>
      </c>
      <c r="H722" s="10" t="str">
        <f t="shared" si="177"/>
        <v>Valid</v>
      </c>
      <c r="I722" s="6" t="s">
        <v>3379</v>
      </c>
      <c r="J722" s="6" t="s">
        <v>127</v>
      </c>
      <c r="K722" s="6" t="s">
        <v>127</v>
      </c>
      <c r="L722" s="6" t="s">
        <v>135</v>
      </c>
      <c r="M722" s="7" t="str">
        <f t="shared" si="178"/>
        <v>Home Office</v>
      </c>
      <c r="N722" s="6" t="s">
        <v>93</v>
      </c>
      <c r="O722" s="7" t="str">
        <f t="shared" si="179"/>
        <v>West</v>
      </c>
      <c r="P722" s="6" t="s">
        <v>104</v>
      </c>
      <c r="Q722" s="6" t="s">
        <v>105</v>
      </c>
      <c r="R722" s="6" t="s">
        <v>106</v>
      </c>
      <c r="S722" s="7" t="str">
        <f t="shared" si="180"/>
        <v>Technology</v>
      </c>
      <c r="T722" s="6" t="s">
        <v>114</v>
      </c>
      <c r="U722" s="6" t="s">
        <v>3380</v>
      </c>
      <c r="V722" s="6" t="s">
        <v>68</v>
      </c>
      <c r="W722" s="7" t="str">
        <f t="shared" si="181"/>
        <v>Same Day</v>
      </c>
      <c r="X722" s="6">
        <v>4</v>
      </c>
      <c r="Y722" s="6">
        <v>4479.92</v>
      </c>
      <c r="Z722" s="6">
        <v>0.15</v>
      </c>
      <c r="AA722" s="6">
        <f t="shared" si="183"/>
        <v>0.15</v>
      </c>
      <c r="AB722" s="6" t="str">
        <f t="shared" si="184"/>
        <v>Valid</v>
      </c>
      <c r="AC722" s="6">
        <v>15231.73</v>
      </c>
      <c r="AD722" s="6" t="str">
        <f>IF(OR(AO722="Cancelled",AM722="Failed"),"Exclude from Completed Sales","Include in Completed Sales")</f>
        <v>Include in Completed Sales</v>
      </c>
      <c r="AE722" s="6">
        <f t="shared" si="185"/>
        <v>15231.727999999999</v>
      </c>
      <c r="AF722" s="6" t="str">
        <f t="shared" si="186"/>
        <v/>
      </c>
      <c r="AG722" s="6">
        <v>12451.46</v>
      </c>
      <c r="AH722" s="6">
        <v>2780.27</v>
      </c>
      <c r="AI722" s="6">
        <f t="shared" si="187"/>
        <v>2780.268</v>
      </c>
      <c r="AJ722" s="11">
        <f t="shared" si="188"/>
        <v>0.1825313582280356</v>
      </c>
      <c r="AK722" s="11" t="str">
        <f t="shared" si="189"/>
        <v>July</v>
      </c>
      <c r="AL722" s="12">
        <f t="shared" si="190"/>
        <v>2024</v>
      </c>
      <c r="AM722" s="6" t="s">
        <v>54</v>
      </c>
      <c r="AN722" s="6" t="s">
        <v>55</v>
      </c>
      <c r="AO722" s="6" t="str">
        <f t="shared" si="182"/>
        <v>Completed</v>
      </c>
    </row>
    <row r="723" spans="1:41">
      <c r="A723" s="6" t="s">
        <v>3381</v>
      </c>
      <c r="B723" s="7" t="s">
        <v>274</v>
      </c>
      <c r="C723" s="8">
        <v>45827</v>
      </c>
      <c r="D723" s="7" t="s">
        <v>3382</v>
      </c>
      <c r="E723" s="9">
        <v>45831</v>
      </c>
      <c r="F723" s="9" t="str">
        <f t="shared" si="175"/>
        <v>Valid</v>
      </c>
      <c r="G723" s="10">
        <f t="shared" si="176"/>
        <v>4</v>
      </c>
      <c r="H723" s="10" t="str">
        <f t="shared" si="177"/>
        <v>Valid</v>
      </c>
      <c r="I723" s="6" t="s">
        <v>3383</v>
      </c>
      <c r="J723" s="6" t="s">
        <v>188</v>
      </c>
      <c r="K723" s="6" t="s">
        <v>188</v>
      </c>
      <c r="L723" s="6" t="s">
        <v>46</v>
      </c>
      <c r="M723" s="7" t="str">
        <f t="shared" si="178"/>
        <v>Consumer</v>
      </c>
      <c r="N723" s="6" t="s">
        <v>82</v>
      </c>
      <c r="O723" s="7" t="str">
        <f t="shared" si="179"/>
        <v>South</v>
      </c>
      <c r="P723" s="6" t="s">
        <v>249</v>
      </c>
      <c r="Q723" s="6" t="s">
        <v>250</v>
      </c>
      <c r="R723" s="6" t="s">
        <v>106</v>
      </c>
      <c r="S723" s="7" t="str">
        <f t="shared" si="180"/>
        <v>Technology</v>
      </c>
      <c r="T723" s="6" t="s">
        <v>114</v>
      </c>
      <c r="U723" s="6" t="s">
        <v>3384</v>
      </c>
      <c r="V723" s="6" t="s">
        <v>76</v>
      </c>
      <c r="W723" s="7" t="str">
        <f t="shared" si="181"/>
        <v>First Class</v>
      </c>
      <c r="X723" s="6">
        <v>5</v>
      </c>
      <c r="Y723" s="6">
        <v>2729.95</v>
      </c>
      <c r="Z723" s="6">
        <v>0</v>
      </c>
      <c r="AA723" s="6">
        <f t="shared" si="183"/>
        <v>0</v>
      </c>
      <c r="AB723" s="6" t="str">
        <f t="shared" si="184"/>
        <v>Valid</v>
      </c>
      <c r="AC723" s="6">
        <v>13649.75</v>
      </c>
      <c r="AD723" s="6" t="str">
        <f>IF(OR(AO723="Cancelled",AM723="Failed"),"Exclude from Completed Sales","Include in Completed Sales")</f>
        <v>Include in Completed Sales</v>
      </c>
      <c r="AE723" s="6">
        <f t="shared" si="185"/>
        <v>13649.75</v>
      </c>
      <c r="AF723" s="6" t="str">
        <f t="shared" si="186"/>
        <v/>
      </c>
      <c r="AG723" s="6">
        <v>10288.030000000001</v>
      </c>
      <c r="AH723" s="6">
        <v>3361.72</v>
      </c>
      <c r="AI723" s="6">
        <f t="shared" si="187"/>
        <v>3361.7199999999993</v>
      </c>
      <c r="AJ723" s="11">
        <f t="shared" si="188"/>
        <v>0.24628436418249414</v>
      </c>
      <c r="AK723" s="11" t="str">
        <f t="shared" si="189"/>
        <v>June</v>
      </c>
      <c r="AL723" s="12">
        <f t="shared" si="190"/>
        <v>2025</v>
      </c>
      <c r="AM723" s="6" t="s">
        <v>54</v>
      </c>
      <c r="AN723" s="6" t="s">
        <v>55</v>
      </c>
      <c r="AO723" s="6" t="str">
        <f t="shared" si="182"/>
        <v>Completed</v>
      </c>
    </row>
    <row r="724" spans="1:41">
      <c r="A724" s="6" t="s">
        <v>3385</v>
      </c>
      <c r="B724" s="7" t="s">
        <v>2577</v>
      </c>
      <c r="C724" s="8">
        <v>45572</v>
      </c>
      <c r="D724" s="7" t="s">
        <v>3386</v>
      </c>
      <c r="E724" s="9">
        <v>45575</v>
      </c>
      <c r="F724" s="9" t="str">
        <f t="shared" si="175"/>
        <v>Valid</v>
      </c>
      <c r="G724" s="10">
        <f t="shared" si="176"/>
        <v>3</v>
      </c>
      <c r="H724" s="10" t="str">
        <f t="shared" si="177"/>
        <v>Valid</v>
      </c>
      <c r="I724" s="6" t="s">
        <v>3387</v>
      </c>
      <c r="J724" s="6" t="s">
        <v>103</v>
      </c>
      <c r="K724" s="6" t="s">
        <v>103</v>
      </c>
      <c r="L724" s="6" t="s">
        <v>46</v>
      </c>
      <c r="M724" s="7" t="str">
        <f t="shared" si="178"/>
        <v>Consumer</v>
      </c>
      <c r="N724" s="6" t="s">
        <v>62</v>
      </c>
      <c r="O724" s="7" t="str">
        <f t="shared" si="179"/>
        <v>East</v>
      </c>
      <c r="P724" s="6" t="s">
        <v>141</v>
      </c>
      <c r="Q724" s="6" t="s">
        <v>142</v>
      </c>
      <c r="R724" s="6" t="s">
        <v>65</v>
      </c>
      <c r="S724" s="7" t="str">
        <f t="shared" si="180"/>
        <v>Furniture</v>
      </c>
      <c r="T724" s="6" t="s">
        <v>96</v>
      </c>
      <c r="U724" s="6" t="s">
        <v>3388</v>
      </c>
      <c r="V724" s="6" t="s">
        <v>53</v>
      </c>
      <c r="W724" s="7" t="str">
        <f t="shared" si="181"/>
        <v>Second Class</v>
      </c>
      <c r="X724" s="6">
        <v>9</v>
      </c>
      <c r="Y724" s="6">
        <v>481.51</v>
      </c>
      <c r="Z724" s="6"/>
      <c r="AA724" s="6">
        <f t="shared" si="183"/>
        <v>0</v>
      </c>
      <c r="AB724" s="6" t="str">
        <f t="shared" si="184"/>
        <v>Valid</v>
      </c>
      <c r="AC724" s="6">
        <v>4333.59</v>
      </c>
      <c r="AD724" s="6" t="str">
        <f>IF(OR(AO724="Cancelled",AM724="Failed"),"Exclude from Completed Sales","Include in Completed Sales")</f>
        <v>Exclude from Completed Sales</v>
      </c>
      <c r="AE724" s="6">
        <f t="shared" si="185"/>
        <v>4333.59</v>
      </c>
      <c r="AF724" s="6" t="str">
        <f t="shared" si="186"/>
        <v>Refunded</v>
      </c>
      <c r="AG724" s="6">
        <v>2533.59</v>
      </c>
      <c r="AH724" s="6">
        <v>1800</v>
      </c>
      <c r="AI724" s="6">
        <f t="shared" si="187"/>
        <v>1800</v>
      </c>
      <c r="AJ724" s="11">
        <f t="shared" si="188"/>
        <v>0.41536001329152039</v>
      </c>
      <c r="AK724" s="11" t="str">
        <f t="shared" si="189"/>
        <v>October</v>
      </c>
      <c r="AL724" s="12">
        <f t="shared" si="190"/>
        <v>2024</v>
      </c>
      <c r="AM724" s="6" t="s">
        <v>144</v>
      </c>
      <c r="AN724" s="6" t="s">
        <v>98</v>
      </c>
      <c r="AO724" s="6" t="str">
        <f t="shared" si="182"/>
        <v>Cancelled</v>
      </c>
    </row>
    <row r="725" spans="1:41">
      <c r="A725" s="6" t="s">
        <v>3389</v>
      </c>
      <c r="B725" s="7" t="s">
        <v>907</v>
      </c>
      <c r="C725" s="8">
        <v>45936</v>
      </c>
      <c r="D725" s="7" t="s">
        <v>3390</v>
      </c>
      <c r="E725" s="9">
        <v>45943</v>
      </c>
      <c r="F725" s="9" t="str">
        <f t="shared" si="175"/>
        <v>Valid</v>
      </c>
      <c r="G725" s="10">
        <f t="shared" si="176"/>
        <v>7</v>
      </c>
      <c r="H725" s="10" t="str">
        <f t="shared" si="177"/>
        <v>Valid</v>
      </c>
      <c r="I725" s="6" t="s">
        <v>3391</v>
      </c>
      <c r="J725" s="6" t="s">
        <v>386</v>
      </c>
      <c r="K725" s="6" t="s">
        <v>386</v>
      </c>
      <c r="L725" s="6" t="s">
        <v>135</v>
      </c>
      <c r="M725" s="7" t="str">
        <f t="shared" si="178"/>
        <v>Home Office</v>
      </c>
      <c r="N725" s="6" t="s">
        <v>62</v>
      </c>
      <c r="O725" s="7" t="str">
        <f t="shared" si="179"/>
        <v>East</v>
      </c>
      <c r="P725" s="6" t="s">
        <v>331</v>
      </c>
      <c r="Q725" s="6" t="s">
        <v>332</v>
      </c>
      <c r="R725" s="6" t="s">
        <v>106</v>
      </c>
      <c r="S725" s="7" t="str">
        <f t="shared" si="180"/>
        <v>Technology</v>
      </c>
      <c r="T725" s="6" t="s">
        <v>107</v>
      </c>
      <c r="U725" s="6" t="s">
        <v>3392</v>
      </c>
      <c r="V725" s="6" t="s">
        <v>87</v>
      </c>
      <c r="W725" s="7" t="str">
        <f t="shared" si="181"/>
        <v>Standard Class</v>
      </c>
      <c r="X725" s="6">
        <v>6</v>
      </c>
      <c r="Y725" s="6">
        <v>2391.9299999999998</v>
      </c>
      <c r="Z725" s="6">
        <v>0.05</v>
      </c>
      <c r="AA725" s="6">
        <f t="shared" si="183"/>
        <v>0.05</v>
      </c>
      <c r="AB725" s="6" t="str">
        <f t="shared" si="184"/>
        <v>Valid</v>
      </c>
      <c r="AC725" s="6">
        <v>13634</v>
      </c>
      <c r="AD725" s="6" t="str">
        <f>IF(OR(AO725="Cancelled",AM725="Failed"),"Exclude from Completed Sales","Include in Completed Sales")</f>
        <v>Exclude from Completed Sales</v>
      </c>
      <c r="AE725" s="6">
        <f t="shared" si="185"/>
        <v>13634.000999999998</v>
      </c>
      <c r="AF725" s="6" t="str">
        <f t="shared" si="186"/>
        <v/>
      </c>
      <c r="AG725" s="6">
        <v>9589.81</v>
      </c>
      <c r="AH725" s="6">
        <v>4044.19</v>
      </c>
      <c r="AI725" s="6">
        <f t="shared" si="187"/>
        <v>4044.1909999999989</v>
      </c>
      <c r="AJ725" s="11">
        <f t="shared" si="188"/>
        <v>0.29662539998346776</v>
      </c>
      <c r="AK725" s="11" t="str">
        <f t="shared" si="189"/>
        <v>October</v>
      </c>
      <c r="AL725" s="12">
        <f t="shared" si="190"/>
        <v>2025</v>
      </c>
      <c r="AM725" s="6" t="s">
        <v>220</v>
      </c>
      <c r="AN725" s="6" t="s">
        <v>145</v>
      </c>
      <c r="AO725" s="6" t="str">
        <f t="shared" si="182"/>
        <v>Returned</v>
      </c>
    </row>
    <row r="726" spans="1:41">
      <c r="A726" s="6" t="s">
        <v>3393</v>
      </c>
      <c r="B726" s="7" t="s">
        <v>3394</v>
      </c>
      <c r="C726" s="8">
        <v>45332</v>
      </c>
      <c r="D726" s="7" t="s">
        <v>1631</v>
      </c>
      <c r="E726" s="9">
        <v>45338</v>
      </c>
      <c r="F726" s="9" t="str">
        <f t="shared" si="175"/>
        <v>Valid</v>
      </c>
      <c r="G726" s="10">
        <f t="shared" si="176"/>
        <v>6</v>
      </c>
      <c r="H726" s="10" t="str">
        <f t="shared" si="177"/>
        <v>Valid</v>
      </c>
      <c r="I726" s="6" t="s">
        <v>3395</v>
      </c>
      <c r="J726" s="6" t="s">
        <v>45</v>
      </c>
      <c r="K726" s="6" t="s">
        <v>45</v>
      </c>
      <c r="L726" s="6" t="s">
        <v>46</v>
      </c>
      <c r="M726" s="7" t="str">
        <f t="shared" si="178"/>
        <v>Consumer</v>
      </c>
      <c r="N726" s="6" t="s">
        <v>93</v>
      </c>
      <c r="O726" s="7" t="str">
        <f t="shared" si="179"/>
        <v>West</v>
      </c>
      <c r="P726" s="6" t="s">
        <v>269</v>
      </c>
      <c r="Q726" s="6" t="s">
        <v>270</v>
      </c>
      <c r="R726" s="6" t="s">
        <v>65</v>
      </c>
      <c r="S726" s="7" t="str">
        <f t="shared" si="180"/>
        <v>Furniture</v>
      </c>
      <c r="T726" s="6" t="s">
        <v>85</v>
      </c>
      <c r="U726" s="6" t="s">
        <v>3396</v>
      </c>
      <c r="V726" s="6" t="s">
        <v>53</v>
      </c>
      <c r="W726" s="7" t="str">
        <f t="shared" si="181"/>
        <v>Second Class</v>
      </c>
      <c r="X726" s="6">
        <v>3</v>
      </c>
      <c r="Y726" s="6">
        <v>253.43</v>
      </c>
      <c r="Z726" s="6">
        <v>0</v>
      </c>
      <c r="AA726" s="6">
        <f t="shared" si="183"/>
        <v>0</v>
      </c>
      <c r="AB726" s="6" t="str">
        <f t="shared" si="184"/>
        <v>Valid</v>
      </c>
      <c r="AC726" s="6">
        <v>760.29</v>
      </c>
      <c r="AD726" s="6" t="str">
        <f>IF(OR(AO726="Cancelled",AM726="Failed"),"Exclude from Completed Sales","Include in Completed Sales")</f>
        <v>Include in Completed Sales</v>
      </c>
      <c r="AE726" s="6">
        <f t="shared" si="185"/>
        <v>760.29</v>
      </c>
      <c r="AF726" s="6" t="str">
        <f t="shared" si="186"/>
        <v/>
      </c>
      <c r="AG726" s="6">
        <v>497.77</v>
      </c>
      <c r="AH726" s="6">
        <v>262.52</v>
      </c>
      <c r="AI726" s="6">
        <f t="shared" si="187"/>
        <v>262.52</v>
      </c>
      <c r="AJ726" s="11">
        <f t="shared" si="188"/>
        <v>0.34528929750489945</v>
      </c>
      <c r="AK726" s="11" t="str">
        <f t="shared" si="189"/>
        <v>February</v>
      </c>
      <c r="AL726" s="12">
        <f t="shared" si="190"/>
        <v>2024</v>
      </c>
      <c r="AM726" s="6" t="s">
        <v>54</v>
      </c>
      <c r="AN726" s="6" t="s">
        <v>55</v>
      </c>
      <c r="AO726" s="6" t="str">
        <f t="shared" si="182"/>
        <v>Completed</v>
      </c>
    </row>
    <row r="727" spans="1:41">
      <c r="A727" s="6" t="s">
        <v>3397</v>
      </c>
      <c r="B727" s="7" t="s">
        <v>3398</v>
      </c>
      <c r="C727" s="8">
        <v>45935</v>
      </c>
      <c r="D727" s="7" t="s">
        <v>159</v>
      </c>
      <c r="E727" s="9">
        <v>45942</v>
      </c>
      <c r="F727" s="9" t="str">
        <f t="shared" si="175"/>
        <v>Valid</v>
      </c>
      <c r="G727" s="10">
        <f t="shared" si="176"/>
        <v>7</v>
      </c>
      <c r="H727" s="10" t="str">
        <f t="shared" si="177"/>
        <v>Valid</v>
      </c>
      <c r="I727" s="6" t="s">
        <v>3399</v>
      </c>
      <c r="J727" s="6" t="s">
        <v>162</v>
      </c>
      <c r="K727" s="6" t="s">
        <v>162</v>
      </c>
      <c r="L727" s="6" t="s">
        <v>128</v>
      </c>
      <c r="M727" s="7" t="str">
        <f t="shared" si="178"/>
        <v>Corporate</v>
      </c>
      <c r="N727" s="6" t="s">
        <v>82</v>
      </c>
      <c r="O727" s="7" t="str">
        <f t="shared" si="179"/>
        <v>South</v>
      </c>
      <c r="P727" s="6" t="s">
        <v>249</v>
      </c>
      <c r="Q727" s="6" t="s">
        <v>250</v>
      </c>
      <c r="R727" s="6" t="s">
        <v>65</v>
      </c>
      <c r="S727" s="7" t="str">
        <f t="shared" si="180"/>
        <v>Furniture</v>
      </c>
      <c r="T727" s="6" t="s">
        <v>66</v>
      </c>
      <c r="U727" s="6" t="s">
        <v>3400</v>
      </c>
      <c r="V727" s="6" t="s">
        <v>53</v>
      </c>
      <c r="W727" s="7" t="str">
        <f t="shared" si="181"/>
        <v>Second Class</v>
      </c>
      <c r="X727" s="6">
        <v>7</v>
      </c>
      <c r="Y727" s="6">
        <v>2134.73</v>
      </c>
      <c r="Z727" s="6">
        <v>0</v>
      </c>
      <c r="AA727" s="6">
        <f t="shared" si="183"/>
        <v>0</v>
      </c>
      <c r="AB727" s="6" t="str">
        <f t="shared" si="184"/>
        <v>Valid</v>
      </c>
      <c r="AC727" s="6">
        <v>14943.11</v>
      </c>
      <c r="AD727" s="6" t="str">
        <f>IF(OR(AO727="Cancelled",AM727="Failed"),"Exclude from Completed Sales","Include in Completed Sales")</f>
        <v>Include in Completed Sales</v>
      </c>
      <c r="AE727" s="6">
        <f t="shared" si="185"/>
        <v>14943.11</v>
      </c>
      <c r="AF727" s="6" t="str">
        <f t="shared" si="186"/>
        <v/>
      </c>
      <c r="AG727" s="6">
        <v>8521.5</v>
      </c>
      <c r="AH727" s="6">
        <v>6421.61</v>
      </c>
      <c r="AI727" s="6">
        <f t="shared" si="187"/>
        <v>6421.6100000000006</v>
      </c>
      <c r="AJ727" s="11">
        <f t="shared" si="188"/>
        <v>0.42973718322357263</v>
      </c>
      <c r="AK727" s="11" t="str">
        <f t="shared" si="189"/>
        <v>October</v>
      </c>
      <c r="AL727" s="12">
        <f t="shared" si="190"/>
        <v>2025</v>
      </c>
      <c r="AM727" s="6" t="s">
        <v>54</v>
      </c>
      <c r="AN727" s="6" t="s">
        <v>55</v>
      </c>
      <c r="AO727" s="6" t="str">
        <f t="shared" si="182"/>
        <v>Completed</v>
      </c>
    </row>
    <row r="728" spans="1:41">
      <c r="A728" s="6" t="s">
        <v>3401</v>
      </c>
      <c r="B728" s="7" t="s">
        <v>3402</v>
      </c>
      <c r="C728" s="8">
        <v>45308</v>
      </c>
      <c r="D728" s="7" t="s">
        <v>3403</v>
      </c>
      <c r="E728" s="9">
        <v>45314</v>
      </c>
      <c r="F728" s="9" t="str">
        <f t="shared" si="175"/>
        <v>Valid</v>
      </c>
      <c r="G728" s="10">
        <f t="shared" si="176"/>
        <v>6</v>
      </c>
      <c r="H728" s="10" t="str">
        <f t="shared" si="177"/>
        <v>Valid</v>
      </c>
      <c r="I728" s="6" t="s">
        <v>3404</v>
      </c>
      <c r="J728" s="6" t="s">
        <v>386</v>
      </c>
      <c r="K728" s="6" t="s">
        <v>386</v>
      </c>
      <c r="L728" s="6" t="s">
        <v>135</v>
      </c>
      <c r="M728" s="7" t="str">
        <f t="shared" si="178"/>
        <v>Home Office</v>
      </c>
      <c r="N728" s="6" t="s">
        <v>93</v>
      </c>
      <c r="O728" s="7" t="str">
        <f t="shared" si="179"/>
        <v>West</v>
      </c>
      <c r="P728" s="6" t="s">
        <v>255</v>
      </c>
      <c r="Q728" s="6" t="s">
        <v>256</v>
      </c>
      <c r="R728" s="6" t="s">
        <v>106</v>
      </c>
      <c r="S728" s="7" t="str">
        <f t="shared" si="180"/>
        <v>Technology</v>
      </c>
      <c r="T728" s="6" t="s">
        <v>243</v>
      </c>
      <c r="U728" s="6" t="s">
        <v>3405</v>
      </c>
      <c r="V728" s="6" t="s">
        <v>87</v>
      </c>
      <c r="W728" s="7" t="str">
        <f t="shared" si="181"/>
        <v>Standard Class</v>
      </c>
      <c r="X728" s="6">
        <v>5</v>
      </c>
      <c r="Y728" s="6">
        <v>2018</v>
      </c>
      <c r="Z728" s="6">
        <v>0.2</v>
      </c>
      <c r="AA728" s="6">
        <f t="shared" si="183"/>
        <v>0.2</v>
      </c>
      <c r="AB728" s="6" t="str">
        <f t="shared" si="184"/>
        <v>Valid</v>
      </c>
      <c r="AC728" s="6">
        <v>8072</v>
      </c>
      <c r="AD728" s="6" t="str">
        <f>IF(OR(AO728="Cancelled",AM728="Failed"),"Exclude from Completed Sales","Include in Completed Sales")</f>
        <v>Include in Completed Sales</v>
      </c>
      <c r="AE728" s="6">
        <f t="shared" si="185"/>
        <v>8072</v>
      </c>
      <c r="AF728" s="6" t="str">
        <f t="shared" si="186"/>
        <v/>
      </c>
      <c r="AG728" s="6">
        <v>5379.22</v>
      </c>
      <c r="AH728" s="6">
        <v>2692.78</v>
      </c>
      <c r="AI728" s="6">
        <f t="shared" si="187"/>
        <v>2692.7799999999997</v>
      </c>
      <c r="AJ728" s="11">
        <f t="shared" si="188"/>
        <v>0.33359514370664023</v>
      </c>
      <c r="AK728" s="11" t="str">
        <f t="shared" si="189"/>
        <v>January</v>
      </c>
      <c r="AL728" s="12">
        <f t="shared" si="190"/>
        <v>2024</v>
      </c>
      <c r="AM728" s="6" t="s">
        <v>157</v>
      </c>
      <c r="AN728" s="6" t="s">
        <v>145</v>
      </c>
      <c r="AO728" s="6" t="str">
        <f t="shared" si="182"/>
        <v>Returned</v>
      </c>
    </row>
    <row r="729" spans="1:41">
      <c r="A729" s="6" t="s">
        <v>3406</v>
      </c>
      <c r="B729" s="7" t="s">
        <v>3407</v>
      </c>
      <c r="C729" s="8">
        <v>45578</v>
      </c>
      <c r="D729" s="7" t="s">
        <v>3407</v>
      </c>
      <c r="E729" s="9">
        <v>45578</v>
      </c>
      <c r="F729" s="9" t="str">
        <f t="shared" si="175"/>
        <v>Valid</v>
      </c>
      <c r="G729" s="10">
        <f t="shared" si="176"/>
        <v>0</v>
      </c>
      <c r="H729" s="10" t="str">
        <f t="shared" si="177"/>
        <v>Valid</v>
      </c>
      <c r="I729" s="6" t="s">
        <v>3408</v>
      </c>
      <c r="J729" s="6" t="s">
        <v>182</v>
      </c>
      <c r="K729" s="6" t="s">
        <v>182</v>
      </c>
      <c r="L729" s="6" t="s">
        <v>61</v>
      </c>
      <c r="M729" s="7" t="str">
        <f t="shared" si="178"/>
        <v>Small Business</v>
      </c>
      <c r="N729" s="6" t="s">
        <v>62</v>
      </c>
      <c r="O729" s="7" t="str">
        <f t="shared" si="179"/>
        <v>East</v>
      </c>
      <c r="P729" s="6" t="s">
        <v>236</v>
      </c>
      <c r="Q729" s="6" t="s">
        <v>237</v>
      </c>
      <c r="R729" s="6" t="s">
        <v>106</v>
      </c>
      <c r="S729" s="7" t="str">
        <f t="shared" si="180"/>
        <v>Technology</v>
      </c>
      <c r="T729" s="6" t="s">
        <v>107</v>
      </c>
      <c r="U729" s="6" t="s">
        <v>3409</v>
      </c>
      <c r="V729" s="6" t="s">
        <v>53</v>
      </c>
      <c r="W729" s="7" t="str">
        <f t="shared" si="181"/>
        <v>Second Class</v>
      </c>
      <c r="X729" s="6">
        <v>8</v>
      </c>
      <c r="Y729" s="6">
        <v>3730.66</v>
      </c>
      <c r="Z729" s="6">
        <v>0.05</v>
      </c>
      <c r="AA729" s="6">
        <f t="shared" si="183"/>
        <v>0.05</v>
      </c>
      <c r="AB729" s="6" t="str">
        <f t="shared" si="184"/>
        <v>Valid</v>
      </c>
      <c r="AC729" s="6">
        <v>28353.02</v>
      </c>
      <c r="AD729" s="6" t="str">
        <f>IF(OR(AO729="Cancelled",AM729="Failed"),"Exclude from Completed Sales","Include in Completed Sales")</f>
        <v>Include in Completed Sales</v>
      </c>
      <c r="AE729" s="6">
        <f t="shared" si="185"/>
        <v>28353.015999999996</v>
      </c>
      <c r="AF729" s="6" t="str">
        <f t="shared" si="186"/>
        <v/>
      </c>
      <c r="AG729" s="6">
        <v>19257.849999999999</v>
      </c>
      <c r="AH729" s="6">
        <v>9095.17</v>
      </c>
      <c r="AI729" s="6">
        <f t="shared" si="187"/>
        <v>9095.1659999999974</v>
      </c>
      <c r="AJ729" s="11">
        <f t="shared" si="188"/>
        <v>0.3207830165228277</v>
      </c>
      <c r="AK729" s="11" t="str">
        <f t="shared" si="189"/>
        <v>October</v>
      </c>
      <c r="AL729" s="12">
        <f t="shared" si="190"/>
        <v>2024</v>
      </c>
      <c r="AM729" s="6" t="s">
        <v>54</v>
      </c>
      <c r="AN729" s="6" t="s">
        <v>55</v>
      </c>
      <c r="AO729" s="6" t="str">
        <f t="shared" si="182"/>
        <v>Completed</v>
      </c>
    </row>
    <row r="730" spans="1:41">
      <c r="A730" s="6" t="s">
        <v>3410</v>
      </c>
      <c r="B730" s="7" t="s">
        <v>3072</v>
      </c>
      <c r="C730" s="8">
        <v>45295</v>
      </c>
      <c r="D730" s="7" t="s">
        <v>1782</v>
      </c>
      <c r="E730" s="9">
        <v>45298</v>
      </c>
      <c r="F730" s="9" t="str">
        <f t="shared" si="175"/>
        <v>Valid</v>
      </c>
      <c r="G730" s="10">
        <f t="shared" si="176"/>
        <v>3</v>
      </c>
      <c r="H730" s="10" t="str">
        <f t="shared" si="177"/>
        <v>Valid</v>
      </c>
      <c r="I730" s="6" t="s">
        <v>3411</v>
      </c>
      <c r="J730" s="6" t="s">
        <v>188</v>
      </c>
      <c r="K730" s="6" t="s">
        <v>188</v>
      </c>
      <c r="L730" s="6" t="s">
        <v>61</v>
      </c>
      <c r="M730" s="7" t="str">
        <f t="shared" si="178"/>
        <v>Small Business</v>
      </c>
      <c r="N730" s="6" t="s">
        <v>82</v>
      </c>
      <c r="O730" s="7" t="str">
        <f t="shared" si="179"/>
        <v>South</v>
      </c>
      <c r="P730" s="6" t="s">
        <v>249</v>
      </c>
      <c r="Q730" s="6" t="s">
        <v>250</v>
      </c>
      <c r="R730" s="6" t="s">
        <v>106</v>
      </c>
      <c r="S730" s="7" t="str">
        <f t="shared" si="180"/>
        <v>Technology</v>
      </c>
      <c r="T730" s="6" t="s">
        <v>402</v>
      </c>
      <c r="U730" s="6" t="s">
        <v>3412</v>
      </c>
      <c r="V730" s="6" t="s">
        <v>76</v>
      </c>
      <c r="W730" s="7" t="str">
        <f t="shared" si="181"/>
        <v>First Class</v>
      </c>
      <c r="X730" s="6">
        <v>1</v>
      </c>
      <c r="Y730" s="6">
        <v>2363.02</v>
      </c>
      <c r="Z730" s="6">
        <v>0.15</v>
      </c>
      <c r="AA730" s="6">
        <f t="shared" si="183"/>
        <v>0.15</v>
      </c>
      <c r="AB730" s="6" t="str">
        <f t="shared" si="184"/>
        <v>Valid</v>
      </c>
      <c r="AC730" s="6">
        <v>2008.57</v>
      </c>
      <c r="AD730" s="6" t="str">
        <f>IF(OR(AO730="Cancelled",AM730="Failed"),"Exclude from Completed Sales","Include in Completed Sales")</f>
        <v>Include in Completed Sales</v>
      </c>
      <c r="AE730" s="6">
        <f t="shared" si="185"/>
        <v>2008.567</v>
      </c>
      <c r="AF730" s="6" t="str">
        <f t="shared" si="186"/>
        <v/>
      </c>
      <c r="AG730" s="6">
        <v>1194.83</v>
      </c>
      <c r="AH730" s="6">
        <v>813.74</v>
      </c>
      <c r="AI730" s="6">
        <f t="shared" si="187"/>
        <v>813.73700000000008</v>
      </c>
      <c r="AJ730" s="11">
        <f t="shared" si="188"/>
        <v>0.40513311231340554</v>
      </c>
      <c r="AK730" s="11" t="str">
        <f t="shared" si="189"/>
        <v>January</v>
      </c>
      <c r="AL730" s="12">
        <f t="shared" si="190"/>
        <v>2024</v>
      </c>
      <c r="AM730" s="6" t="s">
        <v>54</v>
      </c>
      <c r="AN730" s="6" t="s">
        <v>55</v>
      </c>
      <c r="AO730" s="6" t="str">
        <f t="shared" si="182"/>
        <v>Completed</v>
      </c>
    </row>
    <row r="731" spans="1:41">
      <c r="A731" s="6" t="s">
        <v>3413</v>
      </c>
      <c r="B731" s="7" t="s">
        <v>3414</v>
      </c>
      <c r="C731" s="8">
        <v>45794</v>
      </c>
      <c r="D731" s="7" t="s">
        <v>3415</v>
      </c>
      <c r="E731" s="9">
        <v>45802</v>
      </c>
      <c r="F731" s="9" t="str">
        <f t="shared" si="175"/>
        <v>Valid</v>
      </c>
      <c r="G731" s="10">
        <f t="shared" si="176"/>
        <v>8</v>
      </c>
      <c r="H731" s="10" t="str">
        <f t="shared" si="177"/>
        <v>Valid</v>
      </c>
      <c r="I731" s="6" t="s">
        <v>3416</v>
      </c>
      <c r="J731" s="6" t="s">
        <v>92</v>
      </c>
      <c r="K731" s="6" t="s">
        <v>92</v>
      </c>
      <c r="L731" s="6" t="s">
        <v>128</v>
      </c>
      <c r="M731" s="7" t="str">
        <f t="shared" si="178"/>
        <v>Corporate</v>
      </c>
      <c r="N731" s="6" t="s">
        <v>82</v>
      </c>
      <c r="O731" s="7" t="str">
        <f t="shared" si="179"/>
        <v>South</v>
      </c>
      <c r="P731" s="6" t="s">
        <v>359</v>
      </c>
      <c r="Q731" s="6" t="s">
        <v>360</v>
      </c>
      <c r="R731" s="6" t="s">
        <v>106</v>
      </c>
      <c r="S731" s="7" t="str">
        <f t="shared" si="180"/>
        <v>Technology</v>
      </c>
      <c r="T731" s="6" t="s">
        <v>402</v>
      </c>
      <c r="U731" s="6" t="s">
        <v>3417</v>
      </c>
      <c r="V731" s="6" t="s">
        <v>68</v>
      </c>
      <c r="W731" s="7" t="str">
        <f t="shared" si="181"/>
        <v>Same Day</v>
      </c>
      <c r="X731" s="6">
        <v>6</v>
      </c>
      <c r="Y731" s="6">
        <v>1810.63</v>
      </c>
      <c r="Z731" s="6">
        <v>0.15</v>
      </c>
      <c r="AA731" s="6">
        <f t="shared" si="183"/>
        <v>0.15</v>
      </c>
      <c r="AB731" s="6" t="str">
        <f t="shared" si="184"/>
        <v>Valid</v>
      </c>
      <c r="AC731" s="6">
        <v>9234.2099999999991</v>
      </c>
      <c r="AD731" s="6" t="str">
        <f>IF(OR(AO731="Cancelled",AM731="Failed"),"Exclude from Completed Sales","Include in Completed Sales")</f>
        <v>Include in Completed Sales</v>
      </c>
      <c r="AE731" s="6">
        <f t="shared" si="185"/>
        <v>9234.2129999999997</v>
      </c>
      <c r="AF731" s="6" t="str">
        <f t="shared" si="186"/>
        <v/>
      </c>
      <c r="AG731" s="6">
        <v>5516.52</v>
      </c>
      <c r="AH731" s="6">
        <v>3717.69</v>
      </c>
      <c r="AI731" s="6">
        <f t="shared" si="187"/>
        <v>3717.6929999999993</v>
      </c>
      <c r="AJ731" s="11">
        <f t="shared" si="188"/>
        <v>0.40259987505161504</v>
      </c>
      <c r="AK731" s="11" t="str">
        <f t="shared" si="189"/>
        <v>May</v>
      </c>
      <c r="AL731" s="12">
        <f t="shared" si="190"/>
        <v>2025</v>
      </c>
      <c r="AM731" s="6" t="s">
        <v>54</v>
      </c>
      <c r="AN731" s="6" t="s">
        <v>55</v>
      </c>
      <c r="AO731" s="6" t="str">
        <f t="shared" si="182"/>
        <v>Completed</v>
      </c>
    </row>
    <row r="732" spans="1:41">
      <c r="A732" s="6" t="s">
        <v>3418</v>
      </c>
      <c r="B732" s="7" t="s">
        <v>3419</v>
      </c>
      <c r="C732" s="8">
        <v>45827</v>
      </c>
      <c r="D732" s="7" t="s">
        <v>3330</v>
      </c>
      <c r="E732" s="9">
        <v>45832</v>
      </c>
      <c r="F732" s="9" t="str">
        <f t="shared" si="175"/>
        <v>Valid</v>
      </c>
      <c r="G732" s="10">
        <f t="shared" si="176"/>
        <v>5</v>
      </c>
      <c r="H732" s="10" t="str">
        <f t="shared" si="177"/>
        <v>Valid</v>
      </c>
      <c r="I732" s="6" t="s">
        <v>3420</v>
      </c>
      <c r="J732" s="6" t="s">
        <v>81</v>
      </c>
      <c r="K732" s="6" t="s">
        <v>81</v>
      </c>
      <c r="L732" s="6" t="s">
        <v>46</v>
      </c>
      <c r="M732" s="7" t="str">
        <f t="shared" si="178"/>
        <v>Consumer</v>
      </c>
      <c r="N732" s="6" t="s">
        <v>62</v>
      </c>
      <c r="O732" s="7" t="str">
        <f t="shared" si="179"/>
        <v>East</v>
      </c>
      <c r="P732" s="6" t="s">
        <v>141</v>
      </c>
      <c r="Q732" s="6" t="s">
        <v>142</v>
      </c>
      <c r="R732" s="6" t="s">
        <v>50</v>
      </c>
      <c r="S732" s="7" t="str">
        <f t="shared" si="180"/>
        <v>Office Supplies</v>
      </c>
      <c r="T732" s="6" t="s">
        <v>74</v>
      </c>
      <c r="U732" s="6" t="s">
        <v>3421</v>
      </c>
      <c r="V732" s="6" t="s">
        <v>53</v>
      </c>
      <c r="W732" s="7" t="str">
        <f t="shared" si="181"/>
        <v>Second Class</v>
      </c>
      <c r="X732" s="6">
        <v>4</v>
      </c>
      <c r="Y732" s="6">
        <v>782.01</v>
      </c>
      <c r="Z732" s="6">
        <v>0.15</v>
      </c>
      <c r="AA732" s="6">
        <f t="shared" si="183"/>
        <v>0.15</v>
      </c>
      <c r="AB732" s="6" t="str">
        <f t="shared" si="184"/>
        <v>Valid</v>
      </c>
      <c r="AC732" s="6">
        <v>2658.83</v>
      </c>
      <c r="AD732" s="6" t="str">
        <f>IF(OR(AO732="Cancelled",AM732="Failed"),"Exclude from Completed Sales","Include in Completed Sales")</f>
        <v>Include in Completed Sales</v>
      </c>
      <c r="AE732" s="6">
        <f t="shared" si="185"/>
        <v>2658.8339999999998</v>
      </c>
      <c r="AF732" s="6" t="str">
        <f t="shared" si="186"/>
        <v>Refunded</v>
      </c>
      <c r="AG732" s="6">
        <v>2226.9699999999998</v>
      </c>
      <c r="AH732" s="6">
        <v>431.86</v>
      </c>
      <c r="AI732" s="6">
        <f t="shared" si="187"/>
        <v>431.86400000000003</v>
      </c>
      <c r="AJ732" s="11">
        <f t="shared" si="188"/>
        <v>0.16242608602116568</v>
      </c>
      <c r="AK732" s="11" t="str">
        <f t="shared" si="189"/>
        <v>June</v>
      </c>
      <c r="AL732" s="12">
        <f t="shared" si="190"/>
        <v>2025</v>
      </c>
      <c r="AM732" s="6" t="s">
        <v>144</v>
      </c>
      <c r="AN732" s="6" t="s">
        <v>145</v>
      </c>
      <c r="AO732" s="6" t="str">
        <f t="shared" si="182"/>
        <v>Returned</v>
      </c>
    </row>
    <row r="733" spans="1:41">
      <c r="A733" s="6" t="s">
        <v>3422</v>
      </c>
      <c r="B733" s="7" t="s">
        <v>3423</v>
      </c>
      <c r="C733" s="8">
        <v>45368</v>
      </c>
      <c r="D733" s="7" t="s">
        <v>3424</v>
      </c>
      <c r="E733" s="9">
        <v>45370</v>
      </c>
      <c r="F733" s="9" t="str">
        <f t="shared" si="175"/>
        <v>Valid</v>
      </c>
      <c r="G733" s="10">
        <f t="shared" si="176"/>
        <v>2</v>
      </c>
      <c r="H733" s="10" t="str">
        <f t="shared" si="177"/>
        <v>Valid</v>
      </c>
      <c r="I733" s="6" t="s">
        <v>3425</v>
      </c>
      <c r="J733" s="6" t="s">
        <v>92</v>
      </c>
      <c r="K733" s="6" t="s">
        <v>92</v>
      </c>
      <c r="L733" s="6" t="s">
        <v>128</v>
      </c>
      <c r="M733" s="7" t="str">
        <f t="shared" si="178"/>
        <v>Corporate</v>
      </c>
      <c r="N733" s="6" t="s">
        <v>62</v>
      </c>
      <c r="O733" s="7" t="str">
        <f t="shared" si="179"/>
        <v>East</v>
      </c>
      <c r="P733" s="6" t="s">
        <v>63</v>
      </c>
      <c r="Q733" s="6" t="s">
        <v>64</v>
      </c>
      <c r="R733" s="6" t="s">
        <v>50</v>
      </c>
      <c r="S733" s="7" t="str">
        <f t="shared" si="180"/>
        <v>Office Supplies</v>
      </c>
      <c r="T733" s="6" t="s">
        <v>218</v>
      </c>
      <c r="U733" s="6" t="s">
        <v>3426</v>
      </c>
      <c r="V733" s="6" t="s">
        <v>76</v>
      </c>
      <c r="W733" s="7" t="str">
        <f t="shared" si="181"/>
        <v>First Class</v>
      </c>
      <c r="X733" s="6">
        <v>4</v>
      </c>
      <c r="Y733" s="6">
        <v>4376.68</v>
      </c>
      <c r="Z733" s="6">
        <v>0.1</v>
      </c>
      <c r="AA733" s="6">
        <f t="shared" si="183"/>
        <v>0.1</v>
      </c>
      <c r="AB733" s="6" t="str">
        <f t="shared" si="184"/>
        <v>Valid</v>
      </c>
      <c r="AC733" s="6">
        <v>15756.05</v>
      </c>
      <c r="AD733" s="6" t="str">
        <f>IF(OR(AO733="Cancelled",AM733="Failed"),"Exclude from Completed Sales","Include in Completed Sales")</f>
        <v>Include in Completed Sales</v>
      </c>
      <c r="AE733" s="6">
        <f t="shared" si="185"/>
        <v>15756.048000000001</v>
      </c>
      <c r="AF733" s="6" t="str">
        <f t="shared" si="186"/>
        <v/>
      </c>
      <c r="AG733" s="6">
        <v>10245.44</v>
      </c>
      <c r="AH733" s="6">
        <v>5510.61</v>
      </c>
      <c r="AI733" s="6">
        <f t="shared" si="187"/>
        <v>5510.6080000000002</v>
      </c>
      <c r="AJ733" s="11">
        <f t="shared" si="188"/>
        <v>0.3497455707167178</v>
      </c>
      <c r="AK733" s="11" t="str">
        <f t="shared" si="189"/>
        <v>March</v>
      </c>
      <c r="AL733" s="12">
        <f t="shared" si="190"/>
        <v>2024</v>
      </c>
      <c r="AM733" s="6" t="s">
        <v>54</v>
      </c>
      <c r="AN733" s="6" t="s">
        <v>55</v>
      </c>
      <c r="AO733" s="6" t="str">
        <f t="shared" si="182"/>
        <v>Completed</v>
      </c>
    </row>
    <row r="734" spans="1:41">
      <c r="A734" s="6" t="s">
        <v>3427</v>
      </c>
      <c r="B734" s="7" t="s">
        <v>3428</v>
      </c>
      <c r="C734" s="8">
        <v>45624</v>
      </c>
      <c r="D734" s="7" t="s">
        <v>2841</v>
      </c>
      <c r="E734" s="9">
        <v>45632</v>
      </c>
      <c r="F734" s="9" t="str">
        <f t="shared" si="175"/>
        <v>Valid</v>
      </c>
      <c r="G734" s="10">
        <f t="shared" si="176"/>
        <v>8</v>
      </c>
      <c r="H734" s="10" t="str">
        <f t="shared" si="177"/>
        <v>Valid</v>
      </c>
      <c r="I734" s="6" t="s">
        <v>3429</v>
      </c>
      <c r="J734" s="6" t="s">
        <v>81</v>
      </c>
      <c r="K734" s="6" t="s">
        <v>81</v>
      </c>
      <c r="L734" s="6" t="s">
        <v>61</v>
      </c>
      <c r="M734" s="7" t="str">
        <f t="shared" si="178"/>
        <v>Small Business</v>
      </c>
      <c r="N734" s="6" t="s">
        <v>47</v>
      </c>
      <c r="O734" s="7" t="str">
        <f t="shared" si="179"/>
        <v>North</v>
      </c>
      <c r="P734" s="6" t="s">
        <v>174</v>
      </c>
      <c r="Q734" s="6" t="s">
        <v>175</v>
      </c>
      <c r="R734" s="6" t="s">
        <v>106</v>
      </c>
      <c r="S734" s="7" t="str">
        <f t="shared" si="180"/>
        <v>Technology</v>
      </c>
      <c r="T734" s="6" t="s">
        <v>243</v>
      </c>
      <c r="U734" s="6" t="s">
        <v>3430</v>
      </c>
      <c r="V734" s="6" t="s">
        <v>87</v>
      </c>
      <c r="W734" s="7" t="str">
        <f t="shared" si="181"/>
        <v>Standard Class</v>
      </c>
      <c r="X734" s="6">
        <v>6</v>
      </c>
      <c r="Y734" s="6">
        <v>2464.63</v>
      </c>
      <c r="Z734" s="6">
        <v>0</v>
      </c>
      <c r="AA734" s="6">
        <f t="shared" si="183"/>
        <v>0</v>
      </c>
      <c r="AB734" s="6" t="str">
        <f t="shared" si="184"/>
        <v>Valid</v>
      </c>
      <c r="AC734" s="6">
        <v>14787.78</v>
      </c>
      <c r="AD734" s="6" t="str">
        <f>IF(OR(AO734="Cancelled",AM734="Failed"),"Exclude from Completed Sales","Include in Completed Sales")</f>
        <v>Include in Completed Sales</v>
      </c>
      <c r="AE734" s="6">
        <f t="shared" si="185"/>
        <v>14787.78</v>
      </c>
      <c r="AF734" s="6" t="str">
        <f t="shared" si="186"/>
        <v/>
      </c>
      <c r="AG734" s="6">
        <v>8596.65</v>
      </c>
      <c r="AH734" s="6">
        <v>6191.13</v>
      </c>
      <c r="AI734" s="6">
        <f t="shared" si="187"/>
        <v>6191.130000000001</v>
      </c>
      <c r="AJ734" s="11">
        <f t="shared" si="188"/>
        <v>0.41866527632950995</v>
      </c>
      <c r="AK734" s="11" t="str">
        <f t="shared" si="189"/>
        <v>November</v>
      </c>
      <c r="AL734" s="12">
        <f t="shared" si="190"/>
        <v>2024</v>
      </c>
      <c r="AM734" s="6" t="s">
        <v>54</v>
      </c>
      <c r="AN734" s="6" t="s">
        <v>55</v>
      </c>
      <c r="AO734" s="6" t="str">
        <f t="shared" si="182"/>
        <v>Completed</v>
      </c>
    </row>
    <row r="735" spans="1:41">
      <c r="A735" s="6" t="s">
        <v>3431</v>
      </c>
      <c r="B735" s="7" t="s">
        <v>1852</v>
      </c>
      <c r="C735" s="8">
        <v>45464</v>
      </c>
      <c r="D735" s="7" t="s">
        <v>3432</v>
      </c>
      <c r="E735" s="9">
        <v>45471</v>
      </c>
      <c r="F735" s="9" t="str">
        <f t="shared" si="175"/>
        <v>Valid</v>
      </c>
      <c r="G735" s="10">
        <f t="shared" si="176"/>
        <v>7</v>
      </c>
      <c r="H735" s="10" t="str">
        <f t="shared" si="177"/>
        <v>Valid</v>
      </c>
      <c r="I735" s="6" t="s">
        <v>3433</v>
      </c>
      <c r="J735" s="6" t="s">
        <v>182</v>
      </c>
      <c r="K735" s="6" t="s">
        <v>182</v>
      </c>
      <c r="L735" s="6" t="s">
        <v>135</v>
      </c>
      <c r="M735" s="7" t="str">
        <f t="shared" si="178"/>
        <v>Home Office</v>
      </c>
      <c r="N735" s="6" t="s">
        <v>47</v>
      </c>
      <c r="O735" s="7" t="str">
        <f t="shared" si="179"/>
        <v>North</v>
      </c>
      <c r="P735" s="6" t="s">
        <v>48</v>
      </c>
      <c r="Q735" s="6" t="s">
        <v>49</v>
      </c>
      <c r="R735" s="6" t="s">
        <v>65</v>
      </c>
      <c r="S735" s="7" t="str">
        <f t="shared" si="180"/>
        <v>Furniture</v>
      </c>
      <c r="T735" s="6" t="s">
        <v>85</v>
      </c>
      <c r="U735" s="6" t="s">
        <v>3434</v>
      </c>
      <c r="V735" s="6" t="s">
        <v>76</v>
      </c>
      <c r="W735" s="7" t="str">
        <f t="shared" si="181"/>
        <v>First Class</v>
      </c>
      <c r="X735" s="6">
        <v>9</v>
      </c>
      <c r="Y735" s="6">
        <v>2797.96</v>
      </c>
      <c r="Z735" s="6">
        <v>0</v>
      </c>
      <c r="AA735" s="6">
        <f t="shared" si="183"/>
        <v>0</v>
      </c>
      <c r="AB735" s="6" t="str">
        <f t="shared" si="184"/>
        <v>Valid</v>
      </c>
      <c r="AC735" s="6">
        <v>25181.64</v>
      </c>
      <c r="AD735" s="6" t="str">
        <f>IF(OR(AO735="Cancelled",AM735="Failed"),"Exclude from Completed Sales","Include in Completed Sales")</f>
        <v>Include in Completed Sales</v>
      </c>
      <c r="AE735" s="6">
        <f t="shared" si="185"/>
        <v>25181.64</v>
      </c>
      <c r="AF735" s="6" t="str">
        <f t="shared" si="186"/>
        <v/>
      </c>
      <c r="AG735" s="6">
        <v>15337.9</v>
      </c>
      <c r="AH735" s="6">
        <v>9843.74</v>
      </c>
      <c r="AI735" s="6">
        <f t="shared" si="187"/>
        <v>9843.74</v>
      </c>
      <c r="AJ735" s="11">
        <f t="shared" si="188"/>
        <v>0.39090940860086953</v>
      </c>
      <c r="AK735" s="11" t="str">
        <f t="shared" si="189"/>
        <v>June</v>
      </c>
      <c r="AL735" s="12">
        <f t="shared" si="190"/>
        <v>2024</v>
      </c>
      <c r="AM735" s="6" t="s">
        <v>54</v>
      </c>
      <c r="AN735" s="6" t="s">
        <v>55</v>
      </c>
      <c r="AO735" s="6" t="str">
        <f t="shared" si="182"/>
        <v>Completed</v>
      </c>
    </row>
    <row r="736" spans="1:41">
      <c r="A736" s="6" t="s">
        <v>3435</v>
      </c>
      <c r="B736" s="7" t="s">
        <v>3436</v>
      </c>
      <c r="C736" s="8">
        <v>45528</v>
      </c>
      <c r="D736" s="7" t="s">
        <v>3436</v>
      </c>
      <c r="E736" s="9">
        <v>45528</v>
      </c>
      <c r="F736" s="9" t="str">
        <f t="shared" si="175"/>
        <v>Valid</v>
      </c>
      <c r="G736" s="10">
        <f t="shared" si="176"/>
        <v>0</v>
      </c>
      <c r="H736" s="10" t="str">
        <f t="shared" si="177"/>
        <v>Valid</v>
      </c>
      <c r="I736" s="6" t="s">
        <v>3437</v>
      </c>
      <c r="J736" s="6" t="s">
        <v>92</v>
      </c>
      <c r="K736" s="6" t="s">
        <v>92</v>
      </c>
      <c r="L736" s="6" t="s">
        <v>61</v>
      </c>
      <c r="M736" s="7" t="str">
        <f t="shared" si="178"/>
        <v>Small Business</v>
      </c>
      <c r="N736" s="6" t="s">
        <v>47</v>
      </c>
      <c r="O736" s="7" t="str">
        <f t="shared" si="179"/>
        <v>North</v>
      </c>
      <c r="P736" s="6" t="s">
        <v>48</v>
      </c>
      <c r="Q736" s="6" t="s">
        <v>49</v>
      </c>
      <c r="R736" s="6" t="s">
        <v>106</v>
      </c>
      <c r="S736" s="7" t="str">
        <f t="shared" si="180"/>
        <v>Technology</v>
      </c>
      <c r="T736" s="6" t="s">
        <v>107</v>
      </c>
      <c r="U736" s="6" t="s">
        <v>3438</v>
      </c>
      <c r="V736" s="6" t="s">
        <v>76</v>
      </c>
      <c r="W736" s="7" t="str">
        <f t="shared" si="181"/>
        <v>First Class</v>
      </c>
      <c r="X736" s="6">
        <v>4</v>
      </c>
      <c r="Y736" s="6">
        <v>2761.86</v>
      </c>
      <c r="Z736" s="6">
        <v>0.2</v>
      </c>
      <c r="AA736" s="6">
        <f t="shared" si="183"/>
        <v>0.2</v>
      </c>
      <c r="AB736" s="6" t="str">
        <f t="shared" si="184"/>
        <v>Valid</v>
      </c>
      <c r="AC736" s="6">
        <v>8837.9500000000007</v>
      </c>
      <c r="AD736" s="6" t="str">
        <f>IF(OR(AO736="Cancelled",AM736="Failed"),"Exclude from Completed Sales","Include in Completed Sales")</f>
        <v>Include in Completed Sales</v>
      </c>
      <c r="AE736" s="6">
        <f t="shared" si="185"/>
        <v>8837.9520000000011</v>
      </c>
      <c r="AF736" s="6" t="str">
        <f t="shared" si="186"/>
        <v/>
      </c>
      <c r="AG736" s="6">
        <v>6157.27</v>
      </c>
      <c r="AH736" s="6">
        <v>2680.68</v>
      </c>
      <c r="AI736" s="6">
        <f t="shared" si="187"/>
        <v>2680.6820000000007</v>
      </c>
      <c r="AJ736" s="11">
        <f t="shared" si="188"/>
        <v>0.30331484036120587</v>
      </c>
      <c r="AK736" s="11" t="str">
        <f t="shared" si="189"/>
        <v>August</v>
      </c>
      <c r="AL736" s="12">
        <f t="shared" si="190"/>
        <v>2024</v>
      </c>
      <c r="AM736" s="6" t="s">
        <v>54</v>
      </c>
      <c r="AN736" s="6" t="s">
        <v>55</v>
      </c>
      <c r="AO736" s="6" t="str">
        <f t="shared" si="182"/>
        <v>Completed</v>
      </c>
    </row>
    <row r="737" spans="1:41">
      <c r="A737" s="6" t="s">
        <v>3439</v>
      </c>
      <c r="B737" s="7" t="s">
        <v>3440</v>
      </c>
      <c r="C737" s="8">
        <v>45515</v>
      </c>
      <c r="D737" s="7" t="s">
        <v>2881</v>
      </c>
      <c r="E737" s="9">
        <v>45523</v>
      </c>
      <c r="F737" s="9" t="str">
        <f t="shared" si="175"/>
        <v>Valid</v>
      </c>
      <c r="G737" s="10">
        <f t="shared" si="176"/>
        <v>8</v>
      </c>
      <c r="H737" s="10" t="str">
        <f t="shared" si="177"/>
        <v>Valid</v>
      </c>
      <c r="I737" s="6" t="s">
        <v>3441</v>
      </c>
      <c r="J737" s="6" t="s">
        <v>60</v>
      </c>
      <c r="K737" s="6" t="s">
        <v>60</v>
      </c>
      <c r="L737" s="6" t="s">
        <v>46</v>
      </c>
      <c r="M737" s="7" t="str">
        <f t="shared" si="178"/>
        <v>Consumer</v>
      </c>
      <c r="N737" s="6" t="s">
        <v>93</v>
      </c>
      <c r="O737" s="7" t="str">
        <f t="shared" si="179"/>
        <v>West</v>
      </c>
      <c r="P737" s="6" t="s">
        <v>94</v>
      </c>
      <c r="Q737" s="6" t="s">
        <v>95</v>
      </c>
      <c r="R737" s="6" t="s">
        <v>65</v>
      </c>
      <c r="S737" s="7" t="str">
        <f t="shared" si="180"/>
        <v>Furniture</v>
      </c>
      <c r="T737" s="6" t="s">
        <v>66</v>
      </c>
      <c r="U737" s="6" t="s">
        <v>3442</v>
      </c>
      <c r="V737" s="6" t="s">
        <v>87</v>
      </c>
      <c r="W737" s="7" t="str">
        <f t="shared" si="181"/>
        <v>Standard Class</v>
      </c>
      <c r="X737" s="6">
        <v>6</v>
      </c>
      <c r="Y737" s="6">
        <v>1515.79</v>
      </c>
      <c r="Z737" s="6">
        <v>0.2</v>
      </c>
      <c r="AA737" s="6">
        <f t="shared" si="183"/>
        <v>0.2</v>
      </c>
      <c r="AB737" s="6" t="str">
        <f t="shared" si="184"/>
        <v>Valid</v>
      </c>
      <c r="AC737" s="6">
        <v>7275.79</v>
      </c>
      <c r="AD737" s="6" t="str">
        <f>IF(OR(AO737="Cancelled",AM737="Failed"),"Exclude from Completed Sales","Include in Completed Sales")</f>
        <v>Include in Completed Sales</v>
      </c>
      <c r="AE737" s="6">
        <f t="shared" si="185"/>
        <v>7275.7920000000004</v>
      </c>
      <c r="AF737" s="6" t="str">
        <f t="shared" si="186"/>
        <v/>
      </c>
      <c r="AG737" s="6">
        <v>6152.87</v>
      </c>
      <c r="AH737" s="6">
        <v>1122.92</v>
      </c>
      <c r="AI737" s="6">
        <f t="shared" si="187"/>
        <v>1122.9220000000005</v>
      </c>
      <c r="AJ737" s="11">
        <f t="shared" si="188"/>
        <v>0.15433673749881804</v>
      </c>
      <c r="AK737" s="11" t="str">
        <f t="shared" si="189"/>
        <v>August</v>
      </c>
      <c r="AL737" s="12">
        <f t="shared" si="190"/>
        <v>2024</v>
      </c>
      <c r="AM737" s="6" t="s">
        <v>54</v>
      </c>
      <c r="AN737" s="6" t="s">
        <v>55</v>
      </c>
      <c r="AO737" s="6" t="str">
        <f t="shared" si="182"/>
        <v>Completed</v>
      </c>
    </row>
    <row r="738" spans="1:41">
      <c r="A738" s="6" t="s">
        <v>3443</v>
      </c>
      <c r="B738" s="7" t="s">
        <v>2841</v>
      </c>
      <c r="C738" s="8">
        <v>45632</v>
      </c>
      <c r="D738" s="7" t="s">
        <v>3444</v>
      </c>
      <c r="E738" s="9">
        <v>45635</v>
      </c>
      <c r="F738" s="9" t="str">
        <f t="shared" si="175"/>
        <v>Valid</v>
      </c>
      <c r="G738" s="10">
        <f t="shared" si="176"/>
        <v>3</v>
      </c>
      <c r="H738" s="10" t="str">
        <f t="shared" si="177"/>
        <v>Valid</v>
      </c>
      <c r="I738" s="6" t="s">
        <v>3445</v>
      </c>
      <c r="J738" s="6" t="s">
        <v>127</v>
      </c>
      <c r="K738" s="6" t="s">
        <v>127</v>
      </c>
      <c r="L738" s="6" t="s">
        <v>46</v>
      </c>
      <c r="M738" s="7" t="str">
        <f t="shared" si="178"/>
        <v>Consumer</v>
      </c>
      <c r="N738" s="6" t="s">
        <v>93</v>
      </c>
      <c r="O738" s="7" t="str">
        <f t="shared" si="179"/>
        <v>West</v>
      </c>
      <c r="P738" s="6" t="s">
        <v>94</v>
      </c>
      <c r="Q738" s="6" t="s">
        <v>95</v>
      </c>
      <c r="R738" s="6" t="s">
        <v>65</v>
      </c>
      <c r="S738" s="7" t="str">
        <f t="shared" si="180"/>
        <v>Furniture</v>
      </c>
      <c r="T738" s="6" t="s">
        <v>96</v>
      </c>
      <c r="U738" s="6" t="s">
        <v>3446</v>
      </c>
      <c r="V738" s="6" t="s">
        <v>53</v>
      </c>
      <c r="W738" s="7" t="str">
        <f t="shared" si="181"/>
        <v>Second Class</v>
      </c>
      <c r="X738" s="6">
        <v>9</v>
      </c>
      <c r="Y738" s="6">
        <v>290.75</v>
      </c>
      <c r="Z738" s="6">
        <v>0.1</v>
      </c>
      <c r="AA738" s="6">
        <f t="shared" si="183"/>
        <v>0.1</v>
      </c>
      <c r="AB738" s="6" t="str">
        <f t="shared" si="184"/>
        <v>Valid</v>
      </c>
      <c r="AC738" s="6">
        <v>2355.08</v>
      </c>
      <c r="AD738" s="6" t="str">
        <f>IF(OR(AO738="Cancelled",AM738="Failed"),"Exclude from Completed Sales","Include in Completed Sales")</f>
        <v>Include in Completed Sales</v>
      </c>
      <c r="AE738" s="6">
        <f t="shared" si="185"/>
        <v>2355.0750000000003</v>
      </c>
      <c r="AF738" s="6" t="str">
        <f t="shared" si="186"/>
        <v/>
      </c>
      <c r="AG738" s="6">
        <v>1350.03</v>
      </c>
      <c r="AH738" s="6">
        <v>1005.05</v>
      </c>
      <c r="AI738" s="6">
        <f t="shared" si="187"/>
        <v>1005.0450000000003</v>
      </c>
      <c r="AJ738" s="11">
        <f t="shared" si="188"/>
        <v>0.42675710964618968</v>
      </c>
      <c r="AK738" s="11" t="str">
        <f t="shared" si="189"/>
        <v>December</v>
      </c>
      <c r="AL738" s="12">
        <f t="shared" si="190"/>
        <v>2024</v>
      </c>
      <c r="AM738" s="6" t="s">
        <v>54</v>
      </c>
      <c r="AN738" s="6" t="s">
        <v>55</v>
      </c>
      <c r="AO738" s="6" t="str">
        <f t="shared" si="182"/>
        <v>Completed</v>
      </c>
    </row>
    <row r="739" spans="1:41">
      <c r="A739" s="6" t="s">
        <v>3447</v>
      </c>
      <c r="B739" s="7" t="s">
        <v>2269</v>
      </c>
      <c r="C739" s="8">
        <v>45332</v>
      </c>
      <c r="D739" s="7" t="s">
        <v>2149</v>
      </c>
      <c r="E739" s="9">
        <v>45332</v>
      </c>
      <c r="F739" s="9" t="str">
        <f t="shared" si="175"/>
        <v>Valid</v>
      </c>
      <c r="G739" s="10">
        <f t="shared" si="176"/>
        <v>0</v>
      </c>
      <c r="H739" s="10" t="str">
        <f t="shared" si="177"/>
        <v>Valid</v>
      </c>
      <c r="I739" s="6" t="s">
        <v>3448</v>
      </c>
      <c r="J739" s="6" t="s">
        <v>73</v>
      </c>
      <c r="K739" s="6" t="s">
        <v>73</v>
      </c>
      <c r="L739" s="6" t="s">
        <v>135</v>
      </c>
      <c r="M739" s="7" t="str">
        <f t="shared" si="178"/>
        <v>Home Office</v>
      </c>
      <c r="N739" s="6" t="s">
        <v>93</v>
      </c>
      <c r="O739" s="7" t="str">
        <f t="shared" si="179"/>
        <v>West</v>
      </c>
      <c r="P739" s="6" t="s">
        <v>94</v>
      </c>
      <c r="Q739" s="6" t="s">
        <v>95</v>
      </c>
      <c r="R739" s="6" t="s">
        <v>65</v>
      </c>
      <c r="S739" s="7" t="str">
        <f t="shared" si="180"/>
        <v>Furniture</v>
      </c>
      <c r="T739" s="6" t="s">
        <v>96</v>
      </c>
      <c r="U739" s="6" t="s">
        <v>3449</v>
      </c>
      <c r="V739" s="6" t="s">
        <v>68</v>
      </c>
      <c r="W739" s="7" t="str">
        <f t="shared" si="181"/>
        <v>Same Day</v>
      </c>
      <c r="X739" s="6">
        <v>6</v>
      </c>
      <c r="Y739" s="6">
        <v>601.52</v>
      </c>
      <c r="Z739" s="6">
        <v>0</v>
      </c>
      <c r="AA739" s="6">
        <f t="shared" si="183"/>
        <v>0</v>
      </c>
      <c r="AB739" s="6" t="str">
        <f t="shared" si="184"/>
        <v>Valid</v>
      </c>
      <c r="AC739" s="6">
        <v>3609.12</v>
      </c>
      <c r="AD739" s="6" t="str">
        <f>IF(OR(AO739="Cancelled",AM739="Failed"),"Exclude from Completed Sales","Include in Completed Sales")</f>
        <v>Include in Completed Sales</v>
      </c>
      <c r="AE739" s="6">
        <f t="shared" si="185"/>
        <v>3609.12</v>
      </c>
      <c r="AF739" s="6" t="str">
        <f t="shared" si="186"/>
        <v/>
      </c>
      <c r="AG739" s="6">
        <v>2645.5</v>
      </c>
      <c r="AH739" s="6">
        <v>963.62</v>
      </c>
      <c r="AI739" s="6">
        <f t="shared" si="187"/>
        <v>963.61999999999989</v>
      </c>
      <c r="AJ739" s="11">
        <f t="shared" si="188"/>
        <v>0.2669958327791816</v>
      </c>
      <c r="AK739" s="11" t="str">
        <f t="shared" si="189"/>
        <v>February</v>
      </c>
      <c r="AL739" s="12">
        <f t="shared" si="190"/>
        <v>2024</v>
      </c>
      <c r="AM739" s="6" t="s">
        <v>54</v>
      </c>
      <c r="AN739" s="6" t="s">
        <v>55</v>
      </c>
      <c r="AO739" s="6" t="str">
        <f t="shared" si="182"/>
        <v>Completed</v>
      </c>
    </row>
    <row r="740" spans="1:41">
      <c r="A740" s="6" t="s">
        <v>3450</v>
      </c>
      <c r="B740" s="7" t="s">
        <v>1586</v>
      </c>
      <c r="C740" s="8">
        <v>45708</v>
      </c>
      <c r="D740" s="7" t="s">
        <v>3451</v>
      </c>
      <c r="E740" s="9">
        <v>45710</v>
      </c>
      <c r="F740" s="9" t="str">
        <f t="shared" si="175"/>
        <v>Valid</v>
      </c>
      <c r="G740" s="10">
        <f t="shared" si="176"/>
        <v>2</v>
      </c>
      <c r="H740" s="10" t="str">
        <f t="shared" si="177"/>
        <v>Valid</v>
      </c>
      <c r="I740" s="6" t="s">
        <v>3452</v>
      </c>
      <c r="J740" s="6" t="s">
        <v>162</v>
      </c>
      <c r="K740" s="6" t="s">
        <v>162</v>
      </c>
      <c r="L740" s="6" t="s">
        <v>128</v>
      </c>
      <c r="M740" s="7" t="str">
        <f t="shared" si="178"/>
        <v>Corporate</v>
      </c>
      <c r="N740" s="6" t="s">
        <v>82</v>
      </c>
      <c r="O740" s="7" t="str">
        <f t="shared" si="179"/>
        <v>South</v>
      </c>
      <c r="P740" s="6" t="s">
        <v>262</v>
      </c>
      <c r="Q740" s="6" t="s">
        <v>263</v>
      </c>
      <c r="R740" s="6" t="s">
        <v>50</v>
      </c>
      <c r="S740" s="7" t="str">
        <f t="shared" si="180"/>
        <v>Office Supplies</v>
      </c>
      <c r="T740" s="6" t="s">
        <v>51</v>
      </c>
      <c r="U740" s="6" t="s">
        <v>3453</v>
      </c>
      <c r="V740" s="6" t="s">
        <v>76</v>
      </c>
      <c r="W740" s="7" t="str">
        <f t="shared" si="181"/>
        <v>First Class</v>
      </c>
      <c r="X740" s="6">
        <v>1</v>
      </c>
      <c r="Y740" s="6">
        <v>2188.19</v>
      </c>
      <c r="Z740" s="6">
        <v>0</v>
      </c>
      <c r="AA740" s="6">
        <f t="shared" si="183"/>
        <v>0</v>
      </c>
      <c r="AB740" s="6" t="str">
        <f t="shared" si="184"/>
        <v>Valid</v>
      </c>
      <c r="AC740" s="6">
        <v>2188.19</v>
      </c>
      <c r="AD740" s="6" t="str">
        <f>IF(OR(AO740="Cancelled",AM740="Failed"),"Exclude from Completed Sales","Include in Completed Sales")</f>
        <v>Include in Completed Sales</v>
      </c>
      <c r="AE740" s="6">
        <f t="shared" si="185"/>
        <v>2188.19</v>
      </c>
      <c r="AF740" s="6" t="str">
        <f t="shared" si="186"/>
        <v/>
      </c>
      <c r="AG740" s="6">
        <v>1298.8399999999999</v>
      </c>
      <c r="AH740" s="6">
        <v>889.35</v>
      </c>
      <c r="AI740" s="6">
        <f t="shared" si="187"/>
        <v>889.35000000000014</v>
      </c>
      <c r="AJ740" s="11">
        <f t="shared" si="188"/>
        <v>0.40643179979800664</v>
      </c>
      <c r="AK740" s="11" t="str">
        <f t="shared" si="189"/>
        <v>February</v>
      </c>
      <c r="AL740" s="12">
        <f t="shared" si="190"/>
        <v>2025</v>
      </c>
      <c r="AM740" s="6" t="s">
        <v>54</v>
      </c>
      <c r="AN740" s="6" t="s">
        <v>55</v>
      </c>
      <c r="AO740" s="6" t="str">
        <f t="shared" si="182"/>
        <v>Completed</v>
      </c>
    </row>
    <row r="741" spans="1:41">
      <c r="A741" s="6" t="s">
        <v>3454</v>
      </c>
      <c r="B741" s="7" t="s">
        <v>3455</v>
      </c>
      <c r="C741" s="8">
        <v>45629</v>
      </c>
      <c r="D741" s="7" t="s">
        <v>3456</v>
      </c>
      <c r="E741" s="9">
        <v>45636</v>
      </c>
      <c r="F741" s="9" t="str">
        <f t="shared" si="175"/>
        <v>Valid</v>
      </c>
      <c r="G741" s="10">
        <f t="shared" si="176"/>
        <v>7</v>
      </c>
      <c r="H741" s="10" t="str">
        <f t="shared" si="177"/>
        <v>Valid</v>
      </c>
      <c r="I741" s="6" t="s">
        <v>3457</v>
      </c>
      <c r="J741" s="6" t="s">
        <v>113</v>
      </c>
      <c r="K741" s="6" t="s">
        <v>113</v>
      </c>
      <c r="L741" s="6" t="s">
        <v>128</v>
      </c>
      <c r="M741" s="7" t="str">
        <f t="shared" si="178"/>
        <v>Corporate</v>
      </c>
      <c r="N741" s="6" t="s">
        <v>47</v>
      </c>
      <c r="O741" s="7" t="str">
        <f t="shared" si="179"/>
        <v>North</v>
      </c>
      <c r="P741" s="6" t="s">
        <v>48</v>
      </c>
      <c r="Q741" s="6" t="s">
        <v>49</v>
      </c>
      <c r="R741" s="6" t="s">
        <v>106</v>
      </c>
      <c r="S741" s="7" t="str">
        <f t="shared" si="180"/>
        <v>Technology</v>
      </c>
      <c r="T741" s="6" t="s">
        <v>243</v>
      </c>
      <c r="U741" s="6" t="s">
        <v>3458</v>
      </c>
      <c r="V741" s="6" t="s">
        <v>87</v>
      </c>
      <c r="W741" s="7" t="str">
        <f t="shared" si="181"/>
        <v>Standard Class</v>
      </c>
      <c r="X741" s="6">
        <v>5</v>
      </c>
      <c r="Y741" s="6">
        <v>2393.86</v>
      </c>
      <c r="Z741" s="6">
        <v>0.05</v>
      </c>
      <c r="AA741" s="6">
        <f t="shared" si="183"/>
        <v>0.05</v>
      </c>
      <c r="AB741" s="6" t="str">
        <f t="shared" si="184"/>
        <v>Valid</v>
      </c>
      <c r="AC741" s="6">
        <v>11370.84</v>
      </c>
      <c r="AD741" s="6" t="str">
        <f>IF(OR(AO741="Cancelled",AM741="Failed"),"Exclude from Completed Sales","Include in Completed Sales")</f>
        <v>Include in Completed Sales</v>
      </c>
      <c r="AE741" s="6">
        <f t="shared" si="185"/>
        <v>11370.835000000001</v>
      </c>
      <c r="AF741" s="6" t="str">
        <f t="shared" si="186"/>
        <v/>
      </c>
      <c r="AG741" s="6">
        <v>7469.58</v>
      </c>
      <c r="AH741" s="6">
        <v>3901.26</v>
      </c>
      <c r="AI741" s="6">
        <f t="shared" si="187"/>
        <v>3901.255000000001</v>
      </c>
      <c r="AJ741" s="11">
        <f t="shared" si="188"/>
        <v>0.34309309738466881</v>
      </c>
      <c r="AK741" s="11" t="str">
        <f t="shared" si="189"/>
        <v>December</v>
      </c>
      <c r="AL741" s="12">
        <f t="shared" si="190"/>
        <v>2024</v>
      </c>
      <c r="AM741" s="6" t="s">
        <v>54</v>
      </c>
      <c r="AN741" s="6" t="s">
        <v>55</v>
      </c>
      <c r="AO741" s="6" t="str">
        <f t="shared" si="182"/>
        <v>Completed</v>
      </c>
    </row>
    <row r="742" spans="1:41">
      <c r="A742" s="6" t="s">
        <v>3459</v>
      </c>
      <c r="B742" s="7" t="s">
        <v>3460</v>
      </c>
      <c r="C742" s="8">
        <v>45384</v>
      </c>
      <c r="D742" s="7" t="s">
        <v>2190</v>
      </c>
      <c r="E742" s="9">
        <v>45384</v>
      </c>
      <c r="F742" s="9" t="str">
        <f t="shared" si="175"/>
        <v>Valid</v>
      </c>
      <c r="G742" s="10">
        <f t="shared" si="176"/>
        <v>0</v>
      </c>
      <c r="H742" s="10" t="str">
        <f t="shared" si="177"/>
        <v>Valid</v>
      </c>
      <c r="I742" s="6" t="s">
        <v>798</v>
      </c>
      <c r="J742" s="6" t="s">
        <v>188</v>
      </c>
      <c r="K742" s="6" t="s">
        <v>188</v>
      </c>
      <c r="L742" s="6" t="s">
        <v>61</v>
      </c>
      <c r="M742" s="7" t="str">
        <f t="shared" si="178"/>
        <v>Small Business</v>
      </c>
      <c r="N742" s="6" t="s">
        <v>93</v>
      </c>
      <c r="O742" s="7" t="str">
        <f t="shared" si="179"/>
        <v>West</v>
      </c>
      <c r="P742" s="6" t="s">
        <v>94</v>
      </c>
      <c r="Q742" s="6" t="s">
        <v>95</v>
      </c>
      <c r="R742" s="6" t="s">
        <v>65</v>
      </c>
      <c r="S742" s="7" t="str">
        <f t="shared" si="180"/>
        <v>Furniture</v>
      </c>
      <c r="T742" s="6" t="s">
        <v>96</v>
      </c>
      <c r="U742" s="6" t="s">
        <v>3461</v>
      </c>
      <c r="V742" s="6" t="s">
        <v>76</v>
      </c>
      <c r="W742" s="7" t="str">
        <f t="shared" si="181"/>
        <v>First Class</v>
      </c>
      <c r="X742" s="6">
        <v>4</v>
      </c>
      <c r="Y742" s="6">
        <v>2583</v>
      </c>
      <c r="Z742" s="6">
        <v>0.1</v>
      </c>
      <c r="AA742" s="6">
        <f t="shared" si="183"/>
        <v>0.1</v>
      </c>
      <c r="AB742" s="6" t="str">
        <f t="shared" si="184"/>
        <v>Valid</v>
      </c>
      <c r="AC742" s="6">
        <v>9298.7999999999993</v>
      </c>
      <c r="AD742" s="6" t="str">
        <f>IF(OR(AO742="Cancelled",AM742="Failed"),"Exclude from Completed Sales","Include in Completed Sales")</f>
        <v>Include in Completed Sales</v>
      </c>
      <c r="AE742" s="6">
        <f t="shared" si="185"/>
        <v>9298.8000000000011</v>
      </c>
      <c r="AF742" s="6" t="str">
        <f t="shared" si="186"/>
        <v/>
      </c>
      <c r="AG742" s="6">
        <v>6548.5</v>
      </c>
      <c r="AH742" s="6">
        <v>2750.3</v>
      </c>
      <c r="AI742" s="6">
        <f t="shared" si="187"/>
        <v>2750.3000000000011</v>
      </c>
      <c r="AJ742" s="11">
        <f t="shared" si="188"/>
        <v>0.29576934658235482</v>
      </c>
      <c r="AK742" s="11" t="str">
        <f t="shared" si="189"/>
        <v>April</v>
      </c>
      <c r="AL742" s="12">
        <f t="shared" si="190"/>
        <v>2024</v>
      </c>
      <c r="AM742" s="6" t="s">
        <v>54</v>
      </c>
      <c r="AN742" s="6" t="s">
        <v>55</v>
      </c>
      <c r="AO742" s="6" t="str">
        <f t="shared" si="182"/>
        <v>Completed</v>
      </c>
    </row>
    <row r="743" spans="1:41">
      <c r="A743" s="6" t="s">
        <v>3462</v>
      </c>
      <c r="B743" s="7" t="s">
        <v>3463</v>
      </c>
      <c r="C743" s="8">
        <v>45770</v>
      </c>
      <c r="D743" s="7" t="s">
        <v>3464</v>
      </c>
      <c r="E743" s="9">
        <v>45772</v>
      </c>
      <c r="F743" s="9" t="str">
        <f t="shared" si="175"/>
        <v>Valid</v>
      </c>
      <c r="G743" s="10">
        <f t="shared" si="176"/>
        <v>2</v>
      </c>
      <c r="H743" s="10" t="str">
        <f t="shared" si="177"/>
        <v>Valid</v>
      </c>
      <c r="I743" s="6" t="s">
        <v>3465</v>
      </c>
      <c r="J743" s="6" t="s">
        <v>73</v>
      </c>
      <c r="K743" s="6" t="s">
        <v>73</v>
      </c>
      <c r="L743" s="6" t="s">
        <v>135</v>
      </c>
      <c r="M743" s="7" t="str">
        <f t="shared" si="178"/>
        <v>Home Office</v>
      </c>
      <c r="N743" s="6" t="s">
        <v>82</v>
      </c>
      <c r="O743" s="7" t="str">
        <f t="shared" si="179"/>
        <v>South</v>
      </c>
      <c r="P743" s="6" t="s">
        <v>359</v>
      </c>
      <c r="Q743" s="6" t="s">
        <v>360</v>
      </c>
      <c r="R743" s="6" t="s">
        <v>65</v>
      </c>
      <c r="S743" s="7" t="str">
        <f t="shared" si="180"/>
        <v>Furniture</v>
      </c>
      <c r="T743" s="6" t="s">
        <v>96</v>
      </c>
      <c r="U743" s="6" t="s">
        <v>3466</v>
      </c>
      <c r="V743" s="6" t="s">
        <v>53</v>
      </c>
      <c r="W743" s="7" t="str">
        <f t="shared" si="181"/>
        <v>Second Class</v>
      </c>
      <c r="X743" s="6">
        <v>3</v>
      </c>
      <c r="Y743" s="6">
        <v>2951.12</v>
      </c>
      <c r="Z743" s="6"/>
      <c r="AA743" s="6">
        <f t="shared" si="183"/>
        <v>0</v>
      </c>
      <c r="AB743" s="6" t="str">
        <f t="shared" si="184"/>
        <v>Valid</v>
      </c>
      <c r="AC743" s="6">
        <v>7082.69</v>
      </c>
      <c r="AD743" s="6" t="str">
        <f>IF(OR(AO743="Cancelled",AM743="Failed"),"Exclude from Completed Sales","Include in Completed Sales")</f>
        <v>Exclude from Completed Sales</v>
      </c>
      <c r="AE743" s="6">
        <f t="shared" si="185"/>
        <v>8853.36</v>
      </c>
      <c r="AF743" s="6" t="str">
        <f t="shared" si="186"/>
        <v/>
      </c>
      <c r="AG743" s="6">
        <v>5596.34</v>
      </c>
      <c r="AH743" s="6">
        <v>1486.35</v>
      </c>
      <c r="AI743" s="6">
        <f t="shared" si="187"/>
        <v>3257.0200000000004</v>
      </c>
      <c r="AJ743" s="11">
        <f t="shared" si="188"/>
        <v>0.36788518709280998</v>
      </c>
      <c r="AK743" s="11" t="str">
        <f t="shared" si="189"/>
        <v>April</v>
      </c>
      <c r="AL743" s="12">
        <f t="shared" si="190"/>
        <v>2025</v>
      </c>
      <c r="AM743" s="6" t="s">
        <v>54</v>
      </c>
      <c r="AN743" s="6" t="s">
        <v>98</v>
      </c>
      <c r="AO743" s="6" t="str">
        <f t="shared" si="182"/>
        <v>Cancelled</v>
      </c>
    </row>
    <row r="744" spans="1:41">
      <c r="A744" s="6" t="s">
        <v>3467</v>
      </c>
      <c r="B744" s="7" t="s">
        <v>3468</v>
      </c>
      <c r="C744" s="8">
        <v>45580</v>
      </c>
      <c r="D744" s="7" t="s">
        <v>3469</v>
      </c>
      <c r="E744" s="9">
        <v>45587</v>
      </c>
      <c r="F744" s="9" t="str">
        <f t="shared" si="175"/>
        <v>Valid</v>
      </c>
      <c r="G744" s="10">
        <f t="shared" si="176"/>
        <v>7</v>
      </c>
      <c r="H744" s="10" t="str">
        <f t="shared" si="177"/>
        <v>Valid</v>
      </c>
      <c r="I744" s="6" t="s">
        <v>3470</v>
      </c>
      <c r="J744" s="6" t="s">
        <v>45</v>
      </c>
      <c r="K744" s="6" t="s">
        <v>45</v>
      </c>
      <c r="L744" s="6" t="s">
        <v>128</v>
      </c>
      <c r="M744" s="7" t="str">
        <f t="shared" si="178"/>
        <v>Corporate</v>
      </c>
      <c r="N744" s="6" t="s">
        <v>3471</v>
      </c>
      <c r="O744" s="7" t="str">
        <f t="shared" si="179"/>
        <v>East</v>
      </c>
      <c r="P744" s="6" t="s">
        <v>63</v>
      </c>
      <c r="Q744" s="6" t="s">
        <v>64</v>
      </c>
      <c r="R744" s="6" t="s">
        <v>50</v>
      </c>
      <c r="S744" s="7" t="str">
        <f t="shared" si="180"/>
        <v>Office Supplies</v>
      </c>
      <c r="T744" s="6" t="s">
        <v>51</v>
      </c>
      <c r="U744" s="6" t="s">
        <v>3472</v>
      </c>
      <c r="V744" s="6" t="s">
        <v>87</v>
      </c>
      <c r="W744" s="7" t="str">
        <f t="shared" si="181"/>
        <v>Standard Class</v>
      </c>
      <c r="X744" s="6">
        <v>4</v>
      </c>
      <c r="Y744" s="6">
        <v>2260.9499999999998</v>
      </c>
      <c r="Z744" s="6">
        <v>0</v>
      </c>
      <c r="AA744" s="6">
        <f t="shared" si="183"/>
        <v>0</v>
      </c>
      <c r="AB744" s="6" t="str">
        <f t="shared" si="184"/>
        <v>Valid</v>
      </c>
      <c r="AC744" s="6">
        <v>9043.7999999999993</v>
      </c>
      <c r="AD744" s="6" t="str">
        <f>IF(OR(AO744="Cancelled",AM744="Failed"),"Exclude from Completed Sales","Include in Completed Sales")</f>
        <v>Include in Completed Sales</v>
      </c>
      <c r="AE744" s="6">
        <f t="shared" si="185"/>
        <v>9043.7999999999993</v>
      </c>
      <c r="AF744" s="6" t="str">
        <f t="shared" si="186"/>
        <v/>
      </c>
      <c r="AG744" s="6">
        <v>5913.38</v>
      </c>
      <c r="AH744" s="6">
        <v>3130.42</v>
      </c>
      <c r="AI744" s="6">
        <f t="shared" si="187"/>
        <v>3130.4199999999992</v>
      </c>
      <c r="AJ744" s="11">
        <f t="shared" si="188"/>
        <v>0.34613989694597397</v>
      </c>
      <c r="AK744" s="11" t="str">
        <f t="shared" si="189"/>
        <v>October</v>
      </c>
      <c r="AL744" s="12">
        <f t="shared" si="190"/>
        <v>2024</v>
      </c>
      <c r="AM744" s="6" t="s">
        <v>54</v>
      </c>
      <c r="AN744" s="6" t="s">
        <v>55</v>
      </c>
      <c r="AO744" s="6" t="str">
        <f t="shared" si="182"/>
        <v>Completed</v>
      </c>
    </row>
    <row r="745" spans="1:41">
      <c r="A745" s="6" t="s">
        <v>3473</v>
      </c>
      <c r="B745" s="7" t="s">
        <v>1417</v>
      </c>
      <c r="C745" s="8">
        <v>45700</v>
      </c>
      <c r="D745" s="7" t="s">
        <v>1960</v>
      </c>
      <c r="E745" s="9">
        <v>45702</v>
      </c>
      <c r="F745" s="9" t="str">
        <f t="shared" si="175"/>
        <v>Valid</v>
      </c>
      <c r="G745" s="10">
        <f t="shared" si="176"/>
        <v>2</v>
      </c>
      <c r="H745" s="10" t="str">
        <f t="shared" si="177"/>
        <v>Valid</v>
      </c>
      <c r="I745" s="6" t="s">
        <v>3474</v>
      </c>
      <c r="J745" s="6" t="s">
        <v>188</v>
      </c>
      <c r="K745" s="6" t="s">
        <v>188</v>
      </c>
      <c r="L745" s="6" t="s">
        <v>46</v>
      </c>
      <c r="M745" s="7" t="str">
        <f t="shared" si="178"/>
        <v>Consumer</v>
      </c>
      <c r="N745" s="6" t="s">
        <v>47</v>
      </c>
      <c r="O745" s="7" t="str">
        <f t="shared" si="179"/>
        <v>North</v>
      </c>
      <c r="P745" s="6" t="s">
        <v>194</v>
      </c>
      <c r="Q745" s="6" t="s">
        <v>195</v>
      </c>
      <c r="R745" s="6" t="s">
        <v>50</v>
      </c>
      <c r="S745" s="7" t="str">
        <f t="shared" si="180"/>
        <v>Office Supplies</v>
      </c>
      <c r="T745" s="6" t="s">
        <v>74</v>
      </c>
      <c r="U745" s="6" t="s">
        <v>3475</v>
      </c>
      <c r="V745" s="6" t="s">
        <v>87</v>
      </c>
      <c r="W745" s="7" t="str">
        <f t="shared" si="181"/>
        <v>Standard Class</v>
      </c>
      <c r="X745" s="6">
        <v>6</v>
      </c>
      <c r="Y745" s="6">
        <v>491.4</v>
      </c>
      <c r="Z745" s="6">
        <v>0.25</v>
      </c>
      <c r="AA745" s="6">
        <f t="shared" si="183"/>
        <v>0.25</v>
      </c>
      <c r="AB745" s="6" t="str">
        <f t="shared" si="184"/>
        <v>Valid</v>
      </c>
      <c r="AC745" s="6">
        <v>2211.3000000000002</v>
      </c>
      <c r="AD745" s="6" t="str">
        <f>IF(OR(AO745="Cancelled",AM745="Failed"),"Exclude from Completed Sales","Include in Completed Sales")</f>
        <v>Include in Completed Sales</v>
      </c>
      <c r="AE745" s="6">
        <f t="shared" si="185"/>
        <v>2211.2999999999997</v>
      </c>
      <c r="AF745" s="6" t="str">
        <f t="shared" si="186"/>
        <v/>
      </c>
      <c r="AG745" s="6">
        <v>1735.64</v>
      </c>
      <c r="AH745" s="6">
        <v>475.66</v>
      </c>
      <c r="AI745" s="6">
        <f t="shared" si="187"/>
        <v>475.65999999999963</v>
      </c>
      <c r="AJ745" s="11">
        <f t="shared" si="188"/>
        <v>0.21510423732645942</v>
      </c>
      <c r="AK745" s="11" t="str">
        <f t="shared" si="189"/>
        <v>February</v>
      </c>
      <c r="AL745" s="12">
        <f t="shared" si="190"/>
        <v>2025</v>
      </c>
      <c r="AM745" s="6" t="s">
        <v>54</v>
      </c>
      <c r="AN745" s="6" t="s">
        <v>55</v>
      </c>
      <c r="AO745" s="6" t="str">
        <f t="shared" si="182"/>
        <v>Completed</v>
      </c>
    </row>
    <row r="746" spans="1:41">
      <c r="A746" s="6" t="s">
        <v>3476</v>
      </c>
      <c r="B746" s="7" t="s">
        <v>3477</v>
      </c>
      <c r="C746" s="8">
        <v>45886</v>
      </c>
      <c r="D746" s="7" t="s">
        <v>1490</v>
      </c>
      <c r="E746" s="9">
        <v>45889</v>
      </c>
      <c r="F746" s="9" t="str">
        <f t="shared" si="175"/>
        <v>Valid</v>
      </c>
      <c r="G746" s="10">
        <f t="shared" si="176"/>
        <v>3</v>
      </c>
      <c r="H746" s="10" t="str">
        <f t="shared" si="177"/>
        <v>Valid</v>
      </c>
      <c r="I746" s="6" t="s">
        <v>3478</v>
      </c>
      <c r="J746" s="6" t="s">
        <v>60</v>
      </c>
      <c r="K746" s="6" t="s">
        <v>60</v>
      </c>
      <c r="L746" s="6" t="s">
        <v>135</v>
      </c>
      <c r="M746" s="7" t="str">
        <f t="shared" si="178"/>
        <v>Home Office</v>
      </c>
      <c r="N746" s="6" t="s">
        <v>47</v>
      </c>
      <c r="O746" s="7" t="str">
        <f t="shared" si="179"/>
        <v>North</v>
      </c>
      <c r="P746" s="6" t="s">
        <v>174</v>
      </c>
      <c r="Q746" s="6" t="s">
        <v>175</v>
      </c>
      <c r="R746" s="6" t="s">
        <v>50</v>
      </c>
      <c r="S746" s="7" t="str">
        <f t="shared" si="180"/>
        <v>Office Supplies</v>
      </c>
      <c r="T746" s="6" t="s">
        <v>218</v>
      </c>
      <c r="U746" s="6" t="s">
        <v>3479</v>
      </c>
      <c r="V746" s="6" t="s">
        <v>76</v>
      </c>
      <c r="W746" s="7" t="str">
        <f t="shared" si="181"/>
        <v>First Class</v>
      </c>
      <c r="X746" s="6">
        <v>5</v>
      </c>
      <c r="Y746" s="6">
        <v>2701.89</v>
      </c>
      <c r="Z746" s="6">
        <v>0.1</v>
      </c>
      <c r="AA746" s="6">
        <f t="shared" si="183"/>
        <v>0.1</v>
      </c>
      <c r="AB746" s="6" t="str">
        <f t="shared" si="184"/>
        <v>Valid</v>
      </c>
      <c r="AC746" s="6">
        <v>12158.5</v>
      </c>
      <c r="AD746" s="6" t="str">
        <f>IF(OR(AO746="Cancelled",AM746="Failed"),"Exclude from Completed Sales","Include in Completed Sales")</f>
        <v>Exclude from Completed Sales</v>
      </c>
      <c r="AE746" s="6">
        <f t="shared" si="185"/>
        <v>12158.504999999999</v>
      </c>
      <c r="AF746" s="6" t="str">
        <f t="shared" si="186"/>
        <v/>
      </c>
      <c r="AG746" s="6">
        <v>10260.07</v>
      </c>
      <c r="AH746" s="6">
        <v>1898.43</v>
      </c>
      <c r="AI746" s="6">
        <f t="shared" si="187"/>
        <v>1898.4349999999995</v>
      </c>
      <c r="AJ746" s="11">
        <f t="shared" si="188"/>
        <v>0.15614049589155901</v>
      </c>
      <c r="AK746" s="11" t="str">
        <f t="shared" si="189"/>
        <v>August</v>
      </c>
      <c r="AL746" s="12">
        <f t="shared" si="190"/>
        <v>2025</v>
      </c>
      <c r="AM746" s="6" t="s">
        <v>54</v>
      </c>
      <c r="AN746" s="6" t="s">
        <v>98</v>
      </c>
      <c r="AO746" s="6" t="str">
        <f t="shared" si="182"/>
        <v>Cancelled</v>
      </c>
    </row>
    <row r="747" spans="1:41">
      <c r="A747" s="6" t="s">
        <v>3480</v>
      </c>
      <c r="B747" s="7" t="s">
        <v>3481</v>
      </c>
      <c r="C747" s="8">
        <v>45589</v>
      </c>
      <c r="D747" s="7" t="s">
        <v>3482</v>
      </c>
      <c r="E747" s="9">
        <v>45593</v>
      </c>
      <c r="F747" s="9" t="str">
        <f t="shared" si="175"/>
        <v>Valid</v>
      </c>
      <c r="G747" s="10">
        <f t="shared" si="176"/>
        <v>4</v>
      </c>
      <c r="H747" s="10" t="str">
        <f t="shared" si="177"/>
        <v>Valid</v>
      </c>
      <c r="I747" s="6" t="s">
        <v>3483</v>
      </c>
      <c r="J747" s="6" t="s">
        <v>60</v>
      </c>
      <c r="K747" s="6" t="s">
        <v>60</v>
      </c>
      <c r="L747" s="6" t="s">
        <v>61</v>
      </c>
      <c r="M747" s="7" t="str">
        <f t="shared" si="178"/>
        <v>Small Business</v>
      </c>
      <c r="N747" s="6" t="s">
        <v>62</v>
      </c>
      <c r="O747" s="7" t="str">
        <f t="shared" si="179"/>
        <v>East</v>
      </c>
      <c r="P747" s="6" t="s">
        <v>236</v>
      </c>
      <c r="Q747" s="6" t="s">
        <v>237</v>
      </c>
      <c r="R747" s="6" t="s">
        <v>106</v>
      </c>
      <c r="S747" s="7" t="str">
        <f t="shared" si="180"/>
        <v>Technology</v>
      </c>
      <c r="T747" s="6" t="s">
        <v>114</v>
      </c>
      <c r="U747" s="6" t="s">
        <v>3484</v>
      </c>
      <c r="V747" s="6" t="s">
        <v>87</v>
      </c>
      <c r="W747" s="7" t="str">
        <f t="shared" si="181"/>
        <v>Standard Class</v>
      </c>
      <c r="X747" s="6">
        <v>3</v>
      </c>
      <c r="Y747" s="6">
        <v>723.59</v>
      </c>
      <c r="Z747" s="6">
        <v>0.2</v>
      </c>
      <c r="AA747" s="6">
        <f t="shared" si="183"/>
        <v>0.2</v>
      </c>
      <c r="AB747" s="6" t="str">
        <f t="shared" si="184"/>
        <v>Valid</v>
      </c>
      <c r="AC747" s="6">
        <v>1736.62</v>
      </c>
      <c r="AD747" s="6" t="str">
        <f>IF(OR(AO747="Cancelled",AM747="Failed"),"Exclude from Completed Sales","Include in Completed Sales")</f>
        <v>Include in Completed Sales</v>
      </c>
      <c r="AE747" s="6">
        <f t="shared" si="185"/>
        <v>1736.616</v>
      </c>
      <c r="AF747" s="6" t="str">
        <f t="shared" si="186"/>
        <v/>
      </c>
      <c r="AG747" s="6">
        <v>1059.52</v>
      </c>
      <c r="AH747" s="6">
        <v>677.1</v>
      </c>
      <c r="AI747" s="6">
        <f t="shared" si="187"/>
        <v>677.096</v>
      </c>
      <c r="AJ747" s="11">
        <f t="shared" si="188"/>
        <v>0.38989390861307277</v>
      </c>
      <c r="AK747" s="11" t="str">
        <f t="shared" si="189"/>
        <v>October</v>
      </c>
      <c r="AL747" s="12">
        <f t="shared" si="190"/>
        <v>2024</v>
      </c>
      <c r="AM747" s="6" t="s">
        <v>54</v>
      </c>
      <c r="AN747" s="6" t="s">
        <v>55</v>
      </c>
      <c r="AO747" s="6" t="str">
        <f t="shared" si="182"/>
        <v>Completed</v>
      </c>
    </row>
    <row r="748" spans="1:41">
      <c r="A748" s="6" t="s">
        <v>3485</v>
      </c>
      <c r="B748" s="7" t="s">
        <v>1368</v>
      </c>
      <c r="C748" s="8">
        <v>45661</v>
      </c>
      <c r="D748" s="7" t="s">
        <v>3486</v>
      </c>
      <c r="E748" s="9">
        <v>45667</v>
      </c>
      <c r="F748" s="9" t="str">
        <f t="shared" si="175"/>
        <v>Valid</v>
      </c>
      <c r="G748" s="10">
        <f t="shared" si="176"/>
        <v>6</v>
      </c>
      <c r="H748" s="10" t="str">
        <f t="shared" si="177"/>
        <v>Valid</v>
      </c>
      <c r="I748" s="6" t="s">
        <v>3073</v>
      </c>
      <c r="J748" s="6" t="s">
        <v>182</v>
      </c>
      <c r="K748" s="6" t="s">
        <v>182</v>
      </c>
      <c r="L748" s="6" t="s">
        <v>135</v>
      </c>
      <c r="M748" s="7" t="str">
        <f t="shared" si="178"/>
        <v>Home Office</v>
      </c>
      <c r="N748" s="6" t="s">
        <v>62</v>
      </c>
      <c r="O748" s="7" t="str">
        <f t="shared" si="179"/>
        <v>East</v>
      </c>
      <c r="P748" s="6" t="s">
        <v>141</v>
      </c>
      <c r="Q748" s="6" t="s">
        <v>142</v>
      </c>
      <c r="R748" s="6" t="s">
        <v>50</v>
      </c>
      <c r="S748" s="7" t="str">
        <f t="shared" si="180"/>
        <v>Office Supplies</v>
      </c>
      <c r="T748" s="6" t="s">
        <v>51</v>
      </c>
      <c r="U748" s="6" t="s">
        <v>3487</v>
      </c>
      <c r="V748" s="6" t="s">
        <v>87</v>
      </c>
      <c r="W748" s="7" t="str">
        <f t="shared" si="181"/>
        <v>Standard Class</v>
      </c>
      <c r="X748" s="6">
        <v>4</v>
      </c>
      <c r="Y748" s="6">
        <v>2583.19</v>
      </c>
      <c r="Z748" s="6">
        <v>0.2</v>
      </c>
      <c r="AA748" s="6">
        <f t="shared" si="183"/>
        <v>0.2</v>
      </c>
      <c r="AB748" s="6" t="str">
        <f t="shared" si="184"/>
        <v>Valid</v>
      </c>
      <c r="AC748" s="6">
        <v>8266.2099999999991</v>
      </c>
      <c r="AD748" s="6" t="str">
        <f>IF(OR(AO748="Cancelled",AM748="Failed"),"Exclude from Completed Sales","Include in Completed Sales")</f>
        <v>Include in Completed Sales</v>
      </c>
      <c r="AE748" s="6">
        <f t="shared" si="185"/>
        <v>8266.2080000000005</v>
      </c>
      <c r="AF748" s="6" t="str">
        <f t="shared" si="186"/>
        <v/>
      </c>
      <c r="AG748" s="6">
        <v>6236.32</v>
      </c>
      <c r="AH748" s="6">
        <v>2029.89</v>
      </c>
      <c r="AI748" s="6">
        <f t="shared" si="187"/>
        <v>2029.8880000000008</v>
      </c>
      <c r="AJ748" s="11">
        <f t="shared" si="188"/>
        <v>0.24556459261610653</v>
      </c>
      <c r="AK748" s="11" t="str">
        <f t="shared" si="189"/>
        <v>January</v>
      </c>
      <c r="AL748" s="12">
        <f t="shared" si="190"/>
        <v>2025</v>
      </c>
      <c r="AM748" s="6" t="s">
        <v>54</v>
      </c>
      <c r="AN748" s="6" t="s">
        <v>55</v>
      </c>
      <c r="AO748" s="6" t="str">
        <f t="shared" si="182"/>
        <v>Completed</v>
      </c>
    </row>
    <row r="749" spans="1:41">
      <c r="A749" s="6" t="s">
        <v>3488</v>
      </c>
      <c r="B749" s="7" t="s">
        <v>3489</v>
      </c>
      <c r="C749" s="8">
        <v>45413</v>
      </c>
      <c r="D749" s="7" t="s">
        <v>3490</v>
      </c>
      <c r="E749" s="9">
        <v>45419</v>
      </c>
      <c r="F749" s="9" t="str">
        <f t="shared" si="175"/>
        <v>Valid</v>
      </c>
      <c r="G749" s="10">
        <f t="shared" si="176"/>
        <v>6</v>
      </c>
      <c r="H749" s="10" t="str">
        <f t="shared" si="177"/>
        <v>Valid</v>
      </c>
      <c r="I749" s="6" t="s">
        <v>3491</v>
      </c>
      <c r="J749" s="6" t="s">
        <v>73</v>
      </c>
      <c r="K749" s="6" t="s">
        <v>73</v>
      </c>
      <c r="L749" s="6" t="s">
        <v>135</v>
      </c>
      <c r="M749" s="7" t="str">
        <f t="shared" si="178"/>
        <v>Home Office</v>
      </c>
      <c r="N749" s="6" t="s">
        <v>62</v>
      </c>
      <c r="O749" s="7" t="str">
        <f t="shared" si="179"/>
        <v>East</v>
      </c>
      <c r="P749" s="6" t="s">
        <v>63</v>
      </c>
      <c r="Q749" s="6" t="s">
        <v>64</v>
      </c>
      <c r="R749" s="6" t="s">
        <v>50</v>
      </c>
      <c r="S749" s="7" t="str">
        <f t="shared" si="180"/>
        <v>Office Supplies</v>
      </c>
      <c r="T749" s="6" t="s">
        <v>51</v>
      </c>
      <c r="U749" s="6" t="s">
        <v>3492</v>
      </c>
      <c r="V749" s="6" t="s">
        <v>68</v>
      </c>
      <c r="W749" s="7" t="str">
        <f t="shared" si="181"/>
        <v>Same Day</v>
      </c>
      <c r="X749" s="6">
        <v>8</v>
      </c>
      <c r="Y749" s="6">
        <v>1473.83</v>
      </c>
      <c r="Z749" s="6">
        <v>0.15</v>
      </c>
      <c r="AA749" s="6">
        <f t="shared" si="183"/>
        <v>0.15</v>
      </c>
      <c r="AB749" s="6" t="str">
        <f t="shared" si="184"/>
        <v>Valid</v>
      </c>
      <c r="AC749" s="6">
        <v>10022.040000000001</v>
      </c>
      <c r="AD749" s="6" t="str">
        <f>IF(OR(AO749="Cancelled",AM749="Failed"),"Exclude from Completed Sales","Include in Completed Sales")</f>
        <v>Include in Completed Sales</v>
      </c>
      <c r="AE749" s="6">
        <f t="shared" si="185"/>
        <v>10022.044</v>
      </c>
      <c r="AF749" s="6" t="str">
        <f t="shared" si="186"/>
        <v/>
      </c>
      <c r="AG749" s="6">
        <v>5576.98</v>
      </c>
      <c r="AH749" s="6">
        <v>4445.0600000000004</v>
      </c>
      <c r="AI749" s="6">
        <f t="shared" si="187"/>
        <v>4445.0640000000003</v>
      </c>
      <c r="AJ749" s="11">
        <f t="shared" si="188"/>
        <v>0.44352868536597928</v>
      </c>
      <c r="AK749" s="11" t="str">
        <f t="shared" si="189"/>
        <v>May</v>
      </c>
      <c r="AL749" s="12">
        <f t="shared" si="190"/>
        <v>2024</v>
      </c>
      <c r="AM749" s="6" t="s">
        <v>54</v>
      </c>
      <c r="AN749" s="6" t="s">
        <v>55</v>
      </c>
      <c r="AO749" s="6" t="str">
        <f t="shared" si="182"/>
        <v>Completed</v>
      </c>
    </row>
    <row r="750" spans="1:41">
      <c r="A750" s="6" t="s">
        <v>3493</v>
      </c>
      <c r="B750" s="7" t="s">
        <v>3494</v>
      </c>
      <c r="C750" s="8">
        <v>45442</v>
      </c>
      <c r="D750" s="7" t="s">
        <v>3495</v>
      </c>
      <c r="E750" s="9">
        <v>45442</v>
      </c>
      <c r="F750" s="9" t="str">
        <f t="shared" si="175"/>
        <v>Valid</v>
      </c>
      <c r="G750" s="10">
        <f t="shared" si="176"/>
        <v>0</v>
      </c>
      <c r="H750" s="10" t="str">
        <f t="shared" si="177"/>
        <v>Valid</v>
      </c>
      <c r="I750" s="6" t="s">
        <v>3496</v>
      </c>
      <c r="J750" s="6" t="s">
        <v>230</v>
      </c>
      <c r="K750" s="6" t="s">
        <v>230</v>
      </c>
      <c r="L750" s="6" t="s">
        <v>135</v>
      </c>
      <c r="M750" s="7" t="str">
        <f t="shared" si="178"/>
        <v>Home Office</v>
      </c>
      <c r="N750" s="6" t="s">
        <v>47</v>
      </c>
      <c r="O750" s="7" t="str">
        <f t="shared" si="179"/>
        <v>North</v>
      </c>
      <c r="P750" s="6" t="s">
        <v>343</v>
      </c>
      <c r="Q750" s="6" t="s">
        <v>344</v>
      </c>
      <c r="R750" s="6" t="s">
        <v>106</v>
      </c>
      <c r="S750" s="7" t="str">
        <f t="shared" si="180"/>
        <v>Technology</v>
      </c>
      <c r="T750" s="6" t="s">
        <v>243</v>
      </c>
      <c r="U750" s="6" t="s">
        <v>3497</v>
      </c>
      <c r="V750" s="6" t="s">
        <v>53</v>
      </c>
      <c r="W750" s="7" t="str">
        <f t="shared" si="181"/>
        <v>Second Class</v>
      </c>
      <c r="X750" s="6">
        <v>1</v>
      </c>
      <c r="Y750" s="6">
        <v>3848.04</v>
      </c>
      <c r="Z750" s="6">
        <v>0.25</v>
      </c>
      <c r="AA750" s="6">
        <f t="shared" si="183"/>
        <v>0.25</v>
      </c>
      <c r="AB750" s="6" t="str">
        <f t="shared" si="184"/>
        <v>Valid</v>
      </c>
      <c r="AC750" s="6">
        <v>2886.03</v>
      </c>
      <c r="AD750" s="6" t="str">
        <f>IF(OR(AO750="Cancelled",AM750="Failed"),"Exclude from Completed Sales","Include in Completed Sales")</f>
        <v>Include in Completed Sales</v>
      </c>
      <c r="AE750" s="6">
        <f t="shared" si="185"/>
        <v>2886.0299999999997</v>
      </c>
      <c r="AF750" s="6" t="str">
        <f t="shared" si="186"/>
        <v/>
      </c>
      <c r="AG750" s="6">
        <v>2064.83</v>
      </c>
      <c r="AH750" s="6">
        <v>821.2</v>
      </c>
      <c r="AI750" s="6">
        <f t="shared" si="187"/>
        <v>821.19999999999982</v>
      </c>
      <c r="AJ750" s="11">
        <f t="shared" si="188"/>
        <v>0.28454312671732446</v>
      </c>
      <c r="AK750" s="11" t="str">
        <f t="shared" si="189"/>
        <v>May</v>
      </c>
      <c r="AL750" s="12">
        <f t="shared" si="190"/>
        <v>2024</v>
      </c>
      <c r="AM750" s="6" t="s">
        <v>54</v>
      </c>
      <c r="AN750" s="6" t="s">
        <v>55</v>
      </c>
      <c r="AO750" s="6" t="str">
        <f t="shared" si="182"/>
        <v>Completed</v>
      </c>
    </row>
    <row r="751" spans="1:41">
      <c r="A751" s="6" t="s">
        <v>3498</v>
      </c>
      <c r="B751" s="7" t="s">
        <v>3499</v>
      </c>
      <c r="C751" s="8">
        <v>45372</v>
      </c>
      <c r="D751" s="7" t="s">
        <v>3500</v>
      </c>
      <c r="E751" s="9">
        <v>45376</v>
      </c>
      <c r="F751" s="9" t="str">
        <f t="shared" si="175"/>
        <v>Valid</v>
      </c>
      <c r="G751" s="10">
        <f t="shared" si="176"/>
        <v>4</v>
      </c>
      <c r="H751" s="10" t="str">
        <f t="shared" si="177"/>
        <v>Valid</v>
      </c>
      <c r="I751" s="6" t="s">
        <v>3501</v>
      </c>
      <c r="J751" s="6" t="s">
        <v>127</v>
      </c>
      <c r="K751" s="6" t="s">
        <v>127</v>
      </c>
      <c r="L751" s="6" t="s">
        <v>135</v>
      </c>
      <c r="M751" s="7" t="str">
        <f t="shared" si="178"/>
        <v>Home Office</v>
      </c>
      <c r="N751" s="6" t="s">
        <v>62</v>
      </c>
      <c r="O751" s="7" t="str">
        <f t="shared" si="179"/>
        <v>East</v>
      </c>
      <c r="P751" s="6" t="s">
        <v>236</v>
      </c>
      <c r="Q751" s="6" t="s">
        <v>237</v>
      </c>
      <c r="R751" s="6" t="s">
        <v>106</v>
      </c>
      <c r="S751" s="7" t="str">
        <f t="shared" si="180"/>
        <v>Technology</v>
      </c>
      <c r="T751" s="6" t="s">
        <v>402</v>
      </c>
      <c r="U751" s="6" t="s">
        <v>3502</v>
      </c>
      <c r="V751" s="6" t="s">
        <v>87</v>
      </c>
      <c r="W751" s="7" t="str">
        <f t="shared" si="181"/>
        <v>Standard Class</v>
      </c>
      <c r="X751" s="6">
        <v>1</v>
      </c>
      <c r="Y751" s="6">
        <v>1716.7</v>
      </c>
      <c r="Z751" s="6">
        <v>0.15</v>
      </c>
      <c r="AA751" s="6">
        <f t="shared" si="183"/>
        <v>0.15</v>
      </c>
      <c r="AB751" s="6" t="str">
        <f t="shared" si="184"/>
        <v>Valid</v>
      </c>
      <c r="AC751" s="6">
        <v>1459.19</v>
      </c>
      <c r="AD751" s="6" t="str">
        <f>IF(OR(AO751="Cancelled",AM751="Failed"),"Exclude from Completed Sales","Include in Completed Sales")</f>
        <v>Include in Completed Sales</v>
      </c>
      <c r="AE751" s="6">
        <f t="shared" si="185"/>
        <v>1459.1949999999999</v>
      </c>
      <c r="AF751" s="6" t="str">
        <f t="shared" si="186"/>
        <v/>
      </c>
      <c r="AG751" s="6">
        <v>1055.79</v>
      </c>
      <c r="AH751" s="6">
        <v>403.4</v>
      </c>
      <c r="AI751" s="6">
        <f t="shared" si="187"/>
        <v>403.40499999999997</v>
      </c>
      <c r="AJ751" s="11">
        <f t="shared" si="188"/>
        <v>0.27645722470266137</v>
      </c>
      <c r="AK751" s="11" t="str">
        <f t="shared" si="189"/>
        <v>March</v>
      </c>
      <c r="AL751" s="12">
        <f t="shared" si="190"/>
        <v>2024</v>
      </c>
      <c r="AM751" s="6" t="s">
        <v>54</v>
      </c>
      <c r="AN751" s="6" t="s">
        <v>55</v>
      </c>
      <c r="AO751" s="6" t="str">
        <f t="shared" si="182"/>
        <v>Completed</v>
      </c>
    </row>
    <row r="752" spans="1:41">
      <c r="A752" s="6" t="s">
        <v>3503</v>
      </c>
      <c r="B752" s="7" t="s">
        <v>3504</v>
      </c>
      <c r="C752" s="8">
        <v>45810</v>
      </c>
      <c r="D752" s="7" t="s">
        <v>395</v>
      </c>
      <c r="E752" s="9">
        <v>45810</v>
      </c>
      <c r="F752" s="9" t="str">
        <f t="shared" si="175"/>
        <v>Valid</v>
      </c>
      <c r="G752" s="10">
        <f t="shared" si="176"/>
        <v>0</v>
      </c>
      <c r="H752" s="10" t="str">
        <f t="shared" si="177"/>
        <v>Valid</v>
      </c>
      <c r="I752" s="6" t="s">
        <v>3505</v>
      </c>
      <c r="J752" s="6" t="s">
        <v>182</v>
      </c>
      <c r="K752" s="6" t="s">
        <v>182</v>
      </c>
      <c r="L752" s="6" t="s">
        <v>135</v>
      </c>
      <c r="M752" s="7" t="str">
        <f t="shared" si="178"/>
        <v>Home Office</v>
      </c>
      <c r="N752" s="6" t="s">
        <v>82</v>
      </c>
      <c r="O752" s="7" t="str">
        <f t="shared" si="179"/>
        <v>South</v>
      </c>
      <c r="P752" s="6" t="s">
        <v>83</v>
      </c>
      <c r="Q752" s="6" t="s">
        <v>84</v>
      </c>
      <c r="R752" s="6" t="s">
        <v>106</v>
      </c>
      <c r="S752" s="7" t="str">
        <f t="shared" si="180"/>
        <v>Technology</v>
      </c>
      <c r="T752" s="6" t="s">
        <v>107</v>
      </c>
      <c r="U752" s="6" t="s">
        <v>3506</v>
      </c>
      <c r="V752" s="6" t="s">
        <v>76</v>
      </c>
      <c r="W752" s="7" t="str">
        <f t="shared" si="181"/>
        <v>First Class</v>
      </c>
      <c r="X752" s="6">
        <v>8</v>
      </c>
      <c r="Y752" s="6">
        <v>3925.93</v>
      </c>
      <c r="Z752" s="6">
        <v>0.15</v>
      </c>
      <c r="AA752" s="6">
        <f t="shared" si="183"/>
        <v>0.15</v>
      </c>
      <c r="AB752" s="6" t="str">
        <f t="shared" si="184"/>
        <v>Valid</v>
      </c>
      <c r="AC752" s="6">
        <v>26696.32</v>
      </c>
      <c r="AD752" s="6" t="str">
        <f>IF(OR(AO752="Cancelled",AM752="Failed"),"Exclude from Completed Sales","Include in Completed Sales")</f>
        <v>Include in Completed Sales</v>
      </c>
      <c r="AE752" s="6">
        <f t="shared" si="185"/>
        <v>26696.323999999997</v>
      </c>
      <c r="AF752" s="6" t="str">
        <f t="shared" si="186"/>
        <v/>
      </c>
      <c r="AG752" s="6">
        <v>22724.52</v>
      </c>
      <c r="AH752" s="6">
        <v>3971.8</v>
      </c>
      <c r="AI752" s="6">
        <f t="shared" si="187"/>
        <v>3971.8039999999964</v>
      </c>
      <c r="AJ752" s="11">
        <f t="shared" si="188"/>
        <v>0.14877718745097629</v>
      </c>
      <c r="AK752" s="11" t="str">
        <f t="shared" si="189"/>
        <v>June</v>
      </c>
      <c r="AL752" s="12">
        <f t="shared" si="190"/>
        <v>2025</v>
      </c>
      <c r="AM752" s="6" t="s">
        <v>54</v>
      </c>
      <c r="AN752" s="6" t="s">
        <v>55</v>
      </c>
      <c r="AO752" s="6" t="str">
        <f t="shared" si="182"/>
        <v>Completed</v>
      </c>
    </row>
    <row r="753" spans="1:41">
      <c r="A753" s="6" t="s">
        <v>3507</v>
      </c>
      <c r="B753" s="7" t="s">
        <v>740</v>
      </c>
      <c r="C753" s="8">
        <v>45856</v>
      </c>
      <c r="D753" s="7" t="s">
        <v>3508</v>
      </c>
      <c r="E753" s="9">
        <v>45857</v>
      </c>
      <c r="F753" s="9" t="str">
        <f t="shared" si="175"/>
        <v>Valid</v>
      </c>
      <c r="G753" s="10">
        <f t="shared" si="176"/>
        <v>1</v>
      </c>
      <c r="H753" s="10" t="str">
        <f t="shared" si="177"/>
        <v>Valid</v>
      </c>
      <c r="I753" s="6" t="s">
        <v>3509</v>
      </c>
      <c r="J753" s="6" t="s">
        <v>162</v>
      </c>
      <c r="K753" s="6" t="s">
        <v>162</v>
      </c>
      <c r="L753" s="6" t="s">
        <v>135</v>
      </c>
      <c r="M753" s="7" t="str">
        <f t="shared" si="178"/>
        <v>Home Office</v>
      </c>
      <c r="N753" s="6"/>
      <c r="O753" s="7" t="str">
        <f t="shared" si="179"/>
        <v>Unknown</v>
      </c>
      <c r="P753" s="6" t="s">
        <v>194</v>
      </c>
      <c r="Q753" s="6" t="s">
        <v>195</v>
      </c>
      <c r="R753" s="6" t="s">
        <v>106</v>
      </c>
      <c r="S753" s="7" t="str">
        <f t="shared" si="180"/>
        <v>Technology</v>
      </c>
      <c r="T753" s="6" t="s">
        <v>402</v>
      </c>
      <c r="U753" s="6" t="s">
        <v>3510</v>
      </c>
      <c r="V753" s="6"/>
      <c r="W753" s="7" t="str">
        <f t="shared" si="181"/>
        <v>Unknown</v>
      </c>
      <c r="X753" s="6">
        <v>3</v>
      </c>
      <c r="Y753" s="6">
        <v>2963.25</v>
      </c>
      <c r="Z753" s="6">
        <v>0.05</v>
      </c>
      <c r="AA753" s="6">
        <f t="shared" si="183"/>
        <v>0.05</v>
      </c>
      <c r="AB753" s="6" t="str">
        <f t="shared" si="184"/>
        <v>Valid</v>
      </c>
      <c r="AC753" s="6">
        <v>8445.26</v>
      </c>
      <c r="AD753" s="6" t="str">
        <f>IF(OR(AO753="Cancelled",AM753="Failed"),"Exclude from Completed Sales","Include in Completed Sales")</f>
        <v>Include in Completed Sales</v>
      </c>
      <c r="AE753" s="6">
        <f t="shared" si="185"/>
        <v>8445.2624999999989</v>
      </c>
      <c r="AF753" s="6" t="str">
        <f t="shared" si="186"/>
        <v/>
      </c>
      <c r="AG753" s="6">
        <v>6937.6</v>
      </c>
      <c r="AH753" s="6">
        <v>1507.66</v>
      </c>
      <c r="AI753" s="6">
        <f t="shared" si="187"/>
        <v>1507.6624999999985</v>
      </c>
      <c r="AJ753" s="11">
        <f t="shared" si="188"/>
        <v>0.17852168597482893</v>
      </c>
      <c r="AK753" s="11" t="str">
        <f t="shared" si="189"/>
        <v>July</v>
      </c>
      <c r="AL753" s="12">
        <f t="shared" si="190"/>
        <v>2025</v>
      </c>
      <c r="AM753" s="6" t="s">
        <v>54</v>
      </c>
      <c r="AN753" s="6" t="s">
        <v>55</v>
      </c>
      <c r="AO753" s="6" t="str">
        <f t="shared" si="182"/>
        <v>Completed</v>
      </c>
    </row>
    <row r="754" spans="1:41">
      <c r="A754" s="6" t="s">
        <v>3511</v>
      </c>
      <c r="B754" s="7" t="s">
        <v>2237</v>
      </c>
      <c r="C754" s="8">
        <v>45375</v>
      </c>
      <c r="D754" s="7" t="s">
        <v>3182</v>
      </c>
      <c r="E754" s="9">
        <v>45378</v>
      </c>
      <c r="F754" s="9" t="str">
        <f t="shared" si="175"/>
        <v>Valid</v>
      </c>
      <c r="G754" s="10">
        <f t="shared" si="176"/>
        <v>3</v>
      </c>
      <c r="H754" s="10" t="str">
        <f t="shared" si="177"/>
        <v>Valid</v>
      </c>
      <c r="I754" s="6" t="s">
        <v>3512</v>
      </c>
      <c r="J754" s="6" t="s">
        <v>127</v>
      </c>
      <c r="K754" s="6" t="s">
        <v>127</v>
      </c>
      <c r="L754" s="6" t="s">
        <v>128</v>
      </c>
      <c r="M754" s="7" t="str">
        <f t="shared" si="178"/>
        <v>Corporate</v>
      </c>
      <c r="N754" s="6" t="s">
        <v>93</v>
      </c>
      <c r="O754" s="7" t="str">
        <f t="shared" si="179"/>
        <v>West</v>
      </c>
      <c r="P754" s="6" t="s">
        <v>255</v>
      </c>
      <c r="Q754" s="6" t="s">
        <v>256</v>
      </c>
      <c r="R754" s="6" t="s">
        <v>50</v>
      </c>
      <c r="S754" s="7" t="str">
        <f t="shared" si="180"/>
        <v>Office Supplies</v>
      </c>
      <c r="T754" s="6" t="s">
        <v>176</v>
      </c>
      <c r="U754" s="6" t="s">
        <v>3513</v>
      </c>
      <c r="V754" s="6" t="s">
        <v>76</v>
      </c>
      <c r="W754" s="7" t="str">
        <f t="shared" si="181"/>
        <v>First Class</v>
      </c>
      <c r="X754" s="6">
        <v>5</v>
      </c>
      <c r="Y754" s="6">
        <v>2465.2199999999998</v>
      </c>
      <c r="Z754" s="6">
        <v>0.05</v>
      </c>
      <c r="AA754" s="6">
        <f t="shared" si="183"/>
        <v>0.05</v>
      </c>
      <c r="AB754" s="6" t="str">
        <f t="shared" si="184"/>
        <v>Valid</v>
      </c>
      <c r="AC754" s="6">
        <v>11709.79</v>
      </c>
      <c r="AD754" s="6" t="str">
        <f>IF(OR(AO754="Cancelled",AM754="Failed"),"Exclude from Completed Sales","Include in Completed Sales")</f>
        <v>Include in Completed Sales</v>
      </c>
      <c r="AE754" s="6">
        <f t="shared" si="185"/>
        <v>11709.794999999998</v>
      </c>
      <c r="AF754" s="6" t="str">
        <f t="shared" si="186"/>
        <v/>
      </c>
      <c r="AG754" s="6">
        <v>8372.2900000000009</v>
      </c>
      <c r="AH754" s="6">
        <v>3337.5</v>
      </c>
      <c r="AI754" s="6">
        <f t="shared" si="187"/>
        <v>3337.5049999999974</v>
      </c>
      <c r="AJ754" s="11">
        <f t="shared" si="188"/>
        <v>0.28501822619439521</v>
      </c>
      <c r="AK754" s="11" t="str">
        <f t="shared" si="189"/>
        <v>March</v>
      </c>
      <c r="AL754" s="12">
        <f t="shared" si="190"/>
        <v>2024</v>
      </c>
      <c r="AM754" s="6" t="s">
        <v>54</v>
      </c>
      <c r="AN754" s="6" t="s">
        <v>55</v>
      </c>
      <c r="AO754" s="6" t="str">
        <f t="shared" si="182"/>
        <v>Completed</v>
      </c>
    </row>
    <row r="755" spans="1:41">
      <c r="A755" s="6" t="s">
        <v>3514</v>
      </c>
      <c r="B755" s="7" t="s">
        <v>2458</v>
      </c>
      <c r="C755" s="8">
        <v>45515</v>
      </c>
      <c r="D755" s="7" t="s">
        <v>2818</v>
      </c>
      <c r="E755" s="9">
        <v>45514</v>
      </c>
      <c r="F755" s="9" t="str">
        <f t="shared" si="175"/>
        <v>Invalid Shipping Record</v>
      </c>
      <c r="G755" s="10">
        <f t="shared" si="176"/>
        <v>-1</v>
      </c>
      <c r="H755" s="10" t="str">
        <f t="shared" si="177"/>
        <v>Invalid Shipping Record</v>
      </c>
      <c r="I755" s="6" t="s">
        <v>3515</v>
      </c>
      <c r="J755" s="6" t="s">
        <v>127</v>
      </c>
      <c r="K755" s="6" t="s">
        <v>127</v>
      </c>
      <c r="L755" s="6" t="s">
        <v>128</v>
      </c>
      <c r="M755" s="7" t="str">
        <f t="shared" si="178"/>
        <v>Corporate</v>
      </c>
      <c r="N755" s="6" t="s">
        <v>47</v>
      </c>
      <c r="O755" s="7" t="str">
        <f t="shared" si="179"/>
        <v>North</v>
      </c>
      <c r="P755" s="6" t="s">
        <v>526</v>
      </c>
      <c r="Q755" s="6" t="s">
        <v>527</v>
      </c>
      <c r="R755" s="6" t="s">
        <v>65</v>
      </c>
      <c r="S755" s="7" t="str">
        <f t="shared" si="180"/>
        <v>Furniture</v>
      </c>
      <c r="T755" s="6" t="s">
        <v>85</v>
      </c>
      <c r="U755" s="6" t="s">
        <v>3516</v>
      </c>
      <c r="V755" s="6" t="s">
        <v>53</v>
      </c>
      <c r="W755" s="7" t="str">
        <f t="shared" si="181"/>
        <v>Second Class</v>
      </c>
      <c r="X755" s="6">
        <v>3</v>
      </c>
      <c r="Y755" s="6">
        <v>1017.22</v>
      </c>
      <c r="Z755" s="6">
        <v>0.15</v>
      </c>
      <c r="AA755" s="6">
        <f t="shared" si="183"/>
        <v>0.15</v>
      </c>
      <c r="AB755" s="6" t="str">
        <f t="shared" si="184"/>
        <v>Valid</v>
      </c>
      <c r="AC755" s="6">
        <v>2593.91</v>
      </c>
      <c r="AD755" s="6" t="str">
        <f>IF(OR(AO755="Cancelled",AM755="Failed"),"Exclude from Completed Sales","Include in Completed Sales")</f>
        <v>Exclude from Completed Sales</v>
      </c>
      <c r="AE755" s="6">
        <f t="shared" si="185"/>
        <v>2593.9109999999996</v>
      </c>
      <c r="AF755" s="6" t="str">
        <f t="shared" si="186"/>
        <v/>
      </c>
      <c r="AG755" s="6">
        <v>1848.48</v>
      </c>
      <c r="AH755" s="6">
        <v>745.43</v>
      </c>
      <c r="AI755" s="6">
        <f t="shared" si="187"/>
        <v>745.43099999999959</v>
      </c>
      <c r="AJ755" s="11">
        <f t="shared" si="188"/>
        <v>0.28737724617382776</v>
      </c>
      <c r="AK755" s="11" t="str">
        <f t="shared" si="189"/>
        <v>August</v>
      </c>
      <c r="AL755" s="12">
        <f t="shared" si="190"/>
        <v>2024</v>
      </c>
      <c r="AM755" s="6" t="s">
        <v>220</v>
      </c>
      <c r="AN755" s="6" t="s">
        <v>145</v>
      </c>
      <c r="AO755" s="6" t="str">
        <f t="shared" si="182"/>
        <v>Returned</v>
      </c>
    </row>
    <row r="756" spans="1:41">
      <c r="A756" s="6" t="s">
        <v>3517</v>
      </c>
      <c r="B756" s="7" t="s">
        <v>3518</v>
      </c>
      <c r="C756" s="8">
        <v>45812</v>
      </c>
      <c r="D756" s="7" t="s">
        <v>3518</v>
      </c>
      <c r="E756" s="9">
        <v>45812</v>
      </c>
      <c r="F756" s="9" t="str">
        <f t="shared" si="175"/>
        <v>Valid</v>
      </c>
      <c r="G756" s="10">
        <f t="shared" si="176"/>
        <v>0</v>
      </c>
      <c r="H756" s="10" t="str">
        <f t="shared" si="177"/>
        <v>Valid</v>
      </c>
      <c r="I756" s="6" t="s">
        <v>3519</v>
      </c>
      <c r="J756" s="6" t="s">
        <v>113</v>
      </c>
      <c r="K756" s="6" t="s">
        <v>113</v>
      </c>
      <c r="L756" s="6" t="s">
        <v>128</v>
      </c>
      <c r="M756" s="7" t="str">
        <f t="shared" si="178"/>
        <v>Corporate</v>
      </c>
      <c r="N756" s="6" t="s">
        <v>82</v>
      </c>
      <c r="O756" s="7" t="str">
        <f t="shared" si="179"/>
        <v>South</v>
      </c>
      <c r="P756" s="6" t="s">
        <v>262</v>
      </c>
      <c r="Q756" s="6" t="s">
        <v>263</v>
      </c>
      <c r="R756" s="6" t="s">
        <v>50</v>
      </c>
      <c r="S756" s="7" t="str">
        <f t="shared" si="180"/>
        <v>Office Supplies</v>
      </c>
      <c r="T756" s="6" t="s">
        <v>176</v>
      </c>
      <c r="U756" s="6" t="s">
        <v>3520</v>
      </c>
      <c r="V756" s="6" t="s">
        <v>87</v>
      </c>
      <c r="W756" s="7" t="str">
        <f t="shared" si="181"/>
        <v>Standard Class</v>
      </c>
      <c r="X756" s="6">
        <v>4</v>
      </c>
      <c r="Y756" s="6">
        <v>891.34</v>
      </c>
      <c r="Z756" s="6">
        <v>0.25</v>
      </c>
      <c r="AA756" s="6">
        <f t="shared" si="183"/>
        <v>0.25</v>
      </c>
      <c r="AB756" s="6" t="str">
        <f t="shared" si="184"/>
        <v>Valid</v>
      </c>
      <c r="AC756" s="6">
        <v>2674.02</v>
      </c>
      <c r="AD756" s="6" t="str">
        <f>IF(OR(AO756="Cancelled",AM756="Failed"),"Exclude from Completed Sales","Include in Completed Sales")</f>
        <v>Include in Completed Sales</v>
      </c>
      <c r="AE756" s="6">
        <f t="shared" si="185"/>
        <v>2674.02</v>
      </c>
      <c r="AF756" s="6" t="str">
        <f t="shared" si="186"/>
        <v/>
      </c>
      <c r="AG756" s="6">
        <v>2207.5700000000002</v>
      </c>
      <c r="AH756" s="6">
        <v>466.45</v>
      </c>
      <c r="AI756" s="6">
        <f t="shared" si="187"/>
        <v>466.44999999999982</v>
      </c>
      <c r="AJ756" s="11">
        <f t="shared" si="188"/>
        <v>0.17443773793763689</v>
      </c>
      <c r="AK756" s="11" t="str">
        <f t="shared" si="189"/>
        <v>June</v>
      </c>
      <c r="AL756" s="12">
        <f t="shared" si="190"/>
        <v>2025</v>
      </c>
      <c r="AM756" s="6" t="s">
        <v>54</v>
      </c>
      <c r="AN756" s="6" t="s">
        <v>55</v>
      </c>
      <c r="AO756" s="6" t="str">
        <f t="shared" si="182"/>
        <v>Completed</v>
      </c>
    </row>
    <row r="757" spans="1:41">
      <c r="A757" s="6" t="s">
        <v>3521</v>
      </c>
      <c r="B757" s="7" t="s">
        <v>1114</v>
      </c>
      <c r="C757" s="8">
        <v>45858</v>
      </c>
      <c r="D757" s="7" t="s">
        <v>1749</v>
      </c>
      <c r="E757" s="9">
        <v>45862</v>
      </c>
      <c r="F757" s="9" t="str">
        <f t="shared" si="175"/>
        <v>Valid</v>
      </c>
      <c r="G757" s="10">
        <f t="shared" si="176"/>
        <v>4</v>
      </c>
      <c r="H757" s="10" t="str">
        <f t="shared" si="177"/>
        <v>Valid</v>
      </c>
      <c r="I757" s="6" t="s">
        <v>3522</v>
      </c>
      <c r="J757" s="6" t="s">
        <v>162</v>
      </c>
      <c r="K757" s="6" t="s">
        <v>162</v>
      </c>
      <c r="L757" s="6" t="s">
        <v>135</v>
      </c>
      <c r="M757" s="7" t="str">
        <f t="shared" si="178"/>
        <v>Home Office</v>
      </c>
      <c r="N757" s="6" t="s">
        <v>93</v>
      </c>
      <c r="O757" s="7" t="str">
        <f t="shared" si="179"/>
        <v>West</v>
      </c>
      <c r="P757" s="6" t="s">
        <v>104</v>
      </c>
      <c r="Q757" s="6" t="s">
        <v>105</v>
      </c>
      <c r="R757" s="6" t="s">
        <v>50</v>
      </c>
      <c r="S757" s="7" t="str">
        <f t="shared" si="180"/>
        <v>Office Supplies</v>
      </c>
      <c r="T757" s="6" t="s">
        <v>176</v>
      </c>
      <c r="U757" s="6" t="s">
        <v>3523</v>
      </c>
      <c r="V757" s="6" t="s">
        <v>53</v>
      </c>
      <c r="W757" s="7" t="str">
        <f t="shared" si="181"/>
        <v>Second Class</v>
      </c>
      <c r="X757" s="6">
        <v>5</v>
      </c>
      <c r="Y757" s="6">
        <v>2481.7399999999998</v>
      </c>
      <c r="Z757" s="6">
        <v>0.2</v>
      </c>
      <c r="AA757" s="6">
        <f t="shared" si="183"/>
        <v>0.2</v>
      </c>
      <c r="AB757" s="6" t="str">
        <f t="shared" si="184"/>
        <v>Valid</v>
      </c>
      <c r="AC757" s="6">
        <v>9926.9599999999991</v>
      </c>
      <c r="AD757" s="6" t="str">
        <f>IF(OR(AO757="Cancelled",AM757="Failed"),"Exclude from Completed Sales","Include in Completed Sales")</f>
        <v>Include in Completed Sales</v>
      </c>
      <c r="AE757" s="6">
        <f t="shared" si="185"/>
        <v>9926.9599999999991</v>
      </c>
      <c r="AF757" s="6" t="str">
        <f t="shared" si="186"/>
        <v/>
      </c>
      <c r="AG757" s="6">
        <v>7994.98</v>
      </c>
      <c r="AH757" s="6">
        <v>1931.98</v>
      </c>
      <c r="AI757" s="6">
        <f t="shared" si="187"/>
        <v>1931.9799999999996</v>
      </c>
      <c r="AJ757" s="11">
        <f t="shared" si="188"/>
        <v>0.19461950083409219</v>
      </c>
      <c r="AK757" s="11" t="str">
        <f t="shared" si="189"/>
        <v>July</v>
      </c>
      <c r="AL757" s="12">
        <f t="shared" si="190"/>
        <v>2025</v>
      </c>
      <c r="AM757" s="6" t="s">
        <v>54</v>
      </c>
      <c r="AN757" s="6" t="s">
        <v>55</v>
      </c>
      <c r="AO757" s="6" t="str">
        <f t="shared" si="182"/>
        <v>Completed</v>
      </c>
    </row>
    <row r="758" spans="1:41">
      <c r="A758" s="6" t="s">
        <v>3524</v>
      </c>
      <c r="B758" s="7" t="s">
        <v>3525</v>
      </c>
      <c r="C758" s="8">
        <v>45592</v>
      </c>
      <c r="D758" s="7" t="s">
        <v>3526</v>
      </c>
      <c r="E758" s="9">
        <v>45597</v>
      </c>
      <c r="F758" s="9" t="str">
        <f t="shared" si="175"/>
        <v>Valid</v>
      </c>
      <c r="G758" s="10">
        <f t="shared" si="176"/>
        <v>5</v>
      </c>
      <c r="H758" s="10" t="str">
        <f t="shared" si="177"/>
        <v>Valid</v>
      </c>
      <c r="I758" s="6" t="s">
        <v>3527</v>
      </c>
      <c r="J758" s="6" t="s">
        <v>200</v>
      </c>
      <c r="K758" s="6" t="s">
        <v>200</v>
      </c>
      <c r="L758" s="6" t="s">
        <v>46</v>
      </c>
      <c r="M758" s="7" t="str">
        <f t="shared" si="178"/>
        <v>Consumer</v>
      </c>
      <c r="N758" s="6" t="s">
        <v>47</v>
      </c>
      <c r="O758" s="7" t="str">
        <f t="shared" si="179"/>
        <v>North</v>
      </c>
      <c r="P758" s="6" t="s">
        <v>48</v>
      </c>
      <c r="Q758" s="6" t="s">
        <v>49</v>
      </c>
      <c r="R758" s="6" t="s">
        <v>106</v>
      </c>
      <c r="S758" s="7" t="str">
        <f t="shared" si="180"/>
        <v>Technology</v>
      </c>
      <c r="T758" s="6" t="s">
        <v>107</v>
      </c>
      <c r="U758" s="6" t="s">
        <v>3528</v>
      </c>
      <c r="V758" s="6" t="s">
        <v>68</v>
      </c>
      <c r="W758" s="7" t="str">
        <f t="shared" si="181"/>
        <v>Same Day</v>
      </c>
      <c r="X758" s="6">
        <v>7</v>
      </c>
      <c r="Y758" s="6">
        <v>2177.1</v>
      </c>
      <c r="Z758" s="6">
        <v>0.2</v>
      </c>
      <c r="AA758" s="6">
        <f t="shared" si="183"/>
        <v>0.2</v>
      </c>
      <c r="AB758" s="6" t="str">
        <f t="shared" si="184"/>
        <v>Valid</v>
      </c>
      <c r="AC758" s="6">
        <v>12191.76</v>
      </c>
      <c r="AD758" s="6" t="str">
        <f>IF(OR(AO758="Cancelled",AM758="Failed"),"Exclude from Completed Sales","Include in Completed Sales")</f>
        <v>Include in Completed Sales</v>
      </c>
      <c r="AE758" s="6">
        <f t="shared" si="185"/>
        <v>12191.76</v>
      </c>
      <c r="AF758" s="6" t="str">
        <f t="shared" si="186"/>
        <v/>
      </c>
      <c r="AG758" s="6">
        <v>10457.49</v>
      </c>
      <c r="AH758" s="6">
        <v>1734.27</v>
      </c>
      <c r="AI758" s="6">
        <f t="shared" si="187"/>
        <v>1734.2700000000004</v>
      </c>
      <c r="AJ758" s="11">
        <f t="shared" si="188"/>
        <v>0.14224935530226976</v>
      </c>
      <c r="AK758" s="11" t="str">
        <f t="shared" si="189"/>
        <v>October</v>
      </c>
      <c r="AL758" s="12">
        <f t="shared" si="190"/>
        <v>2024</v>
      </c>
      <c r="AM758" s="6" t="s">
        <v>54</v>
      </c>
      <c r="AN758" s="6" t="s">
        <v>145</v>
      </c>
      <c r="AO758" s="6" t="str">
        <f t="shared" si="182"/>
        <v>Returned</v>
      </c>
    </row>
    <row r="759" spans="1:41">
      <c r="A759" s="6" t="s">
        <v>3529</v>
      </c>
      <c r="B759" s="7" t="s">
        <v>3530</v>
      </c>
      <c r="C759" s="8">
        <v>45870</v>
      </c>
      <c r="D759" s="7" t="s">
        <v>3531</v>
      </c>
      <c r="E759" s="9">
        <v>45872</v>
      </c>
      <c r="F759" s="9" t="str">
        <f t="shared" si="175"/>
        <v>Valid</v>
      </c>
      <c r="G759" s="10">
        <f t="shared" si="176"/>
        <v>2</v>
      </c>
      <c r="H759" s="10" t="str">
        <f t="shared" si="177"/>
        <v>Valid</v>
      </c>
      <c r="I759" s="6" t="s">
        <v>3532</v>
      </c>
      <c r="J759" s="6" t="s">
        <v>127</v>
      </c>
      <c r="K759" s="6" t="s">
        <v>127</v>
      </c>
      <c r="L759" s="6" t="s">
        <v>61</v>
      </c>
      <c r="M759" s="7" t="str">
        <f t="shared" si="178"/>
        <v>Small Business</v>
      </c>
      <c r="N759" s="6" t="s">
        <v>82</v>
      </c>
      <c r="O759" s="7" t="str">
        <f t="shared" si="179"/>
        <v>South</v>
      </c>
      <c r="P759" s="6" t="s">
        <v>262</v>
      </c>
      <c r="Q759" s="6" t="s">
        <v>263</v>
      </c>
      <c r="R759" s="6" t="s">
        <v>65</v>
      </c>
      <c r="S759" s="7" t="str">
        <f t="shared" si="180"/>
        <v>Furniture</v>
      </c>
      <c r="T759" s="6" t="s">
        <v>224</v>
      </c>
      <c r="U759" s="6" t="s">
        <v>3533</v>
      </c>
      <c r="V759" s="6" t="s">
        <v>87</v>
      </c>
      <c r="W759" s="7" t="str">
        <f t="shared" si="181"/>
        <v>Standard Class</v>
      </c>
      <c r="X759" s="6">
        <v>3</v>
      </c>
      <c r="Y759" s="6">
        <v>1904.78</v>
      </c>
      <c r="Z759" s="6">
        <v>0.25</v>
      </c>
      <c r="AA759" s="6">
        <f t="shared" si="183"/>
        <v>0.25</v>
      </c>
      <c r="AB759" s="6" t="str">
        <f t="shared" si="184"/>
        <v>Valid</v>
      </c>
      <c r="AC759" s="6">
        <v>4285.76</v>
      </c>
      <c r="AD759" s="6" t="str">
        <f>IF(OR(AO759="Cancelled",AM759="Failed"),"Exclude from Completed Sales","Include in Completed Sales")</f>
        <v>Exclude from Completed Sales</v>
      </c>
      <c r="AE759" s="6">
        <f t="shared" si="185"/>
        <v>4285.7550000000001</v>
      </c>
      <c r="AF759" s="6" t="str">
        <f t="shared" si="186"/>
        <v/>
      </c>
      <c r="AG759" s="6">
        <v>2386.33</v>
      </c>
      <c r="AH759" s="6">
        <v>1899.43</v>
      </c>
      <c r="AI759" s="6">
        <f t="shared" si="187"/>
        <v>1899.4250000000002</v>
      </c>
      <c r="AJ759" s="11">
        <f t="shared" si="188"/>
        <v>0.44319495631458172</v>
      </c>
      <c r="AK759" s="11" t="str">
        <f t="shared" si="189"/>
        <v>August</v>
      </c>
      <c r="AL759" s="12">
        <f t="shared" si="190"/>
        <v>2025</v>
      </c>
      <c r="AM759" s="6" t="s">
        <v>220</v>
      </c>
      <c r="AN759" s="6" t="s">
        <v>98</v>
      </c>
      <c r="AO759" s="6" t="str">
        <f t="shared" si="182"/>
        <v>Cancelled</v>
      </c>
    </row>
    <row r="760" spans="1:41">
      <c r="A760" s="6" t="s">
        <v>3534</v>
      </c>
      <c r="B760" s="7" t="s">
        <v>3535</v>
      </c>
      <c r="C760" s="8">
        <v>45414</v>
      </c>
      <c r="D760" s="7" t="s">
        <v>2724</v>
      </c>
      <c r="E760" s="9">
        <v>45422</v>
      </c>
      <c r="F760" s="9" t="str">
        <f t="shared" si="175"/>
        <v>Valid</v>
      </c>
      <c r="G760" s="10">
        <f t="shared" si="176"/>
        <v>8</v>
      </c>
      <c r="H760" s="10" t="str">
        <f t="shared" si="177"/>
        <v>Valid</v>
      </c>
      <c r="I760" s="6" t="s">
        <v>3536</v>
      </c>
      <c r="J760" s="6" t="s">
        <v>182</v>
      </c>
      <c r="K760" s="6" t="s">
        <v>182</v>
      </c>
      <c r="L760" s="6" t="s">
        <v>61</v>
      </c>
      <c r="M760" s="7" t="str">
        <f t="shared" si="178"/>
        <v>Small Business</v>
      </c>
      <c r="N760" s="6" t="s">
        <v>82</v>
      </c>
      <c r="O760" s="7" t="str">
        <f t="shared" si="179"/>
        <v>South</v>
      </c>
      <c r="P760" s="6" t="s">
        <v>249</v>
      </c>
      <c r="Q760" s="6" t="s">
        <v>250</v>
      </c>
      <c r="R760" s="6" t="s">
        <v>65</v>
      </c>
      <c r="S760" s="7" t="str">
        <f t="shared" si="180"/>
        <v>Furniture</v>
      </c>
      <c r="T760" s="6" t="s">
        <v>96</v>
      </c>
      <c r="U760" s="6" t="s">
        <v>3537</v>
      </c>
      <c r="V760" s="6" t="s">
        <v>87</v>
      </c>
      <c r="W760" s="7" t="str">
        <f t="shared" si="181"/>
        <v>Standard Class</v>
      </c>
      <c r="X760" s="6">
        <v>1</v>
      </c>
      <c r="Y760" s="6">
        <v>4166.91</v>
      </c>
      <c r="Z760" s="6">
        <v>0</v>
      </c>
      <c r="AA760" s="6">
        <f t="shared" si="183"/>
        <v>0</v>
      </c>
      <c r="AB760" s="6" t="str">
        <f t="shared" si="184"/>
        <v>Valid</v>
      </c>
      <c r="AC760" s="6">
        <v>4166.91</v>
      </c>
      <c r="AD760" s="6" t="str">
        <f>IF(OR(AO760="Cancelled",AM760="Failed"),"Exclude from Completed Sales","Include in Completed Sales")</f>
        <v>Include in Completed Sales</v>
      </c>
      <c r="AE760" s="6">
        <f t="shared" si="185"/>
        <v>4166.91</v>
      </c>
      <c r="AF760" s="6" t="str">
        <f t="shared" si="186"/>
        <v/>
      </c>
      <c r="AG760" s="6">
        <v>3412.63</v>
      </c>
      <c r="AH760" s="6">
        <v>754.28</v>
      </c>
      <c r="AI760" s="6">
        <f t="shared" si="187"/>
        <v>754.27999999999975</v>
      </c>
      <c r="AJ760" s="11">
        <f t="shared" si="188"/>
        <v>0.18101662862888801</v>
      </c>
      <c r="AK760" s="11" t="str">
        <f t="shared" si="189"/>
        <v>May</v>
      </c>
      <c r="AL760" s="12">
        <f t="shared" si="190"/>
        <v>2024</v>
      </c>
      <c r="AM760" s="6" t="s">
        <v>54</v>
      </c>
      <c r="AN760" s="6" t="s">
        <v>55</v>
      </c>
      <c r="AO760" s="6" t="str">
        <f t="shared" si="182"/>
        <v>Completed</v>
      </c>
    </row>
    <row r="761" spans="1:41">
      <c r="A761" s="6" t="s">
        <v>3538</v>
      </c>
      <c r="B761" s="7" t="s">
        <v>426</v>
      </c>
      <c r="C761" s="8">
        <v>45492</v>
      </c>
      <c r="D761" s="7" t="s">
        <v>3539</v>
      </c>
      <c r="E761" s="9">
        <v>45499</v>
      </c>
      <c r="F761" s="9" t="str">
        <f t="shared" si="175"/>
        <v>Valid</v>
      </c>
      <c r="G761" s="10">
        <f t="shared" si="176"/>
        <v>7</v>
      </c>
      <c r="H761" s="10" t="str">
        <f t="shared" si="177"/>
        <v>Valid</v>
      </c>
      <c r="I761" s="6" t="s">
        <v>3540</v>
      </c>
      <c r="J761" s="6" t="s">
        <v>81</v>
      </c>
      <c r="K761" s="6" t="s">
        <v>81</v>
      </c>
      <c r="L761" s="6" t="s">
        <v>135</v>
      </c>
      <c r="M761" s="7" t="str">
        <f t="shared" si="178"/>
        <v>Home Office</v>
      </c>
      <c r="N761" s="6" t="s">
        <v>82</v>
      </c>
      <c r="O761" s="7" t="str">
        <f t="shared" si="179"/>
        <v>South</v>
      </c>
      <c r="P761" s="6" t="s">
        <v>249</v>
      </c>
      <c r="Q761" s="6" t="s">
        <v>250</v>
      </c>
      <c r="R761" s="6" t="s">
        <v>65</v>
      </c>
      <c r="S761" s="7" t="str">
        <f t="shared" si="180"/>
        <v>Furniture</v>
      </c>
      <c r="T761" s="6" t="s">
        <v>66</v>
      </c>
      <c r="U761" s="6" t="s">
        <v>3541</v>
      </c>
      <c r="V761" s="6" t="s">
        <v>53</v>
      </c>
      <c r="W761" s="7" t="str">
        <f t="shared" si="181"/>
        <v>Second Class</v>
      </c>
      <c r="X761" s="6">
        <v>5</v>
      </c>
      <c r="Y761" s="6">
        <v>3986.01</v>
      </c>
      <c r="Z761" s="6">
        <v>0.25</v>
      </c>
      <c r="AA761" s="6">
        <f t="shared" si="183"/>
        <v>0.25</v>
      </c>
      <c r="AB761" s="6" t="str">
        <f t="shared" si="184"/>
        <v>Valid</v>
      </c>
      <c r="AC761" s="6">
        <v>14947.54</v>
      </c>
      <c r="AD761" s="6" t="str">
        <f>IF(OR(AO761="Cancelled",AM761="Failed"),"Exclude from Completed Sales","Include in Completed Sales")</f>
        <v>Include in Completed Sales</v>
      </c>
      <c r="AE761" s="6">
        <f t="shared" si="185"/>
        <v>14947.537500000002</v>
      </c>
      <c r="AF761" s="6" t="str">
        <f t="shared" si="186"/>
        <v/>
      </c>
      <c r="AG761" s="6">
        <v>9438.4599999999991</v>
      </c>
      <c r="AH761" s="6">
        <v>5509.08</v>
      </c>
      <c r="AI761" s="6">
        <f t="shared" si="187"/>
        <v>5509.0775000000031</v>
      </c>
      <c r="AJ761" s="11">
        <f t="shared" si="188"/>
        <v>0.36856087499362367</v>
      </c>
      <c r="AK761" s="11" t="str">
        <f t="shared" si="189"/>
        <v>July</v>
      </c>
      <c r="AL761" s="12">
        <f t="shared" si="190"/>
        <v>2024</v>
      </c>
      <c r="AM761" s="6" t="s">
        <v>54</v>
      </c>
      <c r="AN761" s="6" t="s">
        <v>55</v>
      </c>
      <c r="AO761" s="6" t="str">
        <f t="shared" si="182"/>
        <v>Completed</v>
      </c>
    </row>
    <row r="762" spans="1:41">
      <c r="A762" s="6" t="s">
        <v>3542</v>
      </c>
      <c r="B762" s="7" t="s">
        <v>3543</v>
      </c>
      <c r="C762" s="8">
        <v>45532</v>
      </c>
      <c r="D762" s="7" t="s">
        <v>1215</v>
      </c>
      <c r="E762" s="9">
        <v>45537</v>
      </c>
      <c r="F762" s="9" t="str">
        <f t="shared" si="175"/>
        <v>Valid</v>
      </c>
      <c r="G762" s="10">
        <f t="shared" si="176"/>
        <v>5</v>
      </c>
      <c r="H762" s="10" t="str">
        <f t="shared" si="177"/>
        <v>Valid</v>
      </c>
      <c r="I762" s="6" t="s">
        <v>3544</v>
      </c>
      <c r="J762" s="6" t="s">
        <v>127</v>
      </c>
      <c r="K762" s="6" t="s">
        <v>127</v>
      </c>
      <c r="L762" s="6" t="s">
        <v>135</v>
      </c>
      <c r="M762" s="7" t="str">
        <f t="shared" si="178"/>
        <v>Home Office</v>
      </c>
      <c r="N762" s="6" t="s">
        <v>62</v>
      </c>
      <c r="O762" s="7" t="str">
        <f t="shared" si="179"/>
        <v>East</v>
      </c>
      <c r="P762" s="6" t="s">
        <v>236</v>
      </c>
      <c r="Q762" s="6" t="s">
        <v>237</v>
      </c>
      <c r="R762" s="6" t="s">
        <v>50</v>
      </c>
      <c r="S762" s="7" t="str">
        <f t="shared" si="180"/>
        <v>Office Supplies</v>
      </c>
      <c r="T762" s="6" t="s">
        <v>74</v>
      </c>
      <c r="U762" s="6" t="s">
        <v>3545</v>
      </c>
      <c r="V762" s="6" t="s">
        <v>53</v>
      </c>
      <c r="W762" s="7" t="str">
        <f t="shared" si="181"/>
        <v>Second Class</v>
      </c>
      <c r="X762" s="6">
        <v>4</v>
      </c>
      <c r="Y762" s="6">
        <v>3365.53</v>
      </c>
      <c r="Z762" s="6">
        <v>0</v>
      </c>
      <c r="AA762" s="6">
        <f t="shared" si="183"/>
        <v>0</v>
      </c>
      <c r="AB762" s="6" t="str">
        <f t="shared" si="184"/>
        <v>Valid</v>
      </c>
      <c r="AC762" s="6">
        <v>13462.12</v>
      </c>
      <c r="AD762" s="6" t="str">
        <f>IF(OR(AO762="Cancelled",AM762="Failed"),"Exclude from Completed Sales","Include in Completed Sales")</f>
        <v>Include in Completed Sales</v>
      </c>
      <c r="AE762" s="6">
        <f t="shared" si="185"/>
        <v>13462.12</v>
      </c>
      <c r="AF762" s="6" t="str">
        <f t="shared" si="186"/>
        <v/>
      </c>
      <c r="AG762" s="6">
        <v>7600.63</v>
      </c>
      <c r="AH762" s="6">
        <v>5861.49</v>
      </c>
      <c r="AI762" s="6">
        <f t="shared" si="187"/>
        <v>5861.4900000000007</v>
      </c>
      <c r="AJ762" s="11">
        <f t="shared" si="188"/>
        <v>0.43540616188237813</v>
      </c>
      <c r="AK762" s="11" t="str">
        <f t="shared" si="189"/>
        <v>August</v>
      </c>
      <c r="AL762" s="12">
        <f t="shared" si="190"/>
        <v>2024</v>
      </c>
      <c r="AM762" s="6" t="s">
        <v>157</v>
      </c>
      <c r="AN762" s="6" t="s">
        <v>145</v>
      </c>
      <c r="AO762" s="6" t="str">
        <f t="shared" si="182"/>
        <v>Returned</v>
      </c>
    </row>
    <row r="763" spans="1:41">
      <c r="A763" s="6" t="s">
        <v>3546</v>
      </c>
      <c r="B763" s="7" t="s">
        <v>475</v>
      </c>
      <c r="C763" s="8">
        <v>45896</v>
      </c>
      <c r="D763" s="7" t="s">
        <v>3547</v>
      </c>
      <c r="E763" s="9">
        <v>45900</v>
      </c>
      <c r="F763" s="9" t="str">
        <f t="shared" si="175"/>
        <v>Valid</v>
      </c>
      <c r="G763" s="10">
        <f t="shared" si="176"/>
        <v>4</v>
      </c>
      <c r="H763" s="10" t="str">
        <f t="shared" si="177"/>
        <v>Valid</v>
      </c>
      <c r="I763" s="6" t="s">
        <v>3548</v>
      </c>
      <c r="J763" s="6" t="s">
        <v>73</v>
      </c>
      <c r="K763" s="6" t="s">
        <v>73</v>
      </c>
      <c r="L763" s="6" t="s">
        <v>46</v>
      </c>
      <c r="M763" s="7" t="str">
        <f t="shared" si="178"/>
        <v>Consumer</v>
      </c>
      <c r="N763" s="6" t="s">
        <v>82</v>
      </c>
      <c r="O763" s="7" t="str">
        <f t="shared" si="179"/>
        <v>South</v>
      </c>
      <c r="P763" s="6" t="s">
        <v>249</v>
      </c>
      <c r="Q763" s="6" t="s">
        <v>250</v>
      </c>
      <c r="R763" s="6" t="s">
        <v>106</v>
      </c>
      <c r="S763" s="7" t="str">
        <f t="shared" si="180"/>
        <v>Technology</v>
      </c>
      <c r="T763" s="6" t="s">
        <v>402</v>
      </c>
      <c r="U763" s="6" t="s">
        <v>3549</v>
      </c>
      <c r="V763" s="6" t="s">
        <v>76</v>
      </c>
      <c r="W763" s="7" t="str">
        <f t="shared" si="181"/>
        <v>First Class</v>
      </c>
      <c r="X763" s="6">
        <v>3</v>
      </c>
      <c r="Y763" s="6">
        <v>2489.12</v>
      </c>
      <c r="Z763" s="6">
        <v>0</v>
      </c>
      <c r="AA763" s="6">
        <f t="shared" si="183"/>
        <v>0</v>
      </c>
      <c r="AB763" s="6" t="str">
        <f t="shared" si="184"/>
        <v>Valid</v>
      </c>
      <c r="AC763" s="6">
        <v>7467.36</v>
      </c>
      <c r="AD763" s="6" t="str">
        <f>IF(OR(AO763="Cancelled",AM763="Failed"),"Exclude from Completed Sales","Include in Completed Sales")</f>
        <v>Include in Completed Sales</v>
      </c>
      <c r="AE763" s="6">
        <f t="shared" si="185"/>
        <v>7467.36</v>
      </c>
      <c r="AF763" s="6" t="str">
        <f t="shared" si="186"/>
        <v/>
      </c>
      <c r="AG763" s="6">
        <v>5010.6099999999997</v>
      </c>
      <c r="AH763" s="6">
        <v>2456.75</v>
      </c>
      <c r="AI763" s="6">
        <f t="shared" si="187"/>
        <v>2456.75</v>
      </c>
      <c r="AJ763" s="11">
        <f t="shared" si="188"/>
        <v>0.32899846799940008</v>
      </c>
      <c r="AK763" s="11" t="str">
        <f t="shared" si="189"/>
        <v>August</v>
      </c>
      <c r="AL763" s="12">
        <f t="shared" si="190"/>
        <v>2025</v>
      </c>
      <c r="AM763" s="6" t="s">
        <v>54</v>
      </c>
      <c r="AN763" s="6" t="s">
        <v>55</v>
      </c>
      <c r="AO763" s="6" t="str">
        <f t="shared" si="182"/>
        <v>Completed</v>
      </c>
    </row>
    <row r="764" spans="1:41">
      <c r="A764" s="6" t="s">
        <v>3550</v>
      </c>
      <c r="B764" s="7" t="s">
        <v>3551</v>
      </c>
      <c r="C764" s="8">
        <v>45292</v>
      </c>
      <c r="D764" s="7" t="s">
        <v>3552</v>
      </c>
      <c r="E764" s="9">
        <v>45296</v>
      </c>
      <c r="F764" s="9" t="str">
        <f t="shared" si="175"/>
        <v>Valid</v>
      </c>
      <c r="G764" s="10">
        <f t="shared" si="176"/>
        <v>4</v>
      </c>
      <c r="H764" s="10" t="str">
        <f t="shared" si="177"/>
        <v>Valid</v>
      </c>
      <c r="I764" s="6" t="s">
        <v>3553</v>
      </c>
      <c r="J764" s="6" t="s">
        <v>230</v>
      </c>
      <c r="K764" s="6" t="s">
        <v>230</v>
      </c>
      <c r="L764" s="6" t="s">
        <v>128</v>
      </c>
      <c r="M764" s="7" t="str">
        <f t="shared" si="178"/>
        <v>Corporate</v>
      </c>
      <c r="N764" s="6" t="s">
        <v>93</v>
      </c>
      <c r="O764" s="7" t="str">
        <f t="shared" si="179"/>
        <v>West</v>
      </c>
      <c r="P764" s="6" t="s">
        <v>104</v>
      </c>
      <c r="Q764" s="6" t="s">
        <v>105</v>
      </c>
      <c r="R764" s="6" t="s">
        <v>106</v>
      </c>
      <c r="S764" s="7" t="str">
        <f t="shared" si="180"/>
        <v>Technology</v>
      </c>
      <c r="T764" s="6" t="s">
        <v>402</v>
      </c>
      <c r="U764" s="6" t="s">
        <v>3554</v>
      </c>
      <c r="V764" s="6" t="s">
        <v>53</v>
      </c>
      <c r="W764" s="7" t="str">
        <f t="shared" si="181"/>
        <v>Second Class</v>
      </c>
      <c r="X764" s="6">
        <v>2</v>
      </c>
      <c r="Y764" s="6">
        <v>3694.12</v>
      </c>
      <c r="Z764" s="6">
        <v>0.2</v>
      </c>
      <c r="AA764" s="6">
        <f t="shared" si="183"/>
        <v>0.2</v>
      </c>
      <c r="AB764" s="6" t="str">
        <f t="shared" si="184"/>
        <v>Valid</v>
      </c>
      <c r="AC764" s="6">
        <v>5910.59</v>
      </c>
      <c r="AD764" s="6" t="str">
        <f>IF(OR(AO764="Cancelled",AM764="Failed"),"Exclude from Completed Sales","Include in Completed Sales")</f>
        <v>Include in Completed Sales</v>
      </c>
      <c r="AE764" s="6">
        <f t="shared" si="185"/>
        <v>5910.5920000000006</v>
      </c>
      <c r="AF764" s="6" t="str">
        <f t="shared" si="186"/>
        <v>Refunded</v>
      </c>
      <c r="AG764" s="6">
        <v>4775.4399999999996</v>
      </c>
      <c r="AH764" s="6">
        <v>1135.1500000000001</v>
      </c>
      <c r="AI764" s="6">
        <f t="shared" si="187"/>
        <v>1135.152000000001</v>
      </c>
      <c r="AJ764" s="11">
        <f t="shared" si="188"/>
        <v>0.19205385856442145</v>
      </c>
      <c r="AK764" s="11" t="str">
        <f t="shared" si="189"/>
        <v>January</v>
      </c>
      <c r="AL764" s="12">
        <f t="shared" si="190"/>
        <v>2024</v>
      </c>
      <c r="AM764" s="6" t="s">
        <v>144</v>
      </c>
      <c r="AN764" s="6" t="s">
        <v>145</v>
      </c>
      <c r="AO764" s="6" t="str">
        <f t="shared" si="182"/>
        <v>Returned</v>
      </c>
    </row>
    <row r="765" spans="1:41">
      <c r="A765" s="6" t="s">
        <v>3555</v>
      </c>
      <c r="B765" s="7" t="s">
        <v>3556</v>
      </c>
      <c r="C765" s="8">
        <v>45892</v>
      </c>
      <c r="D765" s="7" t="s">
        <v>3557</v>
      </c>
      <c r="E765" s="9">
        <v>45894</v>
      </c>
      <c r="F765" s="9" t="str">
        <f t="shared" si="175"/>
        <v>Valid</v>
      </c>
      <c r="G765" s="10">
        <f t="shared" si="176"/>
        <v>2</v>
      </c>
      <c r="H765" s="10" t="str">
        <f t="shared" si="177"/>
        <v>Valid</v>
      </c>
      <c r="I765" s="6" t="s">
        <v>3558</v>
      </c>
      <c r="J765" s="6" t="s">
        <v>230</v>
      </c>
      <c r="K765" s="6" t="s">
        <v>230</v>
      </c>
      <c r="L765" s="6" t="s">
        <v>46</v>
      </c>
      <c r="M765" s="7" t="str">
        <f t="shared" si="178"/>
        <v>Consumer</v>
      </c>
      <c r="N765" s="6" t="s">
        <v>47</v>
      </c>
      <c r="O765" s="7" t="str">
        <f t="shared" si="179"/>
        <v>North</v>
      </c>
      <c r="P765" s="6" t="s">
        <v>48</v>
      </c>
      <c r="Q765" s="6" t="s">
        <v>49</v>
      </c>
      <c r="R765" s="6" t="s">
        <v>65</v>
      </c>
      <c r="S765" s="7" t="str">
        <f t="shared" si="180"/>
        <v>Furniture</v>
      </c>
      <c r="T765" s="6" t="s">
        <v>85</v>
      </c>
      <c r="U765" s="6" t="s">
        <v>3559</v>
      </c>
      <c r="V765" s="6" t="s">
        <v>68</v>
      </c>
      <c r="W765" s="7" t="str">
        <f t="shared" si="181"/>
        <v>Same Day</v>
      </c>
      <c r="X765" s="6">
        <v>6</v>
      </c>
      <c r="Y765" s="6">
        <v>2742.48</v>
      </c>
      <c r="Z765" s="6">
        <v>0</v>
      </c>
      <c r="AA765" s="6">
        <f t="shared" si="183"/>
        <v>0</v>
      </c>
      <c r="AB765" s="6" t="str">
        <f t="shared" si="184"/>
        <v>Valid</v>
      </c>
      <c r="AC765" s="6">
        <v>16454.88</v>
      </c>
      <c r="AD765" s="6" t="str">
        <f>IF(OR(AO765="Cancelled",AM765="Failed"),"Exclude from Completed Sales","Include in Completed Sales")</f>
        <v>Include in Completed Sales</v>
      </c>
      <c r="AE765" s="6">
        <f t="shared" si="185"/>
        <v>16454.88</v>
      </c>
      <c r="AF765" s="6" t="str">
        <f t="shared" si="186"/>
        <v/>
      </c>
      <c r="AG765" s="6">
        <v>12081.54</v>
      </c>
      <c r="AH765" s="6">
        <v>4373.34</v>
      </c>
      <c r="AI765" s="6">
        <f t="shared" si="187"/>
        <v>4373.34</v>
      </c>
      <c r="AJ765" s="11">
        <f t="shared" si="188"/>
        <v>0.26577769026574488</v>
      </c>
      <c r="AK765" s="11" t="str">
        <f t="shared" si="189"/>
        <v>August</v>
      </c>
      <c r="AL765" s="12">
        <f t="shared" si="190"/>
        <v>2025</v>
      </c>
      <c r="AM765" s="6" t="s">
        <v>54</v>
      </c>
      <c r="AN765" s="6" t="s">
        <v>55</v>
      </c>
      <c r="AO765" s="6" t="str">
        <f t="shared" si="182"/>
        <v>Completed</v>
      </c>
    </row>
    <row r="766" spans="1:41">
      <c r="A766" s="6" t="s">
        <v>3560</v>
      </c>
      <c r="B766" s="7" t="s">
        <v>1882</v>
      </c>
      <c r="C766" s="8">
        <v>45760</v>
      </c>
      <c r="D766" s="7" t="s">
        <v>2933</v>
      </c>
      <c r="E766" s="9">
        <v>45760</v>
      </c>
      <c r="F766" s="9" t="str">
        <f t="shared" si="175"/>
        <v>Valid</v>
      </c>
      <c r="G766" s="10">
        <f t="shared" si="176"/>
        <v>0</v>
      </c>
      <c r="H766" s="10" t="str">
        <f t="shared" si="177"/>
        <v>Valid</v>
      </c>
      <c r="I766" s="6" t="s">
        <v>1374</v>
      </c>
      <c r="J766" s="6" t="s">
        <v>162</v>
      </c>
      <c r="K766" s="6" t="s">
        <v>162</v>
      </c>
      <c r="L766" s="6" t="s">
        <v>128</v>
      </c>
      <c r="M766" s="7" t="str">
        <f t="shared" si="178"/>
        <v>Corporate</v>
      </c>
      <c r="N766" s="6" t="s">
        <v>82</v>
      </c>
      <c r="O766" s="7" t="str">
        <f t="shared" si="179"/>
        <v>South</v>
      </c>
      <c r="P766" s="6" t="s">
        <v>262</v>
      </c>
      <c r="Q766" s="6" t="s">
        <v>263</v>
      </c>
      <c r="R766" s="6" t="s">
        <v>65</v>
      </c>
      <c r="S766" s="7" t="str">
        <f t="shared" si="180"/>
        <v>Furniture</v>
      </c>
      <c r="T766" s="6" t="s">
        <v>224</v>
      </c>
      <c r="U766" s="6" t="s">
        <v>3561</v>
      </c>
      <c r="V766" s="6" t="s">
        <v>76</v>
      </c>
      <c r="W766" s="7" t="str">
        <f t="shared" si="181"/>
        <v>First Class</v>
      </c>
      <c r="X766" s="6">
        <v>6</v>
      </c>
      <c r="Y766" s="6">
        <v>4414</v>
      </c>
      <c r="Z766" s="6">
        <v>0.05</v>
      </c>
      <c r="AA766" s="6">
        <f t="shared" si="183"/>
        <v>0.05</v>
      </c>
      <c r="AB766" s="6" t="str">
        <f t="shared" si="184"/>
        <v>Valid</v>
      </c>
      <c r="AC766" s="6">
        <v>25159.8</v>
      </c>
      <c r="AD766" s="6" t="str">
        <f>IF(OR(AO766="Cancelled",AM766="Failed"),"Exclude from Completed Sales","Include in Completed Sales")</f>
        <v>Include in Completed Sales</v>
      </c>
      <c r="AE766" s="6">
        <f t="shared" si="185"/>
        <v>25159.8</v>
      </c>
      <c r="AF766" s="6" t="str">
        <f t="shared" si="186"/>
        <v/>
      </c>
      <c r="AG766" s="6">
        <v>21606.83</v>
      </c>
      <c r="AH766" s="6">
        <v>3552.97</v>
      </c>
      <c r="AI766" s="6">
        <f t="shared" si="187"/>
        <v>3552.9699999999975</v>
      </c>
      <c r="AJ766" s="11">
        <f t="shared" si="188"/>
        <v>0.14121614639226057</v>
      </c>
      <c r="AK766" s="11" t="str">
        <f t="shared" si="189"/>
        <v>April</v>
      </c>
      <c r="AL766" s="12">
        <f t="shared" si="190"/>
        <v>2025</v>
      </c>
      <c r="AM766" s="6" t="s">
        <v>54</v>
      </c>
      <c r="AN766" s="6" t="s">
        <v>55</v>
      </c>
      <c r="AO766" s="6" t="str">
        <f t="shared" si="182"/>
        <v>Completed</v>
      </c>
    </row>
    <row r="767" spans="1:41">
      <c r="A767" s="6" t="s">
        <v>3562</v>
      </c>
      <c r="B767" s="7" t="s">
        <v>3563</v>
      </c>
      <c r="C767" s="8">
        <v>45837</v>
      </c>
      <c r="D767" s="7" t="s">
        <v>3564</v>
      </c>
      <c r="E767" s="9">
        <v>45841</v>
      </c>
      <c r="F767" s="9" t="str">
        <f t="shared" si="175"/>
        <v>Valid</v>
      </c>
      <c r="G767" s="10">
        <f t="shared" si="176"/>
        <v>4</v>
      </c>
      <c r="H767" s="10" t="str">
        <f t="shared" si="177"/>
        <v>Valid</v>
      </c>
      <c r="I767" s="6" t="s">
        <v>3565</v>
      </c>
      <c r="J767" s="6" t="s">
        <v>103</v>
      </c>
      <c r="K767" s="6" t="s">
        <v>103</v>
      </c>
      <c r="L767" s="6" t="s">
        <v>128</v>
      </c>
      <c r="M767" s="7" t="str">
        <f t="shared" si="178"/>
        <v>Corporate</v>
      </c>
      <c r="N767" s="6" t="s">
        <v>62</v>
      </c>
      <c r="O767" s="7" t="str">
        <f t="shared" si="179"/>
        <v>East</v>
      </c>
      <c r="P767" s="6" t="s">
        <v>331</v>
      </c>
      <c r="Q767" s="6" t="s">
        <v>332</v>
      </c>
      <c r="R767" s="6" t="s">
        <v>50</v>
      </c>
      <c r="S767" s="7" t="str">
        <f t="shared" si="180"/>
        <v>Office Supplies</v>
      </c>
      <c r="T767" s="6" t="s">
        <v>129</v>
      </c>
      <c r="U767" s="6" t="s">
        <v>3566</v>
      </c>
      <c r="V767" s="6" t="s">
        <v>76</v>
      </c>
      <c r="W767" s="7" t="str">
        <f t="shared" si="181"/>
        <v>First Class</v>
      </c>
      <c r="X767" s="6">
        <v>3</v>
      </c>
      <c r="Y767" s="6">
        <v>608.14</v>
      </c>
      <c r="Z767" s="6">
        <v>0</v>
      </c>
      <c r="AA767" s="6">
        <f t="shared" si="183"/>
        <v>0</v>
      </c>
      <c r="AB767" s="6" t="str">
        <f t="shared" si="184"/>
        <v>Valid</v>
      </c>
      <c r="AC767" s="6">
        <v>1824.42</v>
      </c>
      <c r="AD767" s="6" t="str">
        <f>IF(OR(AO767="Cancelled",AM767="Failed"),"Exclude from Completed Sales","Include in Completed Sales")</f>
        <v>Include in Completed Sales</v>
      </c>
      <c r="AE767" s="6">
        <f t="shared" si="185"/>
        <v>1824.42</v>
      </c>
      <c r="AF767" s="6" t="str">
        <f t="shared" si="186"/>
        <v/>
      </c>
      <c r="AG767" s="6">
        <v>1214.8699999999999</v>
      </c>
      <c r="AH767" s="6">
        <v>609.54999999999995</v>
      </c>
      <c r="AI767" s="6">
        <f t="shared" si="187"/>
        <v>609.55000000000018</v>
      </c>
      <c r="AJ767" s="11">
        <f t="shared" si="188"/>
        <v>0.33410618169061956</v>
      </c>
      <c r="AK767" s="11" t="str">
        <f t="shared" si="189"/>
        <v>June</v>
      </c>
      <c r="AL767" s="12">
        <f t="shared" si="190"/>
        <v>2025</v>
      </c>
      <c r="AM767" s="6" t="s">
        <v>54</v>
      </c>
      <c r="AN767" s="6" t="s">
        <v>55</v>
      </c>
      <c r="AO767" s="6" t="str">
        <f t="shared" si="182"/>
        <v>Completed</v>
      </c>
    </row>
    <row r="768" spans="1:41">
      <c r="A768" s="6" t="s">
        <v>3567</v>
      </c>
      <c r="B768" s="7" t="s">
        <v>3568</v>
      </c>
      <c r="C768" s="8">
        <v>45552</v>
      </c>
      <c r="D768" s="7" t="s">
        <v>2029</v>
      </c>
      <c r="E768" s="9">
        <v>45559</v>
      </c>
      <c r="F768" s="9" t="str">
        <f t="shared" si="175"/>
        <v>Valid</v>
      </c>
      <c r="G768" s="10">
        <f t="shared" si="176"/>
        <v>7</v>
      </c>
      <c r="H768" s="10" t="str">
        <f t="shared" si="177"/>
        <v>Valid</v>
      </c>
      <c r="I768" s="6" t="s">
        <v>3569</v>
      </c>
      <c r="J768" s="6" t="s">
        <v>60</v>
      </c>
      <c r="K768" s="6" t="s">
        <v>60</v>
      </c>
      <c r="L768" s="6" t="s">
        <v>128</v>
      </c>
      <c r="M768" s="7" t="str">
        <f t="shared" si="178"/>
        <v>Corporate</v>
      </c>
      <c r="N768" s="6" t="s">
        <v>93</v>
      </c>
      <c r="O768" s="7" t="str">
        <f t="shared" si="179"/>
        <v>West</v>
      </c>
      <c r="P768" s="6" t="s">
        <v>255</v>
      </c>
      <c r="Q768" s="6" t="s">
        <v>256</v>
      </c>
      <c r="R768" s="6" t="s">
        <v>50</v>
      </c>
      <c r="S768" s="7" t="str">
        <f t="shared" si="180"/>
        <v>Office Supplies</v>
      </c>
      <c r="T768" s="6" t="s">
        <v>74</v>
      </c>
      <c r="U768" s="6" t="s">
        <v>3570</v>
      </c>
      <c r="V768" s="6" t="s">
        <v>53</v>
      </c>
      <c r="W768" s="7" t="str">
        <f t="shared" si="181"/>
        <v>Second Class</v>
      </c>
      <c r="X768" s="6">
        <v>9</v>
      </c>
      <c r="Y768" s="6">
        <v>2307.96</v>
      </c>
      <c r="Z768" s="6">
        <v>0.2</v>
      </c>
      <c r="AA768" s="6">
        <f t="shared" si="183"/>
        <v>0.2</v>
      </c>
      <c r="AB768" s="6" t="str">
        <f t="shared" si="184"/>
        <v>Valid</v>
      </c>
      <c r="AC768" s="6">
        <v>16617.310000000001</v>
      </c>
      <c r="AD768" s="6" t="str">
        <f>IF(OR(AO768="Cancelled",AM768="Failed"),"Exclude from Completed Sales","Include in Completed Sales")</f>
        <v>Exclude from Completed Sales</v>
      </c>
      <c r="AE768" s="6">
        <f t="shared" si="185"/>
        <v>16617.312000000002</v>
      </c>
      <c r="AF768" s="6" t="str">
        <f t="shared" si="186"/>
        <v/>
      </c>
      <c r="AG768" s="6">
        <v>9195.73</v>
      </c>
      <c r="AH768" s="6">
        <v>7421.58</v>
      </c>
      <c r="AI768" s="6">
        <f t="shared" si="187"/>
        <v>7421.5820000000022</v>
      </c>
      <c r="AJ768" s="11">
        <f t="shared" si="188"/>
        <v>0.44661747940942564</v>
      </c>
      <c r="AK768" s="11" t="str">
        <f t="shared" si="189"/>
        <v>September</v>
      </c>
      <c r="AL768" s="12">
        <f t="shared" si="190"/>
        <v>2024</v>
      </c>
      <c r="AM768" s="6" t="s">
        <v>54</v>
      </c>
      <c r="AN768" s="6" t="s">
        <v>98</v>
      </c>
      <c r="AO768" s="6" t="str">
        <f t="shared" si="182"/>
        <v>Cancelled</v>
      </c>
    </row>
    <row r="769" spans="1:41">
      <c r="A769" s="6" t="s">
        <v>3571</v>
      </c>
      <c r="B769" s="7" t="s">
        <v>3572</v>
      </c>
      <c r="C769" s="8">
        <v>45415</v>
      </c>
      <c r="D769" s="7" t="s">
        <v>2728</v>
      </c>
      <c r="E769" s="9">
        <v>45418</v>
      </c>
      <c r="F769" s="9" t="str">
        <f t="shared" si="175"/>
        <v>Valid</v>
      </c>
      <c r="G769" s="10">
        <f t="shared" si="176"/>
        <v>3</v>
      </c>
      <c r="H769" s="10" t="str">
        <f t="shared" si="177"/>
        <v>Valid</v>
      </c>
      <c r="I769" s="6" t="s">
        <v>3573</v>
      </c>
      <c r="J769" s="6" t="s">
        <v>92</v>
      </c>
      <c r="K769" s="6" t="s">
        <v>92</v>
      </c>
      <c r="L769" s="6" t="s">
        <v>135</v>
      </c>
      <c r="M769" s="7" t="str">
        <f t="shared" si="178"/>
        <v>Home Office</v>
      </c>
      <c r="N769" s="6" t="s">
        <v>47</v>
      </c>
      <c r="O769" s="7" t="str">
        <f t="shared" si="179"/>
        <v>North</v>
      </c>
      <c r="P769" s="6" t="s">
        <v>194</v>
      </c>
      <c r="Q769" s="6" t="s">
        <v>195</v>
      </c>
      <c r="R769" s="6" t="s">
        <v>938</v>
      </c>
      <c r="S769" s="7" t="str">
        <f t="shared" si="180"/>
        <v>Office Supplies</v>
      </c>
      <c r="T769" s="6" t="s">
        <v>218</v>
      </c>
      <c r="U769" s="6" t="s">
        <v>3574</v>
      </c>
      <c r="V769" s="6" t="s">
        <v>87</v>
      </c>
      <c r="W769" s="7" t="str">
        <f t="shared" si="181"/>
        <v>Standard Class</v>
      </c>
      <c r="X769" s="6">
        <v>1</v>
      </c>
      <c r="Y769" s="6">
        <v>1244.58</v>
      </c>
      <c r="Z769" s="6">
        <v>0.25</v>
      </c>
      <c r="AA769" s="6">
        <f t="shared" si="183"/>
        <v>0.25</v>
      </c>
      <c r="AB769" s="6" t="str">
        <f t="shared" si="184"/>
        <v>Valid</v>
      </c>
      <c r="AC769" s="6">
        <v>933.43</v>
      </c>
      <c r="AD769" s="6" t="str">
        <f>IF(OR(AO769="Cancelled",AM769="Failed"),"Exclude from Completed Sales","Include in Completed Sales")</f>
        <v>Include in Completed Sales</v>
      </c>
      <c r="AE769" s="6">
        <f t="shared" si="185"/>
        <v>933.43499999999995</v>
      </c>
      <c r="AF769" s="6" t="str">
        <f t="shared" si="186"/>
        <v/>
      </c>
      <c r="AG769" s="6">
        <v>583.09</v>
      </c>
      <c r="AH769" s="6">
        <v>350.34</v>
      </c>
      <c r="AI769" s="6">
        <f t="shared" si="187"/>
        <v>350.34499999999991</v>
      </c>
      <c r="AJ769" s="11">
        <f t="shared" si="188"/>
        <v>0.3753287588316272</v>
      </c>
      <c r="AK769" s="11" t="str">
        <f t="shared" si="189"/>
        <v>May</v>
      </c>
      <c r="AL769" s="12">
        <f t="shared" si="190"/>
        <v>2024</v>
      </c>
      <c r="AM769" s="6" t="s">
        <v>54</v>
      </c>
      <c r="AN769" s="6" t="s">
        <v>55</v>
      </c>
      <c r="AO769" s="6" t="str">
        <f t="shared" si="182"/>
        <v>Completed</v>
      </c>
    </row>
    <row r="770" spans="1:41">
      <c r="A770" s="6" t="s">
        <v>3575</v>
      </c>
      <c r="B770" s="7" t="s">
        <v>1832</v>
      </c>
      <c r="C770" s="8">
        <v>45749</v>
      </c>
      <c r="D770" s="7" t="s">
        <v>3576</v>
      </c>
      <c r="E770" s="9">
        <v>45751</v>
      </c>
      <c r="F770" s="9" t="str">
        <f t="shared" ref="F770:F833" si="191">IF(E770&lt;C770,"Invalid Shipping Record","Valid")</f>
        <v>Valid</v>
      </c>
      <c r="G770" s="10">
        <f t="shared" ref="G770:G833" si="192">E770-C770</f>
        <v>2</v>
      </c>
      <c r="H770" s="10" t="str">
        <f t="shared" ref="H770:H833" si="193">IF(OR(C770="",E770=""),"Missing Date",IF(OR(NOT(ISNUMBER(C770)),NOT(ISNUMBER(E770))),"Invalid Date",IF(E770&lt;C770,"Invalid Shipping Record","Valid")))</f>
        <v>Valid</v>
      </c>
      <c r="I770" s="6" t="s">
        <v>3577</v>
      </c>
      <c r="J770" s="6" t="s">
        <v>188</v>
      </c>
      <c r="K770" s="6" t="s">
        <v>188</v>
      </c>
      <c r="L770" s="6" t="s">
        <v>135</v>
      </c>
      <c r="M770" s="7" t="str">
        <f t="shared" ref="M770:M833" si="194">PROPER(TRIM(L770))</f>
        <v>Home Office</v>
      </c>
      <c r="N770" s="6" t="s">
        <v>62</v>
      </c>
      <c r="O770" s="7" t="str">
        <f t="shared" ref="O770:O833" si="195">IF(TRIM(N770)="","Unknown",PROPER(TRIM(N770)))</f>
        <v>East</v>
      </c>
      <c r="P770" s="6" t="s">
        <v>331</v>
      </c>
      <c r="Q770" s="6" t="s">
        <v>332</v>
      </c>
      <c r="R770" s="6" t="s">
        <v>50</v>
      </c>
      <c r="S770" s="7" t="str">
        <f t="shared" ref="S770:S833" si="196">PROPER(TRIM(R770))</f>
        <v>Office Supplies</v>
      </c>
      <c r="T770" s="6" t="s">
        <v>51</v>
      </c>
      <c r="U770" s="6" t="s">
        <v>3578</v>
      </c>
      <c r="V770" s="6" t="s">
        <v>68</v>
      </c>
      <c r="W770" s="7" t="str">
        <f t="shared" ref="W770:W833" si="197">IF(TRIM(V770)="","Unknown",PROPER(TRIM(V770)))</f>
        <v>Same Day</v>
      </c>
      <c r="X770" s="6">
        <v>5</v>
      </c>
      <c r="Y770" s="6">
        <v>3234.24</v>
      </c>
      <c r="Z770" s="6">
        <v>0.1</v>
      </c>
      <c r="AA770" s="6">
        <f t="shared" si="183"/>
        <v>0.1</v>
      </c>
      <c r="AB770" s="6" t="str">
        <f t="shared" si="184"/>
        <v>Valid</v>
      </c>
      <c r="AC770" s="6">
        <v>14554.08</v>
      </c>
      <c r="AD770" s="6" t="str">
        <f>IF(OR(AO770="Cancelled",AM770="Failed"),"Exclude from Completed Sales","Include in Completed Sales")</f>
        <v>Include in Completed Sales</v>
      </c>
      <c r="AE770" s="6">
        <f t="shared" si="185"/>
        <v>14554.08</v>
      </c>
      <c r="AF770" s="6" t="str">
        <f t="shared" si="186"/>
        <v/>
      </c>
      <c r="AG770" s="6">
        <v>11166.84</v>
      </c>
      <c r="AH770" s="6">
        <v>3387.24</v>
      </c>
      <c r="AI770" s="6">
        <f t="shared" si="187"/>
        <v>3387.24</v>
      </c>
      <c r="AJ770" s="11">
        <f t="shared" si="188"/>
        <v>0.23273473830018798</v>
      </c>
      <c r="AK770" s="11" t="str">
        <f t="shared" si="189"/>
        <v>April</v>
      </c>
      <c r="AL770" s="12">
        <f t="shared" si="190"/>
        <v>2025</v>
      </c>
      <c r="AM770" s="6" t="s">
        <v>54</v>
      </c>
      <c r="AN770" s="6" t="s">
        <v>55</v>
      </c>
      <c r="AO770" s="6" t="str">
        <f t="shared" ref="AO770:AO833" si="198">PROPER(TRIM(AN770))</f>
        <v>Completed</v>
      </c>
    </row>
    <row r="771" spans="1:41">
      <c r="A771" s="6" t="s">
        <v>3579</v>
      </c>
      <c r="B771" s="7" t="s">
        <v>3580</v>
      </c>
      <c r="C771" s="8">
        <v>45423</v>
      </c>
      <c r="D771" s="7" t="s">
        <v>2038</v>
      </c>
      <c r="E771" s="9">
        <v>45425</v>
      </c>
      <c r="F771" s="9" t="str">
        <f t="shared" si="191"/>
        <v>Valid</v>
      </c>
      <c r="G771" s="10">
        <f t="shared" si="192"/>
        <v>2</v>
      </c>
      <c r="H771" s="10" t="str">
        <f t="shared" si="193"/>
        <v>Valid</v>
      </c>
      <c r="I771" s="6" t="s">
        <v>3581</v>
      </c>
      <c r="J771" s="6" t="s">
        <v>162</v>
      </c>
      <c r="K771" s="6" t="s">
        <v>162</v>
      </c>
      <c r="L771" s="6" t="s">
        <v>135</v>
      </c>
      <c r="M771" s="7" t="str">
        <f t="shared" si="194"/>
        <v>Home Office</v>
      </c>
      <c r="N771" s="6" t="s">
        <v>93</v>
      </c>
      <c r="O771" s="7" t="str">
        <f t="shared" si="195"/>
        <v>West</v>
      </c>
      <c r="P771" s="6" t="s">
        <v>269</v>
      </c>
      <c r="Q771" s="6" t="s">
        <v>270</v>
      </c>
      <c r="R771" s="6" t="s">
        <v>65</v>
      </c>
      <c r="S771" s="7" t="str">
        <f t="shared" si="196"/>
        <v>Furniture</v>
      </c>
      <c r="T771" s="6" t="s">
        <v>224</v>
      </c>
      <c r="U771" s="6" t="s">
        <v>3582</v>
      </c>
      <c r="V771" s="6" t="s">
        <v>68</v>
      </c>
      <c r="W771" s="7" t="str">
        <f t="shared" si="197"/>
        <v>Same Day</v>
      </c>
      <c r="X771" s="6">
        <v>3</v>
      </c>
      <c r="Y771" s="6">
        <v>3612.75</v>
      </c>
      <c r="Z771" s="6">
        <v>0.25</v>
      </c>
      <c r="AA771" s="6">
        <f t="shared" ref="AA771:AA834" si="199">IF(Z771="",0,Z771)</f>
        <v>0.25</v>
      </c>
      <c r="AB771" s="6" t="str">
        <f t="shared" ref="AB771:AB834" si="200">IF(AA771&lt;0,"Invalid - Negative Discount",IF(AA771&gt;1,"Invalid - Discount Above Limit","Valid"))</f>
        <v>Valid</v>
      </c>
      <c r="AC771" s="6">
        <v>8128.69</v>
      </c>
      <c r="AD771" s="6" t="str">
        <f>IF(OR(AO771="Cancelled",AM771="Failed"),"Exclude from Completed Sales","Include in Completed Sales")</f>
        <v>Include in Completed Sales</v>
      </c>
      <c r="AE771" s="6">
        <f t="shared" ref="AE771:AE834" si="201">X771*Y771*(1-AA771)</f>
        <v>8128.6875</v>
      </c>
      <c r="AF771" s="6" t="str">
        <f t="shared" ref="AF771:AF834" si="202">IF(TRIM(AM771)="Refunded","Refunded","")</f>
        <v/>
      </c>
      <c r="AG771" s="6">
        <v>5071.66</v>
      </c>
      <c r="AH771" s="6">
        <v>3057.03</v>
      </c>
      <c r="AI771" s="6">
        <f t="shared" ref="AI771:AI834" si="203">AE771-AG771</f>
        <v>3057.0275000000001</v>
      </c>
      <c r="AJ771" s="11">
        <f t="shared" ref="AJ771:AJ834" si="204">IF(AE771=0,0,AI771/AE771)</f>
        <v>0.3760788565189645</v>
      </c>
      <c r="AK771" s="11" t="str">
        <f t="shared" ref="AK771:AK834" si="205">TEXT(C771,"mmmm")</f>
        <v>May</v>
      </c>
      <c r="AL771" s="12">
        <f t="shared" ref="AL771:AL834" si="206">YEAR(C771)</f>
        <v>2024</v>
      </c>
      <c r="AM771" s="6" t="s">
        <v>54</v>
      </c>
      <c r="AN771" s="6" t="s">
        <v>55</v>
      </c>
      <c r="AO771" s="6" t="str">
        <f t="shared" si="198"/>
        <v>Completed</v>
      </c>
    </row>
    <row r="772" spans="1:41">
      <c r="A772" s="6" t="s">
        <v>3583</v>
      </c>
      <c r="B772" s="7" t="s">
        <v>2327</v>
      </c>
      <c r="C772" s="8">
        <v>45337</v>
      </c>
      <c r="D772" s="7" t="s">
        <v>2782</v>
      </c>
      <c r="E772" s="9">
        <v>45339</v>
      </c>
      <c r="F772" s="9" t="str">
        <f t="shared" si="191"/>
        <v>Valid</v>
      </c>
      <c r="G772" s="10">
        <f t="shared" si="192"/>
        <v>2</v>
      </c>
      <c r="H772" s="10" t="str">
        <f t="shared" si="193"/>
        <v>Valid</v>
      </c>
      <c r="I772" s="6" t="s">
        <v>3584</v>
      </c>
      <c r="J772" s="6" t="s">
        <v>113</v>
      </c>
      <c r="K772" s="6" t="s">
        <v>113</v>
      </c>
      <c r="L772" s="6" t="s">
        <v>46</v>
      </c>
      <c r="M772" s="7" t="str">
        <f t="shared" si="194"/>
        <v>Consumer</v>
      </c>
      <c r="N772" s="6" t="s">
        <v>47</v>
      </c>
      <c r="O772" s="7" t="str">
        <f t="shared" si="195"/>
        <v>North</v>
      </c>
      <c r="P772" s="6" t="s">
        <v>194</v>
      </c>
      <c r="Q772" s="6" t="s">
        <v>195</v>
      </c>
      <c r="R772" s="6" t="s">
        <v>106</v>
      </c>
      <c r="S772" s="7" t="str">
        <f t="shared" si="196"/>
        <v>Technology</v>
      </c>
      <c r="T772" s="6" t="s">
        <v>114</v>
      </c>
      <c r="U772" s="6" t="s">
        <v>3585</v>
      </c>
      <c r="V772" s="6" t="s">
        <v>76</v>
      </c>
      <c r="W772" s="7" t="str">
        <f t="shared" si="197"/>
        <v>First Class</v>
      </c>
      <c r="X772" s="6">
        <v>4</v>
      </c>
      <c r="Y772" s="6">
        <v>863</v>
      </c>
      <c r="Z772" s="6"/>
      <c r="AA772" s="6">
        <f t="shared" si="199"/>
        <v>0</v>
      </c>
      <c r="AB772" s="6" t="str">
        <f t="shared" si="200"/>
        <v>Valid</v>
      </c>
      <c r="AC772" s="6">
        <v>3106.8</v>
      </c>
      <c r="AD772" s="6" t="str">
        <f>IF(OR(AO772="Cancelled",AM772="Failed"),"Exclude from Completed Sales","Include in Completed Sales")</f>
        <v>Include in Completed Sales</v>
      </c>
      <c r="AE772" s="6">
        <f t="shared" si="201"/>
        <v>3452</v>
      </c>
      <c r="AF772" s="6" t="str">
        <f t="shared" si="202"/>
        <v/>
      </c>
      <c r="AG772" s="6">
        <v>2376.62</v>
      </c>
      <c r="AH772" s="6">
        <v>730.18</v>
      </c>
      <c r="AI772" s="6">
        <f t="shared" si="203"/>
        <v>1075.3800000000001</v>
      </c>
      <c r="AJ772" s="11">
        <f t="shared" si="204"/>
        <v>0.3115237543453071</v>
      </c>
      <c r="AK772" s="11" t="str">
        <f t="shared" si="205"/>
        <v>February</v>
      </c>
      <c r="AL772" s="12">
        <f t="shared" si="206"/>
        <v>2024</v>
      </c>
      <c r="AM772" s="6" t="s">
        <v>54</v>
      </c>
      <c r="AN772" s="6" t="s">
        <v>55</v>
      </c>
      <c r="AO772" s="6" t="str">
        <f t="shared" si="198"/>
        <v>Completed</v>
      </c>
    </row>
    <row r="773" spans="1:41">
      <c r="A773" s="6" t="s">
        <v>3586</v>
      </c>
      <c r="B773" s="7" t="s">
        <v>3587</v>
      </c>
      <c r="C773" s="8">
        <v>45485</v>
      </c>
      <c r="D773" s="7" t="s">
        <v>2643</v>
      </c>
      <c r="E773" s="9">
        <v>45487</v>
      </c>
      <c r="F773" s="9" t="str">
        <f t="shared" si="191"/>
        <v>Valid</v>
      </c>
      <c r="G773" s="10">
        <f t="shared" si="192"/>
        <v>2</v>
      </c>
      <c r="H773" s="10" t="str">
        <f t="shared" si="193"/>
        <v>Valid</v>
      </c>
      <c r="I773" s="6" t="s">
        <v>711</v>
      </c>
      <c r="J773" s="6" t="s">
        <v>92</v>
      </c>
      <c r="K773" s="6" t="s">
        <v>92</v>
      </c>
      <c r="L773" s="6" t="s">
        <v>46</v>
      </c>
      <c r="M773" s="7" t="str">
        <f t="shared" si="194"/>
        <v>Consumer</v>
      </c>
      <c r="N773" s="6" t="s">
        <v>47</v>
      </c>
      <c r="O773" s="7" t="str">
        <f t="shared" si="195"/>
        <v>North</v>
      </c>
      <c r="P773" s="6" t="s">
        <v>343</v>
      </c>
      <c r="Q773" s="6" t="s">
        <v>344</v>
      </c>
      <c r="R773" s="6" t="s">
        <v>106</v>
      </c>
      <c r="S773" s="7" t="str">
        <f t="shared" si="196"/>
        <v>Technology</v>
      </c>
      <c r="T773" s="6" t="s">
        <v>402</v>
      </c>
      <c r="U773" s="6" t="s">
        <v>3588</v>
      </c>
      <c r="V773" s="6" t="s">
        <v>53</v>
      </c>
      <c r="W773" s="7" t="str">
        <f t="shared" si="197"/>
        <v>Second Class</v>
      </c>
      <c r="X773" s="6">
        <v>4</v>
      </c>
      <c r="Y773" s="6">
        <v>2131.41</v>
      </c>
      <c r="Z773" s="6"/>
      <c r="AA773" s="6">
        <f t="shared" si="199"/>
        <v>0</v>
      </c>
      <c r="AB773" s="6" t="str">
        <f t="shared" si="200"/>
        <v>Valid</v>
      </c>
      <c r="AC773" s="6">
        <v>6394.23</v>
      </c>
      <c r="AD773" s="6" t="str">
        <f>IF(OR(AO773="Cancelled",AM773="Failed"),"Exclude from Completed Sales","Include in Completed Sales")</f>
        <v>Include in Completed Sales</v>
      </c>
      <c r="AE773" s="6">
        <f t="shared" si="201"/>
        <v>8525.64</v>
      </c>
      <c r="AF773" s="6" t="str">
        <f t="shared" si="202"/>
        <v/>
      </c>
      <c r="AG773" s="6">
        <v>3520.69</v>
      </c>
      <c r="AH773" s="6">
        <v>2873.54</v>
      </c>
      <c r="AI773" s="6">
        <f t="shared" si="203"/>
        <v>5004.9499999999989</v>
      </c>
      <c r="AJ773" s="11">
        <f t="shared" si="204"/>
        <v>0.58704683753946907</v>
      </c>
      <c r="AK773" s="11" t="str">
        <f t="shared" si="205"/>
        <v>July</v>
      </c>
      <c r="AL773" s="12">
        <f t="shared" si="206"/>
        <v>2024</v>
      </c>
      <c r="AM773" s="6" t="s">
        <v>54</v>
      </c>
      <c r="AN773" s="6" t="s">
        <v>55</v>
      </c>
      <c r="AO773" s="6" t="str">
        <f t="shared" si="198"/>
        <v>Completed</v>
      </c>
    </row>
    <row r="774" spans="1:41">
      <c r="A774" s="6" t="s">
        <v>3589</v>
      </c>
      <c r="B774" s="7" t="s">
        <v>191</v>
      </c>
      <c r="C774" s="8">
        <v>45853</v>
      </c>
      <c r="D774" s="7" t="s">
        <v>1591</v>
      </c>
      <c r="E774" s="9">
        <v>45857</v>
      </c>
      <c r="F774" s="9" t="str">
        <f t="shared" si="191"/>
        <v>Valid</v>
      </c>
      <c r="G774" s="10">
        <f t="shared" si="192"/>
        <v>4</v>
      </c>
      <c r="H774" s="10" t="str">
        <f t="shared" si="193"/>
        <v>Valid</v>
      </c>
      <c r="I774" s="6" t="s">
        <v>3590</v>
      </c>
      <c r="J774" s="6" t="s">
        <v>230</v>
      </c>
      <c r="K774" s="6" t="s">
        <v>230</v>
      </c>
      <c r="L774" s="6" t="s">
        <v>46</v>
      </c>
      <c r="M774" s="7" t="str">
        <f t="shared" si="194"/>
        <v>Consumer</v>
      </c>
      <c r="N774" s="6" t="s">
        <v>82</v>
      </c>
      <c r="O774" s="7" t="str">
        <f t="shared" si="195"/>
        <v>South</v>
      </c>
      <c r="P774" s="6" t="s">
        <v>359</v>
      </c>
      <c r="Q774" s="6" t="s">
        <v>360</v>
      </c>
      <c r="R774" s="6" t="s">
        <v>65</v>
      </c>
      <c r="S774" s="7" t="str">
        <f t="shared" si="196"/>
        <v>Furniture</v>
      </c>
      <c r="T774" s="6" t="s">
        <v>96</v>
      </c>
      <c r="U774" s="6" t="s">
        <v>3591</v>
      </c>
      <c r="V774" s="6" t="s">
        <v>68</v>
      </c>
      <c r="W774" s="7" t="str">
        <f t="shared" si="197"/>
        <v>Same Day</v>
      </c>
      <c r="X774" s="6">
        <v>1</v>
      </c>
      <c r="Y774" s="6">
        <v>3903.22</v>
      </c>
      <c r="Z774" s="6">
        <v>0.05</v>
      </c>
      <c r="AA774" s="6">
        <f t="shared" si="199"/>
        <v>0.05</v>
      </c>
      <c r="AB774" s="6" t="str">
        <f t="shared" si="200"/>
        <v>Valid</v>
      </c>
      <c r="AC774" s="6">
        <v>3708.06</v>
      </c>
      <c r="AD774" s="6" t="str">
        <f>IF(OR(AO774="Cancelled",AM774="Failed"),"Exclude from Completed Sales","Include in Completed Sales")</f>
        <v>Exclude from Completed Sales</v>
      </c>
      <c r="AE774" s="6">
        <f t="shared" si="201"/>
        <v>3708.0589999999997</v>
      </c>
      <c r="AF774" s="6" t="str">
        <f t="shared" si="202"/>
        <v/>
      </c>
      <c r="AG774" s="6">
        <v>2760.29</v>
      </c>
      <c r="AH774" s="6">
        <v>947.77</v>
      </c>
      <c r="AI774" s="6">
        <f t="shared" si="203"/>
        <v>947.76899999999978</v>
      </c>
      <c r="AJ774" s="11">
        <f t="shared" si="204"/>
        <v>0.25559706574248142</v>
      </c>
      <c r="AK774" s="11" t="str">
        <f t="shared" si="205"/>
        <v>July</v>
      </c>
      <c r="AL774" s="12">
        <f t="shared" si="206"/>
        <v>2025</v>
      </c>
      <c r="AM774" s="6" t="s">
        <v>157</v>
      </c>
      <c r="AN774" s="6" t="s">
        <v>98</v>
      </c>
      <c r="AO774" s="6" t="str">
        <f t="shared" si="198"/>
        <v>Cancelled</v>
      </c>
    </row>
    <row r="775" spans="1:41">
      <c r="A775" s="6" t="s">
        <v>3592</v>
      </c>
      <c r="B775" s="7" t="s">
        <v>3593</v>
      </c>
      <c r="C775" s="8">
        <v>45709</v>
      </c>
      <c r="D775" s="7" t="s">
        <v>3594</v>
      </c>
      <c r="E775" s="9">
        <v>45709</v>
      </c>
      <c r="F775" s="9" t="str">
        <f t="shared" si="191"/>
        <v>Valid</v>
      </c>
      <c r="G775" s="10">
        <f t="shared" si="192"/>
        <v>0</v>
      </c>
      <c r="H775" s="10" t="str">
        <f t="shared" si="193"/>
        <v>Valid</v>
      </c>
      <c r="I775" s="6" t="s">
        <v>3595</v>
      </c>
      <c r="J775" s="6" t="s">
        <v>45</v>
      </c>
      <c r="K775" s="6" t="s">
        <v>45</v>
      </c>
      <c r="L775" s="6" t="s">
        <v>135</v>
      </c>
      <c r="M775" s="7" t="str">
        <f t="shared" si="194"/>
        <v>Home Office</v>
      </c>
      <c r="N775" s="6" t="s">
        <v>93</v>
      </c>
      <c r="O775" s="7" t="str">
        <f t="shared" si="195"/>
        <v>West</v>
      </c>
      <c r="P775" s="6" t="s">
        <v>255</v>
      </c>
      <c r="Q775" s="6" t="s">
        <v>256</v>
      </c>
      <c r="R775" s="6" t="s">
        <v>106</v>
      </c>
      <c r="S775" s="7" t="str">
        <f t="shared" si="196"/>
        <v>Technology</v>
      </c>
      <c r="T775" s="6" t="s">
        <v>243</v>
      </c>
      <c r="U775" s="6" t="s">
        <v>3596</v>
      </c>
      <c r="V775" s="6"/>
      <c r="W775" s="7" t="str">
        <f t="shared" si="197"/>
        <v>Unknown</v>
      </c>
      <c r="X775" s="6">
        <v>4</v>
      </c>
      <c r="Y775" s="6">
        <v>2945.07</v>
      </c>
      <c r="Z775" s="6">
        <v>0.2</v>
      </c>
      <c r="AA775" s="6">
        <f t="shared" si="199"/>
        <v>0.2</v>
      </c>
      <c r="AB775" s="6" t="str">
        <f t="shared" si="200"/>
        <v>Valid</v>
      </c>
      <c r="AC775" s="6">
        <v>9424.2199999999993</v>
      </c>
      <c r="AD775" s="6" t="str">
        <f>IF(OR(AO775="Cancelled",AM775="Failed"),"Exclude from Completed Sales","Include in Completed Sales")</f>
        <v>Include in Completed Sales</v>
      </c>
      <c r="AE775" s="6">
        <f t="shared" si="201"/>
        <v>9424.2240000000002</v>
      </c>
      <c r="AF775" s="6" t="str">
        <f t="shared" si="202"/>
        <v/>
      </c>
      <c r="AG775" s="6">
        <v>6178.92</v>
      </c>
      <c r="AH775" s="6">
        <v>3245.3</v>
      </c>
      <c r="AI775" s="6">
        <f t="shared" si="203"/>
        <v>3245.3040000000001</v>
      </c>
      <c r="AJ775" s="11">
        <f t="shared" si="204"/>
        <v>0.3443576892909167</v>
      </c>
      <c r="AK775" s="11" t="str">
        <f t="shared" si="205"/>
        <v>February</v>
      </c>
      <c r="AL775" s="12">
        <f t="shared" si="206"/>
        <v>2025</v>
      </c>
      <c r="AM775" s="6" t="s">
        <v>54</v>
      </c>
      <c r="AN775" s="6" t="s">
        <v>55</v>
      </c>
      <c r="AO775" s="6" t="str">
        <f t="shared" si="198"/>
        <v>Completed</v>
      </c>
    </row>
    <row r="776" spans="1:41">
      <c r="A776" s="6" t="s">
        <v>3597</v>
      </c>
      <c r="B776" s="7" t="s">
        <v>3598</v>
      </c>
      <c r="C776" s="8">
        <v>45876</v>
      </c>
      <c r="D776" s="7" t="s">
        <v>1819</v>
      </c>
      <c r="E776" s="9">
        <v>45876</v>
      </c>
      <c r="F776" s="9" t="str">
        <f t="shared" si="191"/>
        <v>Valid</v>
      </c>
      <c r="G776" s="10">
        <f t="shared" si="192"/>
        <v>0</v>
      </c>
      <c r="H776" s="10" t="str">
        <f t="shared" si="193"/>
        <v>Valid</v>
      </c>
      <c r="I776" s="6" t="s">
        <v>3599</v>
      </c>
      <c r="J776" s="6" t="s">
        <v>386</v>
      </c>
      <c r="K776" s="6" t="s">
        <v>386</v>
      </c>
      <c r="L776" s="6" t="s">
        <v>46</v>
      </c>
      <c r="M776" s="7" t="str">
        <f t="shared" si="194"/>
        <v>Consumer</v>
      </c>
      <c r="N776" s="6" t="s">
        <v>93</v>
      </c>
      <c r="O776" s="7" t="str">
        <f t="shared" si="195"/>
        <v>West</v>
      </c>
      <c r="P776" s="6" t="s">
        <v>48</v>
      </c>
      <c r="Q776" s="6" t="s">
        <v>155</v>
      </c>
      <c r="R776" s="6" t="s">
        <v>106</v>
      </c>
      <c r="S776" s="7" t="str">
        <f t="shared" si="196"/>
        <v>Technology</v>
      </c>
      <c r="T776" s="6" t="s">
        <v>402</v>
      </c>
      <c r="U776" s="6" t="s">
        <v>3600</v>
      </c>
      <c r="V776" s="6"/>
      <c r="W776" s="7" t="str">
        <f t="shared" si="197"/>
        <v>Unknown</v>
      </c>
      <c r="X776" s="6">
        <v>9</v>
      </c>
      <c r="Y776" s="6">
        <v>1076.75</v>
      </c>
      <c r="Z776" s="6">
        <v>0.2</v>
      </c>
      <c r="AA776" s="6">
        <f t="shared" si="199"/>
        <v>0.2</v>
      </c>
      <c r="AB776" s="6" t="str">
        <f t="shared" si="200"/>
        <v>Valid</v>
      </c>
      <c r="AC776" s="6">
        <v>7752.6</v>
      </c>
      <c r="AD776" s="6" t="str">
        <f>IF(OR(AO776="Cancelled",AM776="Failed"),"Exclude from Completed Sales","Include in Completed Sales")</f>
        <v>Include in Completed Sales</v>
      </c>
      <c r="AE776" s="6">
        <f t="shared" si="201"/>
        <v>7752.6</v>
      </c>
      <c r="AF776" s="6" t="str">
        <f t="shared" si="202"/>
        <v/>
      </c>
      <c r="AG776" s="6">
        <v>4689.3</v>
      </c>
      <c r="AH776" s="6">
        <v>3063.3</v>
      </c>
      <c r="AI776" s="6">
        <f t="shared" si="203"/>
        <v>3063.3</v>
      </c>
      <c r="AJ776" s="11">
        <f t="shared" si="204"/>
        <v>0.39513195573098059</v>
      </c>
      <c r="AK776" s="11" t="str">
        <f t="shared" si="205"/>
        <v>August</v>
      </c>
      <c r="AL776" s="12">
        <f t="shared" si="206"/>
        <v>2025</v>
      </c>
      <c r="AM776" s="6" t="s">
        <v>54</v>
      </c>
      <c r="AN776" s="6" t="s">
        <v>55</v>
      </c>
      <c r="AO776" s="6" t="str">
        <f t="shared" si="198"/>
        <v>Completed</v>
      </c>
    </row>
    <row r="777" spans="1:41">
      <c r="A777" s="6" t="s">
        <v>3601</v>
      </c>
      <c r="B777" s="7" t="s">
        <v>3602</v>
      </c>
      <c r="C777" s="8">
        <v>45396</v>
      </c>
      <c r="D777" s="7" t="s">
        <v>3603</v>
      </c>
      <c r="E777" s="9">
        <v>45404</v>
      </c>
      <c r="F777" s="9" t="str">
        <f t="shared" si="191"/>
        <v>Valid</v>
      </c>
      <c r="G777" s="10">
        <f t="shared" si="192"/>
        <v>8</v>
      </c>
      <c r="H777" s="10" t="str">
        <f t="shared" si="193"/>
        <v>Valid</v>
      </c>
      <c r="I777" s="6" t="s">
        <v>3604</v>
      </c>
      <c r="J777" s="6" t="s">
        <v>81</v>
      </c>
      <c r="K777" s="6" t="s">
        <v>81</v>
      </c>
      <c r="L777" s="6" t="s">
        <v>46</v>
      </c>
      <c r="M777" s="7" t="str">
        <f t="shared" si="194"/>
        <v>Consumer</v>
      </c>
      <c r="N777" s="6" t="s">
        <v>47</v>
      </c>
      <c r="O777" s="7" t="str">
        <f t="shared" si="195"/>
        <v>North</v>
      </c>
      <c r="P777" s="6" t="s">
        <v>343</v>
      </c>
      <c r="Q777" s="6" t="s">
        <v>344</v>
      </c>
      <c r="R777" s="6" t="s">
        <v>106</v>
      </c>
      <c r="S777" s="7" t="str">
        <f t="shared" si="196"/>
        <v>Technology</v>
      </c>
      <c r="T777" s="6" t="s">
        <v>107</v>
      </c>
      <c r="U777" s="6" t="s">
        <v>3605</v>
      </c>
      <c r="V777" s="6" t="s">
        <v>87</v>
      </c>
      <c r="W777" s="7" t="str">
        <f t="shared" si="197"/>
        <v>Standard Class</v>
      </c>
      <c r="X777" s="6">
        <v>8</v>
      </c>
      <c r="Y777" s="6">
        <v>3956.12</v>
      </c>
      <c r="Z777" s="6">
        <v>0.25</v>
      </c>
      <c r="AA777" s="6">
        <f t="shared" si="199"/>
        <v>0.25</v>
      </c>
      <c r="AB777" s="6" t="str">
        <f t="shared" si="200"/>
        <v>Valid</v>
      </c>
      <c r="AC777" s="6">
        <v>23736.720000000001</v>
      </c>
      <c r="AD777" s="6" t="str">
        <f>IF(OR(AO777="Cancelled",AM777="Failed"),"Exclude from Completed Sales","Include in Completed Sales")</f>
        <v>Include in Completed Sales</v>
      </c>
      <c r="AE777" s="6">
        <f t="shared" si="201"/>
        <v>23736.720000000001</v>
      </c>
      <c r="AF777" s="6" t="str">
        <f t="shared" si="202"/>
        <v/>
      </c>
      <c r="AG777" s="6">
        <v>13890.9</v>
      </c>
      <c r="AH777" s="6">
        <v>9845.82</v>
      </c>
      <c r="AI777" s="6">
        <f t="shared" si="203"/>
        <v>9845.8200000000015</v>
      </c>
      <c r="AJ777" s="11">
        <f t="shared" si="204"/>
        <v>0.41479277676106896</v>
      </c>
      <c r="AK777" s="11" t="str">
        <f t="shared" si="205"/>
        <v>April</v>
      </c>
      <c r="AL777" s="12">
        <f t="shared" si="206"/>
        <v>2024</v>
      </c>
      <c r="AM777" s="6" t="s">
        <v>54</v>
      </c>
      <c r="AN777" s="6" t="s">
        <v>55</v>
      </c>
      <c r="AO777" s="6" t="str">
        <f t="shared" si="198"/>
        <v>Completed</v>
      </c>
    </row>
    <row r="778" spans="1:41">
      <c r="A778" s="6" t="s">
        <v>3606</v>
      </c>
      <c r="B778" s="7" t="s">
        <v>3607</v>
      </c>
      <c r="C778" s="8">
        <v>45816</v>
      </c>
      <c r="D778" s="7" t="s">
        <v>2371</v>
      </c>
      <c r="E778" s="9">
        <v>45821</v>
      </c>
      <c r="F778" s="9" t="str">
        <f t="shared" si="191"/>
        <v>Valid</v>
      </c>
      <c r="G778" s="10">
        <f t="shared" si="192"/>
        <v>5</v>
      </c>
      <c r="H778" s="10" t="str">
        <f t="shared" si="193"/>
        <v>Valid</v>
      </c>
      <c r="I778" s="6" t="s">
        <v>3608</v>
      </c>
      <c r="J778" s="6" t="s">
        <v>127</v>
      </c>
      <c r="K778" s="6" t="s">
        <v>127</v>
      </c>
      <c r="L778" s="6" t="s">
        <v>61</v>
      </c>
      <c r="M778" s="7" t="str">
        <f t="shared" si="194"/>
        <v>Small Business</v>
      </c>
      <c r="N778" s="6" t="s">
        <v>47</v>
      </c>
      <c r="O778" s="7" t="str">
        <f t="shared" si="195"/>
        <v>North</v>
      </c>
      <c r="P778" s="6" t="s">
        <v>48</v>
      </c>
      <c r="Q778" s="6" t="s">
        <v>49</v>
      </c>
      <c r="R778" s="6" t="s">
        <v>106</v>
      </c>
      <c r="S778" s="7" t="str">
        <f t="shared" si="196"/>
        <v>Technology</v>
      </c>
      <c r="T778" s="6" t="s">
        <v>114</v>
      </c>
      <c r="U778" s="6" t="s">
        <v>3609</v>
      </c>
      <c r="V778" s="6" t="s">
        <v>53</v>
      </c>
      <c r="W778" s="7" t="str">
        <f t="shared" si="197"/>
        <v>Second Class</v>
      </c>
      <c r="X778" s="6">
        <v>7</v>
      </c>
      <c r="Y778" s="6">
        <v>3857.13</v>
      </c>
      <c r="Z778" s="6">
        <v>0</v>
      </c>
      <c r="AA778" s="6">
        <f t="shared" si="199"/>
        <v>0</v>
      </c>
      <c r="AB778" s="6" t="str">
        <f t="shared" si="200"/>
        <v>Valid</v>
      </c>
      <c r="AC778" s="6">
        <v>26999.91</v>
      </c>
      <c r="AD778" s="6" t="str">
        <f>IF(OR(AO778="Cancelled",AM778="Failed"),"Exclude from Completed Sales","Include in Completed Sales")</f>
        <v>Include in Completed Sales</v>
      </c>
      <c r="AE778" s="6">
        <f t="shared" si="201"/>
        <v>26999.91</v>
      </c>
      <c r="AF778" s="6" t="str">
        <f t="shared" si="202"/>
        <v/>
      </c>
      <c r="AG778" s="6">
        <v>17815.98</v>
      </c>
      <c r="AH778" s="6">
        <v>9183.93</v>
      </c>
      <c r="AI778" s="6">
        <f t="shared" si="203"/>
        <v>9183.93</v>
      </c>
      <c r="AJ778" s="11">
        <f t="shared" si="204"/>
        <v>0.34014668937785347</v>
      </c>
      <c r="AK778" s="11" t="str">
        <f t="shared" si="205"/>
        <v>June</v>
      </c>
      <c r="AL778" s="12">
        <f t="shared" si="206"/>
        <v>2025</v>
      </c>
      <c r="AM778" s="6" t="s">
        <v>54</v>
      </c>
      <c r="AN778" s="6" t="s">
        <v>55</v>
      </c>
      <c r="AO778" s="6" t="str">
        <f t="shared" si="198"/>
        <v>Completed</v>
      </c>
    </row>
    <row r="779" spans="1:41">
      <c r="A779" s="6" t="s">
        <v>3610</v>
      </c>
      <c r="B779" s="7" t="s">
        <v>3611</v>
      </c>
      <c r="C779" s="8">
        <v>45326</v>
      </c>
      <c r="D779" s="7" t="s">
        <v>2300</v>
      </c>
      <c r="E779" s="9">
        <v>45328</v>
      </c>
      <c r="F779" s="9" t="str">
        <f t="shared" si="191"/>
        <v>Valid</v>
      </c>
      <c r="G779" s="10">
        <f t="shared" si="192"/>
        <v>2</v>
      </c>
      <c r="H779" s="10" t="str">
        <f t="shared" si="193"/>
        <v>Valid</v>
      </c>
      <c r="I779" s="6" t="s">
        <v>3612</v>
      </c>
      <c r="J779" s="6" t="s">
        <v>386</v>
      </c>
      <c r="K779" s="6" t="s">
        <v>386</v>
      </c>
      <c r="L779" s="6" t="s">
        <v>61</v>
      </c>
      <c r="M779" s="7" t="str">
        <f t="shared" si="194"/>
        <v>Small Business</v>
      </c>
      <c r="N779" s="6" t="s">
        <v>93</v>
      </c>
      <c r="O779" s="7" t="str">
        <f t="shared" si="195"/>
        <v>West</v>
      </c>
      <c r="P779" s="6" t="s">
        <v>104</v>
      </c>
      <c r="Q779" s="6" t="s">
        <v>105</v>
      </c>
      <c r="R779" s="6" t="s">
        <v>106</v>
      </c>
      <c r="S779" s="7" t="str">
        <f t="shared" si="196"/>
        <v>Technology</v>
      </c>
      <c r="T779" s="6" t="s">
        <v>107</v>
      </c>
      <c r="U779" s="6" t="s">
        <v>3613</v>
      </c>
      <c r="V779" s="6" t="s">
        <v>53</v>
      </c>
      <c r="W779" s="7" t="str">
        <f t="shared" si="197"/>
        <v>Second Class</v>
      </c>
      <c r="X779" s="6">
        <v>4</v>
      </c>
      <c r="Y779" s="6">
        <v>1489.74</v>
      </c>
      <c r="Z779" s="6">
        <v>0.15</v>
      </c>
      <c r="AA779" s="6">
        <f t="shared" si="199"/>
        <v>0.15</v>
      </c>
      <c r="AB779" s="6" t="str">
        <f t="shared" si="200"/>
        <v>Valid</v>
      </c>
      <c r="AC779" s="6">
        <v>5065.12</v>
      </c>
      <c r="AD779" s="6" t="str">
        <f>IF(OR(AO779="Cancelled",AM779="Failed"),"Exclude from Completed Sales","Include in Completed Sales")</f>
        <v>Exclude from Completed Sales</v>
      </c>
      <c r="AE779" s="6">
        <f t="shared" si="201"/>
        <v>5065.116</v>
      </c>
      <c r="AF779" s="6" t="str">
        <f t="shared" si="202"/>
        <v/>
      </c>
      <c r="AG779" s="6">
        <v>3530.12</v>
      </c>
      <c r="AH779" s="6">
        <v>1535</v>
      </c>
      <c r="AI779" s="6">
        <f t="shared" si="203"/>
        <v>1534.9960000000001</v>
      </c>
      <c r="AJ779" s="11">
        <f t="shared" si="204"/>
        <v>0.30305248685321323</v>
      </c>
      <c r="AK779" s="11" t="str">
        <f t="shared" si="205"/>
        <v>February</v>
      </c>
      <c r="AL779" s="12">
        <f t="shared" si="206"/>
        <v>2024</v>
      </c>
      <c r="AM779" s="6" t="s">
        <v>220</v>
      </c>
      <c r="AN779" s="6" t="s">
        <v>98</v>
      </c>
      <c r="AO779" s="6" t="str">
        <f t="shared" si="198"/>
        <v>Cancelled</v>
      </c>
    </row>
    <row r="780" spans="1:41">
      <c r="A780" s="6" t="s">
        <v>3614</v>
      </c>
      <c r="B780" s="7" t="s">
        <v>735</v>
      </c>
      <c r="C780" s="8">
        <v>45497</v>
      </c>
      <c r="D780" s="7" t="s">
        <v>3615</v>
      </c>
      <c r="E780" s="9">
        <v>45497</v>
      </c>
      <c r="F780" s="9" t="str">
        <f t="shared" si="191"/>
        <v>Valid</v>
      </c>
      <c r="G780" s="10">
        <f t="shared" si="192"/>
        <v>0</v>
      </c>
      <c r="H780" s="10" t="str">
        <f t="shared" si="193"/>
        <v>Valid</v>
      </c>
      <c r="I780" s="6" t="s">
        <v>3616</v>
      </c>
      <c r="J780" s="6" t="s">
        <v>45</v>
      </c>
      <c r="K780" s="6" t="s">
        <v>45</v>
      </c>
      <c r="L780" s="6" t="s">
        <v>61</v>
      </c>
      <c r="M780" s="7" t="str">
        <f t="shared" si="194"/>
        <v>Small Business</v>
      </c>
      <c r="N780" s="6" t="s">
        <v>47</v>
      </c>
      <c r="O780" s="7" t="str">
        <f t="shared" si="195"/>
        <v>North</v>
      </c>
      <c r="P780" s="6" t="s">
        <v>343</v>
      </c>
      <c r="Q780" s="6" t="s">
        <v>344</v>
      </c>
      <c r="R780" s="6" t="s">
        <v>106</v>
      </c>
      <c r="S780" s="7" t="str">
        <f t="shared" si="196"/>
        <v>Technology</v>
      </c>
      <c r="T780" s="6" t="s">
        <v>114</v>
      </c>
      <c r="U780" s="6" t="s">
        <v>3617</v>
      </c>
      <c r="V780" s="6" t="s">
        <v>53</v>
      </c>
      <c r="W780" s="7" t="str">
        <f t="shared" si="197"/>
        <v>Second Class</v>
      </c>
      <c r="X780" s="6">
        <v>4</v>
      </c>
      <c r="Y780" s="6">
        <v>1676.88</v>
      </c>
      <c r="Z780" s="6">
        <v>0</v>
      </c>
      <c r="AA780" s="6">
        <f t="shared" si="199"/>
        <v>0</v>
      </c>
      <c r="AB780" s="6" t="str">
        <f t="shared" si="200"/>
        <v>Valid</v>
      </c>
      <c r="AC780" s="6">
        <v>6707.52</v>
      </c>
      <c r="AD780" s="6" t="str">
        <f>IF(OR(AO780="Cancelled",AM780="Failed"),"Exclude from Completed Sales","Include in Completed Sales")</f>
        <v>Include in Completed Sales</v>
      </c>
      <c r="AE780" s="6">
        <f t="shared" si="201"/>
        <v>6707.52</v>
      </c>
      <c r="AF780" s="6" t="str">
        <f t="shared" si="202"/>
        <v/>
      </c>
      <c r="AG780" s="6">
        <v>5672.57</v>
      </c>
      <c r="AH780" s="6">
        <v>1034.95</v>
      </c>
      <c r="AI780" s="6">
        <f t="shared" si="203"/>
        <v>1034.9500000000007</v>
      </c>
      <c r="AJ780" s="11">
        <f t="shared" si="204"/>
        <v>0.15429696817899918</v>
      </c>
      <c r="AK780" s="11" t="str">
        <f t="shared" si="205"/>
        <v>July</v>
      </c>
      <c r="AL780" s="12">
        <f t="shared" si="206"/>
        <v>2024</v>
      </c>
      <c r="AM780" s="6" t="s">
        <v>54</v>
      </c>
      <c r="AN780" s="6" t="s">
        <v>55</v>
      </c>
      <c r="AO780" s="6" t="str">
        <f t="shared" si="198"/>
        <v>Completed</v>
      </c>
    </row>
    <row r="781" spans="1:41">
      <c r="A781" s="6" t="s">
        <v>3618</v>
      </c>
      <c r="B781" s="7" t="s">
        <v>2225</v>
      </c>
      <c r="C781" s="8">
        <v>45306</v>
      </c>
      <c r="D781" s="7" t="s">
        <v>3619</v>
      </c>
      <c r="E781" s="9">
        <v>45311</v>
      </c>
      <c r="F781" s="9" t="str">
        <f t="shared" si="191"/>
        <v>Valid</v>
      </c>
      <c r="G781" s="10">
        <f t="shared" si="192"/>
        <v>5</v>
      </c>
      <c r="H781" s="10" t="str">
        <f t="shared" si="193"/>
        <v>Valid</v>
      </c>
      <c r="I781" s="6" t="s">
        <v>3620</v>
      </c>
      <c r="J781" s="6" t="s">
        <v>162</v>
      </c>
      <c r="K781" s="6" t="s">
        <v>162</v>
      </c>
      <c r="L781" s="6" t="s">
        <v>61</v>
      </c>
      <c r="M781" s="7" t="str">
        <f t="shared" si="194"/>
        <v>Small Business</v>
      </c>
      <c r="N781" s="6" t="s">
        <v>82</v>
      </c>
      <c r="O781" s="7" t="str">
        <f t="shared" si="195"/>
        <v>South</v>
      </c>
      <c r="P781" s="6" t="s">
        <v>120</v>
      </c>
      <c r="Q781" s="6" t="s">
        <v>121</v>
      </c>
      <c r="R781" s="6" t="s">
        <v>65</v>
      </c>
      <c r="S781" s="7" t="str">
        <f t="shared" si="196"/>
        <v>Furniture</v>
      </c>
      <c r="T781" s="6" t="s">
        <v>96</v>
      </c>
      <c r="U781" s="6" t="s">
        <v>3621</v>
      </c>
      <c r="V781" s="6" t="s">
        <v>87</v>
      </c>
      <c r="W781" s="7" t="str">
        <f t="shared" si="197"/>
        <v>Standard Class</v>
      </c>
      <c r="X781" s="6">
        <v>4</v>
      </c>
      <c r="Y781" s="6">
        <v>3153.54</v>
      </c>
      <c r="Z781" s="6">
        <v>0.05</v>
      </c>
      <c r="AA781" s="6">
        <f t="shared" si="199"/>
        <v>0.05</v>
      </c>
      <c r="AB781" s="6" t="str">
        <f t="shared" si="200"/>
        <v>Valid</v>
      </c>
      <c r="AC781" s="6">
        <v>11983.45</v>
      </c>
      <c r="AD781" s="6" t="str">
        <f>IF(OR(AO781="Cancelled",AM781="Failed"),"Exclude from Completed Sales","Include in Completed Sales")</f>
        <v>Include in Completed Sales</v>
      </c>
      <c r="AE781" s="6">
        <f t="shared" si="201"/>
        <v>11983.451999999999</v>
      </c>
      <c r="AF781" s="6" t="str">
        <f t="shared" si="202"/>
        <v/>
      </c>
      <c r="AG781" s="6">
        <v>8572.9</v>
      </c>
      <c r="AH781" s="6">
        <v>3410.55</v>
      </c>
      <c r="AI781" s="6">
        <f t="shared" si="203"/>
        <v>3410.5519999999997</v>
      </c>
      <c r="AJ781" s="11">
        <f t="shared" si="204"/>
        <v>0.2846051371507976</v>
      </c>
      <c r="AK781" s="11" t="str">
        <f t="shared" si="205"/>
        <v>January</v>
      </c>
      <c r="AL781" s="12">
        <f t="shared" si="206"/>
        <v>2024</v>
      </c>
      <c r="AM781" s="6" t="s">
        <v>54</v>
      </c>
      <c r="AN781" s="6" t="s">
        <v>55</v>
      </c>
      <c r="AO781" s="6" t="str">
        <f t="shared" si="198"/>
        <v>Completed</v>
      </c>
    </row>
    <row r="782" spans="1:41">
      <c r="A782" s="6" t="s">
        <v>3622</v>
      </c>
      <c r="B782" s="7" t="s">
        <v>3623</v>
      </c>
      <c r="C782" s="8">
        <v>45508</v>
      </c>
      <c r="D782" s="7" t="s">
        <v>2674</v>
      </c>
      <c r="E782" s="9">
        <v>45514</v>
      </c>
      <c r="F782" s="9" t="str">
        <f t="shared" si="191"/>
        <v>Valid</v>
      </c>
      <c r="G782" s="10">
        <f t="shared" si="192"/>
        <v>6</v>
      </c>
      <c r="H782" s="10" t="str">
        <f t="shared" si="193"/>
        <v>Valid</v>
      </c>
      <c r="I782" s="6" t="s">
        <v>3624</v>
      </c>
      <c r="J782" s="6" t="s">
        <v>230</v>
      </c>
      <c r="K782" s="6" t="s">
        <v>230</v>
      </c>
      <c r="L782" s="6" t="s">
        <v>61</v>
      </c>
      <c r="M782" s="7" t="str">
        <f t="shared" si="194"/>
        <v>Small Business</v>
      </c>
      <c r="N782" s="6" t="s">
        <v>93</v>
      </c>
      <c r="O782" s="7" t="str">
        <f t="shared" si="195"/>
        <v>West</v>
      </c>
      <c r="P782" s="6" t="s">
        <v>48</v>
      </c>
      <c r="Q782" s="6" t="s">
        <v>155</v>
      </c>
      <c r="R782" s="6" t="s">
        <v>65</v>
      </c>
      <c r="S782" s="7" t="str">
        <f t="shared" si="196"/>
        <v>Furniture</v>
      </c>
      <c r="T782" s="6" t="s">
        <v>96</v>
      </c>
      <c r="U782" s="6" t="s">
        <v>3625</v>
      </c>
      <c r="V782" s="6" t="s">
        <v>68</v>
      </c>
      <c r="W782" s="7" t="str">
        <f t="shared" si="197"/>
        <v>Same Day</v>
      </c>
      <c r="X782" s="6">
        <v>4</v>
      </c>
      <c r="Y782" s="6">
        <v>426.43</v>
      </c>
      <c r="Z782" s="6">
        <v>0.2</v>
      </c>
      <c r="AA782" s="6">
        <f t="shared" si="199"/>
        <v>0.2</v>
      </c>
      <c r="AB782" s="6" t="str">
        <f t="shared" si="200"/>
        <v>Valid</v>
      </c>
      <c r="AC782" s="6">
        <v>1364.58</v>
      </c>
      <c r="AD782" s="6" t="str">
        <f>IF(OR(AO782="Cancelled",AM782="Failed"),"Exclude from Completed Sales","Include in Completed Sales")</f>
        <v>Include in Completed Sales</v>
      </c>
      <c r="AE782" s="6">
        <f t="shared" si="201"/>
        <v>1364.576</v>
      </c>
      <c r="AF782" s="6" t="str">
        <f t="shared" si="202"/>
        <v/>
      </c>
      <c r="AG782" s="6">
        <v>978.16</v>
      </c>
      <c r="AH782" s="6">
        <v>386.42</v>
      </c>
      <c r="AI782" s="6">
        <f t="shared" si="203"/>
        <v>386.41600000000005</v>
      </c>
      <c r="AJ782" s="11">
        <f t="shared" si="204"/>
        <v>0.28317660577351506</v>
      </c>
      <c r="AK782" s="11" t="str">
        <f t="shared" si="205"/>
        <v>August</v>
      </c>
      <c r="AL782" s="12">
        <f t="shared" si="206"/>
        <v>2024</v>
      </c>
      <c r="AM782" s="6" t="s">
        <v>54</v>
      </c>
      <c r="AN782" s="6" t="s">
        <v>55</v>
      </c>
      <c r="AO782" s="6" t="str">
        <f t="shared" si="198"/>
        <v>Completed</v>
      </c>
    </row>
    <row r="783" spans="1:41">
      <c r="A783" s="6" t="s">
        <v>3626</v>
      </c>
      <c r="B783" s="7" t="s">
        <v>3627</v>
      </c>
      <c r="C783" s="8">
        <v>45324</v>
      </c>
      <c r="D783" s="7" t="s">
        <v>2149</v>
      </c>
      <c r="E783" s="9">
        <v>45332</v>
      </c>
      <c r="F783" s="9" t="str">
        <f t="shared" si="191"/>
        <v>Valid</v>
      </c>
      <c r="G783" s="10">
        <f t="shared" si="192"/>
        <v>8</v>
      </c>
      <c r="H783" s="10" t="str">
        <f t="shared" si="193"/>
        <v>Valid</v>
      </c>
      <c r="I783" s="6" t="s">
        <v>3628</v>
      </c>
      <c r="J783" s="6" t="s">
        <v>45</v>
      </c>
      <c r="K783" s="6" t="s">
        <v>45</v>
      </c>
      <c r="L783" s="6" t="s">
        <v>135</v>
      </c>
      <c r="M783" s="7" t="str">
        <f t="shared" si="194"/>
        <v>Home Office</v>
      </c>
      <c r="N783" s="6" t="s">
        <v>93</v>
      </c>
      <c r="O783" s="7" t="str">
        <f t="shared" si="195"/>
        <v>West</v>
      </c>
      <c r="P783" s="6" t="s">
        <v>48</v>
      </c>
      <c r="Q783" s="6" t="s">
        <v>155</v>
      </c>
      <c r="R783" s="6" t="s">
        <v>50</v>
      </c>
      <c r="S783" s="7" t="str">
        <f t="shared" si="196"/>
        <v>Office Supplies</v>
      </c>
      <c r="T783" s="6" t="s">
        <v>129</v>
      </c>
      <c r="U783" s="6" t="s">
        <v>3629</v>
      </c>
      <c r="V783" s="6" t="s">
        <v>76</v>
      </c>
      <c r="W783" s="7" t="str">
        <f t="shared" si="197"/>
        <v>First Class</v>
      </c>
      <c r="X783" s="6">
        <v>3</v>
      </c>
      <c r="Y783" s="6">
        <v>383.4</v>
      </c>
      <c r="Z783" s="6">
        <v>0.25</v>
      </c>
      <c r="AA783" s="6">
        <f t="shared" si="199"/>
        <v>0.25</v>
      </c>
      <c r="AB783" s="6" t="str">
        <f t="shared" si="200"/>
        <v>Valid</v>
      </c>
      <c r="AC783" s="6">
        <v>862.65</v>
      </c>
      <c r="AD783" s="6" t="str">
        <f>IF(OR(AO783="Cancelled",AM783="Failed"),"Exclude from Completed Sales","Include in Completed Sales")</f>
        <v>Include in Completed Sales</v>
      </c>
      <c r="AE783" s="6">
        <f t="shared" si="201"/>
        <v>862.64999999999986</v>
      </c>
      <c r="AF783" s="6" t="str">
        <f t="shared" si="202"/>
        <v/>
      </c>
      <c r="AG783" s="6">
        <v>603.73</v>
      </c>
      <c r="AH783" s="6">
        <v>258.92</v>
      </c>
      <c r="AI783" s="6">
        <f t="shared" si="203"/>
        <v>258.91999999999985</v>
      </c>
      <c r="AJ783" s="11">
        <f t="shared" si="204"/>
        <v>0.30014490233582553</v>
      </c>
      <c r="AK783" s="11" t="str">
        <f t="shared" si="205"/>
        <v>February</v>
      </c>
      <c r="AL783" s="12">
        <f t="shared" si="206"/>
        <v>2024</v>
      </c>
      <c r="AM783" s="6" t="s">
        <v>157</v>
      </c>
      <c r="AN783" s="6" t="s">
        <v>145</v>
      </c>
      <c r="AO783" s="6" t="str">
        <f t="shared" si="198"/>
        <v>Returned</v>
      </c>
    </row>
    <row r="784" spans="1:41">
      <c r="A784" s="6" t="s">
        <v>3630</v>
      </c>
      <c r="B784" s="7" t="s">
        <v>1455</v>
      </c>
      <c r="C784" s="8">
        <v>45730</v>
      </c>
      <c r="D784" s="7" t="s">
        <v>3631</v>
      </c>
      <c r="E784" s="9">
        <v>45738</v>
      </c>
      <c r="F784" s="9" t="str">
        <f t="shared" si="191"/>
        <v>Valid</v>
      </c>
      <c r="G784" s="10">
        <f t="shared" si="192"/>
        <v>8</v>
      </c>
      <c r="H784" s="10" t="str">
        <f t="shared" si="193"/>
        <v>Valid</v>
      </c>
      <c r="I784" s="6" t="s">
        <v>3632</v>
      </c>
      <c r="J784" s="6" t="s">
        <v>60</v>
      </c>
      <c r="K784" s="6" t="s">
        <v>60</v>
      </c>
      <c r="L784" s="6" t="s">
        <v>128</v>
      </c>
      <c r="M784" s="7" t="str">
        <f t="shared" si="194"/>
        <v>Corporate</v>
      </c>
      <c r="N784" s="6" t="s">
        <v>62</v>
      </c>
      <c r="O784" s="7" t="str">
        <f t="shared" si="195"/>
        <v>East</v>
      </c>
      <c r="P784" s="6" t="s">
        <v>141</v>
      </c>
      <c r="Q784" s="6" t="s">
        <v>142</v>
      </c>
      <c r="R784" s="6" t="s">
        <v>106</v>
      </c>
      <c r="S784" s="7" t="str">
        <f t="shared" si="196"/>
        <v>Technology</v>
      </c>
      <c r="T784" s="6" t="s">
        <v>114</v>
      </c>
      <c r="U784" s="6" t="s">
        <v>3633</v>
      </c>
      <c r="V784" s="6" t="s">
        <v>87</v>
      </c>
      <c r="W784" s="7" t="str">
        <f t="shared" si="197"/>
        <v>Standard Class</v>
      </c>
      <c r="X784" s="6">
        <v>2</v>
      </c>
      <c r="Y784" s="6">
        <v>669.63</v>
      </c>
      <c r="Z784" s="6">
        <v>0.15</v>
      </c>
      <c r="AA784" s="6">
        <f t="shared" si="199"/>
        <v>0.15</v>
      </c>
      <c r="AB784" s="6" t="str">
        <f t="shared" si="200"/>
        <v>Valid</v>
      </c>
      <c r="AC784" s="6">
        <v>1138.3699999999999</v>
      </c>
      <c r="AD784" s="6" t="str">
        <f>IF(OR(AO784="Cancelled",AM784="Failed"),"Exclude from Completed Sales","Include in Completed Sales")</f>
        <v>Include in Completed Sales</v>
      </c>
      <c r="AE784" s="6">
        <f t="shared" si="201"/>
        <v>1138.3709999999999</v>
      </c>
      <c r="AF784" s="6" t="str">
        <f t="shared" si="202"/>
        <v/>
      </c>
      <c r="AG784" s="6">
        <v>797.34</v>
      </c>
      <c r="AH784" s="6">
        <v>341.03</v>
      </c>
      <c r="AI784" s="6">
        <f t="shared" si="203"/>
        <v>341.03099999999984</v>
      </c>
      <c r="AJ784" s="11">
        <f t="shared" si="204"/>
        <v>0.29957808131092578</v>
      </c>
      <c r="AK784" s="11" t="str">
        <f t="shared" si="205"/>
        <v>March</v>
      </c>
      <c r="AL784" s="12">
        <f t="shared" si="206"/>
        <v>2025</v>
      </c>
      <c r="AM784" s="6" t="s">
        <v>54</v>
      </c>
      <c r="AN784" s="6" t="s">
        <v>55</v>
      </c>
      <c r="AO784" s="6" t="str">
        <f t="shared" si="198"/>
        <v>Completed</v>
      </c>
    </row>
    <row r="785" spans="1:41">
      <c r="A785" s="6" t="s">
        <v>3634</v>
      </c>
      <c r="B785" s="7" t="s">
        <v>3635</v>
      </c>
      <c r="C785" s="8">
        <v>45450</v>
      </c>
      <c r="D785" s="7" t="s">
        <v>3636</v>
      </c>
      <c r="E785" s="9">
        <v>45450</v>
      </c>
      <c r="F785" s="9" t="str">
        <f t="shared" si="191"/>
        <v>Valid</v>
      </c>
      <c r="G785" s="10">
        <f t="shared" si="192"/>
        <v>0</v>
      </c>
      <c r="H785" s="10" t="str">
        <f t="shared" si="193"/>
        <v>Valid</v>
      </c>
      <c r="I785" s="6" t="s">
        <v>3637</v>
      </c>
      <c r="J785" s="6" t="s">
        <v>182</v>
      </c>
      <c r="K785" s="6" t="s">
        <v>182</v>
      </c>
      <c r="L785" s="6" t="s">
        <v>61</v>
      </c>
      <c r="M785" s="7" t="str">
        <f t="shared" si="194"/>
        <v>Small Business</v>
      </c>
      <c r="N785" s="6" t="s">
        <v>62</v>
      </c>
      <c r="O785" s="7" t="str">
        <f t="shared" si="195"/>
        <v>East</v>
      </c>
      <c r="P785" s="6" t="s">
        <v>206</v>
      </c>
      <c r="Q785" s="6" t="s">
        <v>207</v>
      </c>
      <c r="R785" s="6" t="s">
        <v>50</v>
      </c>
      <c r="S785" s="7" t="str">
        <f t="shared" si="196"/>
        <v>Office Supplies</v>
      </c>
      <c r="T785" s="6" t="s">
        <v>74</v>
      </c>
      <c r="U785" s="6" t="s">
        <v>3638</v>
      </c>
      <c r="V785" s="6" t="s">
        <v>53</v>
      </c>
      <c r="W785" s="7" t="str">
        <f t="shared" si="197"/>
        <v>Second Class</v>
      </c>
      <c r="X785" s="6">
        <v>1</v>
      </c>
      <c r="Y785" s="6">
        <v>2581.9299999999998</v>
      </c>
      <c r="Z785" s="6">
        <v>0.05</v>
      </c>
      <c r="AA785" s="6">
        <f t="shared" si="199"/>
        <v>0.05</v>
      </c>
      <c r="AB785" s="6" t="str">
        <f t="shared" si="200"/>
        <v>Valid</v>
      </c>
      <c r="AC785" s="6">
        <v>2452.83</v>
      </c>
      <c r="AD785" s="6" t="str">
        <f>IF(OR(AO785="Cancelled",AM785="Failed"),"Exclude from Completed Sales","Include in Completed Sales")</f>
        <v>Include in Completed Sales</v>
      </c>
      <c r="AE785" s="6">
        <f t="shared" si="201"/>
        <v>2452.8334999999997</v>
      </c>
      <c r="AF785" s="6" t="str">
        <f t="shared" si="202"/>
        <v/>
      </c>
      <c r="AG785" s="6">
        <v>1906.7</v>
      </c>
      <c r="AH785" s="6">
        <v>546.13</v>
      </c>
      <c r="AI785" s="6">
        <f t="shared" si="203"/>
        <v>546.13349999999969</v>
      </c>
      <c r="AJ785" s="11">
        <f t="shared" si="204"/>
        <v>0.22265412634000625</v>
      </c>
      <c r="AK785" s="11" t="str">
        <f t="shared" si="205"/>
        <v>June</v>
      </c>
      <c r="AL785" s="12">
        <f t="shared" si="206"/>
        <v>2024</v>
      </c>
      <c r="AM785" s="6" t="s">
        <v>54</v>
      </c>
      <c r="AN785" s="6" t="s">
        <v>55</v>
      </c>
      <c r="AO785" s="6" t="str">
        <f t="shared" si="198"/>
        <v>Completed</v>
      </c>
    </row>
    <row r="786" spans="1:41">
      <c r="A786" s="6" t="s">
        <v>3639</v>
      </c>
      <c r="B786" s="7" t="s">
        <v>3640</v>
      </c>
      <c r="C786" s="8">
        <v>45934</v>
      </c>
      <c r="D786" s="7" t="s">
        <v>2573</v>
      </c>
      <c r="E786" s="9">
        <v>45935</v>
      </c>
      <c r="F786" s="9" t="str">
        <f t="shared" si="191"/>
        <v>Valid</v>
      </c>
      <c r="G786" s="10">
        <f t="shared" si="192"/>
        <v>1</v>
      </c>
      <c r="H786" s="10" t="str">
        <f t="shared" si="193"/>
        <v>Valid</v>
      </c>
      <c r="I786" s="6" t="s">
        <v>3641</v>
      </c>
      <c r="J786" s="6" t="s">
        <v>162</v>
      </c>
      <c r="K786" s="6" t="s">
        <v>162</v>
      </c>
      <c r="L786" s="6" t="s">
        <v>128</v>
      </c>
      <c r="M786" s="7" t="str">
        <f t="shared" si="194"/>
        <v>Corporate</v>
      </c>
      <c r="N786" s="6" t="s">
        <v>3642</v>
      </c>
      <c r="O786" s="7" t="str">
        <f t="shared" si="195"/>
        <v>North</v>
      </c>
      <c r="P786" s="6" t="s">
        <v>174</v>
      </c>
      <c r="Q786" s="6" t="s">
        <v>175</v>
      </c>
      <c r="R786" s="6" t="s">
        <v>106</v>
      </c>
      <c r="S786" s="7" t="str">
        <f t="shared" si="196"/>
        <v>Technology</v>
      </c>
      <c r="T786" s="6" t="s">
        <v>114</v>
      </c>
      <c r="U786" s="6" t="s">
        <v>3643</v>
      </c>
      <c r="V786" s="6" t="s">
        <v>76</v>
      </c>
      <c r="W786" s="7" t="str">
        <f t="shared" si="197"/>
        <v>First Class</v>
      </c>
      <c r="X786" s="6">
        <v>4</v>
      </c>
      <c r="Y786" s="6">
        <v>418.18</v>
      </c>
      <c r="Z786" s="6">
        <v>0.05</v>
      </c>
      <c r="AA786" s="6">
        <f t="shared" si="199"/>
        <v>0.05</v>
      </c>
      <c r="AB786" s="6" t="str">
        <f t="shared" si="200"/>
        <v>Valid</v>
      </c>
      <c r="AC786" s="6">
        <v>1589.08</v>
      </c>
      <c r="AD786" s="6" t="str">
        <f>IF(OR(AO786="Cancelled",AM786="Failed"),"Exclude from Completed Sales","Include in Completed Sales")</f>
        <v>Include in Completed Sales</v>
      </c>
      <c r="AE786" s="6">
        <f t="shared" si="201"/>
        <v>1589.0840000000001</v>
      </c>
      <c r="AF786" s="6" t="str">
        <f t="shared" si="202"/>
        <v/>
      </c>
      <c r="AG786" s="6">
        <v>1084.6600000000001</v>
      </c>
      <c r="AH786" s="6">
        <v>504.42</v>
      </c>
      <c r="AI786" s="6">
        <f t="shared" si="203"/>
        <v>504.42399999999998</v>
      </c>
      <c r="AJ786" s="11">
        <f t="shared" si="204"/>
        <v>0.31743067075120002</v>
      </c>
      <c r="AK786" s="11" t="str">
        <f t="shared" si="205"/>
        <v>October</v>
      </c>
      <c r="AL786" s="12">
        <f t="shared" si="206"/>
        <v>2025</v>
      </c>
      <c r="AM786" s="6" t="s">
        <v>54</v>
      </c>
      <c r="AN786" s="6" t="s">
        <v>55</v>
      </c>
      <c r="AO786" s="6" t="str">
        <f t="shared" si="198"/>
        <v>Completed</v>
      </c>
    </row>
    <row r="787" spans="1:41">
      <c r="A787" s="6" t="s">
        <v>3644</v>
      </c>
      <c r="B787" s="7" t="s">
        <v>3645</v>
      </c>
      <c r="C787" s="8">
        <v>45435</v>
      </c>
      <c r="D787" s="7" t="s">
        <v>293</v>
      </c>
      <c r="E787" s="9">
        <v>45441</v>
      </c>
      <c r="F787" s="9" t="str">
        <f t="shared" si="191"/>
        <v>Valid</v>
      </c>
      <c r="G787" s="10">
        <f t="shared" si="192"/>
        <v>6</v>
      </c>
      <c r="H787" s="10" t="str">
        <f t="shared" si="193"/>
        <v>Valid</v>
      </c>
      <c r="I787" s="6" t="s">
        <v>3646</v>
      </c>
      <c r="J787" s="6" t="s">
        <v>230</v>
      </c>
      <c r="K787" s="6" t="s">
        <v>230</v>
      </c>
      <c r="L787" s="6" t="s">
        <v>61</v>
      </c>
      <c r="M787" s="7" t="str">
        <f t="shared" si="194"/>
        <v>Small Business</v>
      </c>
      <c r="N787" s="6" t="s">
        <v>47</v>
      </c>
      <c r="O787" s="7" t="str">
        <f t="shared" si="195"/>
        <v>North</v>
      </c>
      <c r="P787" s="6" t="s">
        <v>343</v>
      </c>
      <c r="Q787" s="6" t="s">
        <v>344</v>
      </c>
      <c r="R787" s="6" t="s">
        <v>50</v>
      </c>
      <c r="S787" s="7" t="str">
        <f t="shared" si="196"/>
        <v>Office Supplies</v>
      </c>
      <c r="T787" s="6" t="s">
        <v>176</v>
      </c>
      <c r="U787" s="6" t="s">
        <v>3647</v>
      </c>
      <c r="V787" s="6" t="s">
        <v>68</v>
      </c>
      <c r="W787" s="7" t="str">
        <f t="shared" si="197"/>
        <v>Same Day</v>
      </c>
      <c r="X787" s="6">
        <v>2</v>
      </c>
      <c r="Y787" s="6">
        <v>3012.94</v>
      </c>
      <c r="Z787" s="6">
        <v>0.25</v>
      </c>
      <c r="AA787" s="6">
        <f t="shared" si="199"/>
        <v>0.25</v>
      </c>
      <c r="AB787" s="6" t="str">
        <f t="shared" si="200"/>
        <v>Valid</v>
      </c>
      <c r="AC787" s="6">
        <v>4519.41</v>
      </c>
      <c r="AD787" s="6" t="str">
        <f>IF(OR(AO787="Cancelled",AM787="Failed"),"Exclude from Completed Sales","Include in Completed Sales")</f>
        <v>Exclude from Completed Sales</v>
      </c>
      <c r="AE787" s="6">
        <f t="shared" si="201"/>
        <v>4519.41</v>
      </c>
      <c r="AF787" s="6" t="str">
        <f t="shared" si="202"/>
        <v/>
      </c>
      <c r="AG787" s="6">
        <v>3504.16</v>
      </c>
      <c r="AH787" s="6">
        <v>1275.55</v>
      </c>
      <c r="AI787" s="6">
        <f t="shared" si="203"/>
        <v>1015.25</v>
      </c>
      <c r="AJ787" s="11">
        <f t="shared" si="204"/>
        <v>0.22464215461752751</v>
      </c>
      <c r="AK787" s="11" t="str">
        <f t="shared" si="205"/>
        <v>May</v>
      </c>
      <c r="AL787" s="12">
        <f t="shared" si="206"/>
        <v>2024</v>
      </c>
      <c r="AM787" s="6" t="s">
        <v>220</v>
      </c>
      <c r="AN787" s="6" t="s">
        <v>98</v>
      </c>
      <c r="AO787" s="6" t="str">
        <f t="shared" si="198"/>
        <v>Cancelled</v>
      </c>
    </row>
    <row r="788" spans="1:41">
      <c r="A788" s="6" t="s">
        <v>3648</v>
      </c>
      <c r="B788" s="7" t="s">
        <v>1291</v>
      </c>
      <c r="C788" s="8">
        <v>45844</v>
      </c>
      <c r="D788" s="7" t="s">
        <v>2873</v>
      </c>
      <c r="E788" s="9">
        <v>45846</v>
      </c>
      <c r="F788" s="9" t="str">
        <f t="shared" si="191"/>
        <v>Valid</v>
      </c>
      <c r="G788" s="10">
        <f t="shared" si="192"/>
        <v>2</v>
      </c>
      <c r="H788" s="10" t="str">
        <f t="shared" si="193"/>
        <v>Valid</v>
      </c>
      <c r="I788" s="6" t="s">
        <v>3649</v>
      </c>
      <c r="J788" s="6" t="s">
        <v>92</v>
      </c>
      <c r="K788" s="6" t="s">
        <v>92</v>
      </c>
      <c r="L788" s="6" t="s">
        <v>128</v>
      </c>
      <c r="M788" s="7" t="str">
        <f t="shared" si="194"/>
        <v>Corporate</v>
      </c>
      <c r="N788" s="6" t="s">
        <v>47</v>
      </c>
      <c r="O788" s="7" t="str">
        <f t="shared" si="195"/>
        <v>North</v>
      </c>
      <c r="P788" s="6" t="s">
        <v>48</v>
      </c>
      <c r="Q788" s="6" t="s">
        <v>49</v>
      </c>
      <c r="R788" s="6" t="s">
        <v>65</v>
      </c>
      <c r="S788" s="7" t="str">
        <f t="shared" si="196"/>
        <v>Furniture</v>
      </c>
      <c r="T788" s="6" t="s">
        <v>85</v>
      </c>
      <c r="U788" s="6" t="s">
        <v>3650</v>
      </c>
      <c r="V788" s="6"/>
      <c r="W788" s="7" t="str">
        <f t="shared" si="197"/>
        <v>Unknown</v>
      </c>
      <c r="X788" s="6">
        <v>4</v>
      </c>
      <c r="Y788" s="6">
        <v>715.45</v>
      </c>
      <c r="Z788" s="6">
        <v>0.05</v>
      </c>
      <c r="AA788" s="6">
        <f t="shared" si="199"/>
        <v>0.05</v>
      </c>
      <c r="AB788" s="6" t="str">
        <f t="shared" si="200"/>
        <v>Valid</v>
      </c>
      <c r="AC788" s="6">
        <v>2718.71</v>
      </c>
      <c r="AD788" s="6" t="str">
        <f>IF(OR(AO788="Cancelled",AM788="Failed"),"Exclude from Completed Sales","Include in Completed Sales")</f>
        <v>Include in Completed Sales</v>
      </c>
      <c r="AE788" s="6">
        <f t="shared" si="201"/>
        <v>2718.71</v>
      </c>
      <c r="AF788" s="6" t="str">
        <f t="shared" si="202"/>
        <v>Refunded</v>
      </c>
      <c r="AG788" s="6">
        <v>2065.0500000000002</v>
      </c>
      <c r="AH788" s="6">
        <v>653.66</v>
      </c>
      <c r="AI788" s="6">
        <f t="shared" si="203"/>
        <v>653.65999999999985</v>
      </c>
      <c r="AJ788" s="11">
        <f t="shared" si="204"/>
        <v>0.24043020403058799</v>
      </c>
      <c r="AK788" s="11" t="str">
        <f t="shared" si="205"/>
        <v>July</v>
      </c>
      <c r="AL788" s="12">
        <f t="shared" si="206"/>
        <v>2025</v>
      </c>
      <c r="AM788" s="6" t="s">
        <v>144</v>
      </c>
      <c r="AN788" s="6" t="s">
        <v>145</v>
      </c>
      <c r="AO788" s="6" t="str">
        <f t="shared" si="198"/>
        <v>Returned</v>
      </c>
    </row>
    <row r="789" spans="1:41">
      <c r="A789" s="6" t="s">
        <v>3651</v>
      </c>
      <c r="B789" s="7" t="s">
        <v>1344</v>
      </c>
      <c r="C789" s="8">
        <v>45547</v>
      </c>
      <c r="D789" s="7" t="s">
        <v>3652</v>
      </c>
      <c r="E789" s="9">
        <v>45553</v>
      </c>
      <c r="F789" s="9" t="str">
        <f t="shared" si="191"/>
        <v>Valid</v>
      </c>
      <c r="G789" s="10">
        <f t="shared" si="192"/>
        <v>6</v>
      </c>
      <c r="H789" s="10" t="str">
        <f t="shared" si="193"/>
        <v>Valid</v>
      </c>
      <c r="I789" s="6" t="s">
        <v>3653</v>
      </c>
      <c r="J789" s="6" t="s">
        <v>92</v>
      </c>
      <c r="K789" s="6" t="s">
        <v>92</v>
      </c>
      <c r="L789" s="6" t="s">
        <v>135</v>
      </c>
      <c r="M789" s="7" t="str">
        <f t="shared" si="194"/>
        <v>Home Office</v>
      </c>
      <c r="N789" s="6" t="s">
        <v>62</v>
      </c>
      <c r="O789" s="7" t="str">
        <f t="shared" si="195"/>
        <v>East</v>
      </c>
      <c r="P789" s="6" t="s">
        <v>206</v>
      </c>
      <c r="Q789" s="6" t="s">
        <v>207</v>
      </c>
      <c r="R789" s="6" t="s">
        <v>50</v>
      </c>
      <c r="S789" s="7" t="str">
        <f t="shared" si="196"/>
        <v>Office Supplies</v>
      </c>
      <c r="T789" s="6" t="s">
        <v>51</v>
      </c>
      <c r="U789" s="6" t="s">
        <v>3654</v>
      </c>
      <c r="V789" s="6" t="s">
        <v>53</v>
      </c>
      <c r="W789" s="7" t="str">
        <f t="shared" si="197"/>
        <v>Second Class</v>
      </c>
      <c r="X789" s="6">
        <v>2</v>
      </c>
      <c r="Y789" s="6">
        <v>3718.77</v>
      </c>
      <c r="Z789" s="6">
        <v>0.05</v>
      </c>
      <c r="AA789" s="6">
        <f t="shared" si="199"/>
        <v>0.05</v>
      </c>
      <c r="AB789" s="6" t="str">
        <f t="shared" si="200"/>
        <v>Valid</v>
      </c>
      <c r="AC789" s="6">
        <v>7065.66</v>
      </c>
      <c r="AD789" s="6" t="str">
        <f>IF(OR(AO789="Cancelled",AM789="Failed"),"Exclude from Completed Sales","Include in Completed Sales")</f>
        <v>Include in Completed Sales</v>
      </c>
      <c r="AE789" s="6">
        <f t="shared" si="201"/>
        <v>7065.6629999999996</v>
      </c>
      <c r="AF789" s="6" t="str">
        <f t="shared" si="202"/>
        <v/>
      </c>
      <c r="AG789" s="6">
        <v>4915.2700000000004</v>
      </c>
      <c r="AH789" s="6">
        <v>2150.39</v>
      </c>
      <c r="AI789" s="6">
        <f t="shared" si="203"/>
        <v>2150.3929999999991</v>
      </c>
      <c r="AJ789" s="11">
        <f t="shared" si="204"/>
        <v>0.30434412170521002</v>
      </c>
      <c r="AK789" s="11" t="str">
        <f t="shared" si="205"/>
        <v>September</v>
      </c>
      <c r="AL789" s="12">
        <f t="shared" si="206"/>
        <v>2024</v>
      </c>
      <c r="AM789" s="6" t="s">
        <v>54</v>
      </c>
      <c r="AN789" s="6" t="s">
        <v>55</v>
      </c>
      <c r="AO789" s="6" t="str">
        <f t="shared" si="198"/>
        <v>Completed</v>
      </c>
    </row>
    <row r="790" spans="1:41">
      <c r="A790" s="6" t="s">
        <v>3655</v>
      </c>
      <c r="B790" s="7" t="s">
        <v>1319</v>
      </c>
      <c r="C790" s="8">
        <v>45505</v>
      </c>
      <c r="D790" s="7" t="s">
        <v>558</v>
      </c>
      <c r="E790" s="9">
        <v>45506</v>
      </c>
      <c r="F790" s="9" t="str">
        <f t="shared" si="191"/>
        <v>Valid</v>
      </c>
      <c r="G790" s="10">
        <f t="shared" si="192"/>
        <v>1</v>
      </c>
      <c r="H790" s="10" t="str">
        <f t="shared" si="193"/>
        <v>Valid</v>
      </c>
      <c r="I790" s="6" t="s">
        <v>3656</v>
      </c>
      <c r="J790" s="6" t="s">
        <v>73</v>
      </c>
      <c r="K790" s="6" t="s">
        <v>73</v>
      </c>
      <c r="L790" s="6" t="s">
        <v>128</v>
      </c>
      <c r="M790" s="7" t="str">
        <f t="shared" si="194"/>
        <v>Corporate</v>
      </c>
      <c r="N790" s="6" t="s">
        <v>47</v>
      </c>
      <c r="O790" s="7" t="str">
        <f t="shared" si="195"/>
        <v>North</v>
      </c>
      <c r="P790" s="6" t="s">
        <v>194</v>
      </c>
      <c r="Q790" s="6" t="s">
        <v>195</v>
      </c>
      <c r="R790" s="6" t="s">
        <v>65</v>
      </c>
      <c r="S790" s="7" t="str">
        <f t="shared" si="196"/>
        <v>Furniture</v>
      </c>
      <c r="T790" s="6" t="s">
        <v>96</v>
      </c>
      <c r="U790" s="6" t="s">
        <v>3657</v>
      </c>
      <c r="V790" s="6" t="s">
        <v>87</v>
      </c>
      <c r="W790" s="7" t="str">
        <f t="shared" si="197"/>
        <v>Standard Class</v>
      </c>
      <c r="X790" s="6">
        <v>8</v>
      </c>
      <c r="Y790" s="6">
        <v>2487.64</v>
      </c>
      <c r="Z790" s="6">
        <v>0.1</v>
      </c>
      <c r="AA790" s="6">
        <f t="shared" si="199"/>
        <v>0.1</v>
      </c>
      <c r="AB790" s="6" t="str">
        <f t="shared" si="200"/>
        <v>Valid</v>
      </c>
      <c r="AC790" s="6">
        <v>17911.009999999998</v>
      </c>
      <c r="AD790" s="6" t="str">
        <f>IF(OR(AO790="Cancelled",AM790="Failed"),"Exclude from Completed Sales","Include in Completed Sales")</f>
        <v>Exclude from Completed Sales</v>
      </c>
      <c r="AE790" s="6">
        <f t="shared" si="201"/>
        <v>17911.007999999998</v>
      </c>
      <c r="AF790" s="6" t="str">
        <f t="shared" si="202"/>
        <v/>
      </c>
      <c r="AG790" s="6">
        <v>11546.05</v>
      </c>
      <c r="AH790" s="6">
        <v>6364.96</v>
      </c>
      <c r="AI790" s="6">
        <f t="shared" si="203"/>
        <v>6364.9579999999987</v>
      </c>
      <c r="AJ790" s="11">
        <f t="shared" si="204"/>
        <v>0.35536570582738836</v>
      </c>
      <c r="AK790" s="11" t="str">
        <f t="shared" si="205"/>
        <v>August</v>
      </c>
      <c r="AL790" s="12">
        <f t="shared" si="206"/>
        <v>2024</v>
      </c>
      <c r="AM790" s="6" t="s">
        <v>220</v>
      </c>
      <c r="AN790" s="6" t="s">
        <v>145</v>
      </c>
      <c r="AO790" s="6" t="str">
        <f t="shared" si="198"/>
        <v>Returned</v>
      </c>
    </row>
    <row r="791" spans="1:41">
      <c r="A791" s="6" t="s">
        <v>3658</v>
      </c>
      <c r="B791" s="7" t="s">
        <v>3659</v>
      </c>
      <c r="C791" s="8">
        <v>45723</v>
      </c>
      <c r="D791" s="7" t="s">
        <v>2344</v>
      </c>
      <c r="E791" s="9">
        <v>45724</v>
      </c>
      <c r="F791" s="9" t="str">
        <f t="shared" si="191"/>
        <v>Valid</v>
      </c>
      <c r="G791" s="10">
        <f t="shared" si="192"/>
        <v>1</v>
      </c>
      <c r="H791" s="10" t="str">
        <f t="shared" si="193"/>
        <v>Valid</v>
      </c>
      <c r="I791" s="6" t="s">
        <v>3660</v>
      </c>
      <c r="J791" s="6" t="s">
        <v>162</v>
      </c>
      <c r="K791" s="6" t="s">
        <v>162</v>
      </c>
      <c r="L791" s="6" t="s">
        <v>135</v>
      </c>
      <c r="M791" s="7" t="str">
        <f t="shared" si="194"/>
        <v>Home Office</v>
      </c>
      <c r="N791" s="6"/>
      <c r="O791" s="7" t="str">
        <f t="shared" si="195"/>
        <v>Unknown</v>
      </c>
      <c r="P791" s="6" t="s">
        <v>48</v>
      </c>
      <c r="Q791" s="6" t="s">
        <v>155</v>
      </c>
      <c r="R791" s="6" t="s">
        <v>106</v>
      </c>
      <c r="S791" s="7" t="str">
        <f t="shared" si="196"/>
        <v>Technology</v>
      </c>
      <c r="T791" s="6" t="s">
        <v>114</v>
      </c>
      <c r="U791" s="6" t="s">
        <v>3661</v>
      </c>
      <c r="V791" s="6" t="s">
        <v>68</v>
      </c>
      <c r="W791" s="7" t="str">
        <f t="shared" si="197"/>
        <v>Same Day</v>
      </c>
      <c r="X791" s="6">
        <v>4</v>
      </c>
      <c r="Y791" s="6">
        <v>3537.48</v>
      </c>
      <c r="Z791" s="6">
        <v>0</v>
      </c>
      <c r="AA791" s="6">
        <f t="shared" si="199"/>
        <v>0</v>
      </c>
      <c r="AB791" s="6" t="str">
        <f t="shared" si="200"/>
        <v>Valid</v>
      </c>
      <c r="AC791" s="6">
        <v>14149.92</v>
      </c>
      <c r="AD791" s="6" t="str">
        <f>IF(OR(AO791="Cancelled",AM791="Failed"),"Exclude from Completed Sales","Include in Completed Sales")</f>
        <v>Include in Completed Sales</v>
      </c>
      <c r="AE791" s="6">
        <f t="shared" si="201"/>
        <v>14149.92</v>
      </c>
      <c r="AF791" s="6" t="str">
        <f t="shared" si="202"/>
        <v/>
      </c>
      <c r="AG791" s="6">
        <v>9466.51</v>
      </c>
      <c r="AH791" s="6">
        <v>4683.41</v>
      </c>
      <c r="AI791" s="6">
        <f t="shared" si="203"/>
        <v>4683.41</v>
      </c>
      <c r="AJ791" s="11">
        <f t="shared" si="204"/>
        <v>0.33098491016203624</v>
      </c>
      <c r="AK791" s="11" t="str">
        <f t="shared" si="205"/>
        <v>March</v>
      </c>
      <c r="AL791" s="12">
        <f t="shared" si="206"/>
        <v>2025</v>
      </c>
      <c r="AM791" s="6" t="s">
        <v>54</v>
      </c>
      <c r="AN791" s="6" t="s">
        <v>55</v>
      </c>
      <c r="AO791" s="6" t="str">
        <f t="shared" si="198"/>
        <v>Completed</v>
      </c>
    </row>
    <row r="792" spans="1:41">
      <c r="A792" s="6" t="s">
        <v>3662</v>
      </c>
      <c r="B792" s="7" t="s">
        <v>3663</v>
      </c>
      <c r="C792" s="8">
        <v>45443</v>
      </c>
      <c r="D792" s="7" t="s">
        <v>3664</v>
      </c>
      <c r="E792" s="9">
        <v>45445</v>
      </c>
      <c r="F792" s="9" t="str">
        <f t="shared" si="191"/>
        <v>Valid</v>
      </c>
      <c r="G792" s="10">
        <f t="shared" si="192"/>
        <v>2</v>
      </c>
      <c r="H792" s="10" t="str">
        <f t="shared" si="193"/>
        <v>Valid</v>
      </c>
      <c r="I792" s="6" t="s">
        <v>3665</v>
      </c>
      <c r="J792" s="6" t="s">
        <v>168</v>
      </c>
      <c r="K792" s="6" t="s">
        <v>168</v>
      </c>
      <c r="L792" s="6" t="s">
        <v>128</v>
      </c>
      <c r="M792" s="7" t="str">
        <f t="shared" si="194"/>
        <v>Corporate</v>
      </c>
      <c r="N792" s="6" t="s">
        <v>82</v>
      </c>
      <c r="O792" s="7" t="str">
        <f t="shared" si="195"/>
        <v>South</v>
      </c>
      <c r="P792" s="6" t="s">
        <v>120</v>
      </c>
      <c r="Q792" s="6" t="s">
        <v>121</v>
      </c>
      <c r="R792" s="6" t="s">
        <v>50</v>
      </c>
      <c r="S792" s="7" t="str">
        <f t="shared" si="196"/>
        <v>Office Supplies</v>
      </c>
      <c r="T792" s="6" t="s">
        <v>74</v>
      </c>
      <c r="U792" s="6" t="s">
        <v>3666</v>
      </c>
      <c r="V792" s="6" t="s">
        <v>87</v>
      </c>
      <c r="W792" s="7" t="str">
        <f t="shared" si="197"/>
        <v>Standard Class</v>
      </c>
      <c r="X792" s="6">
        <v>8</v>
      </c>
      <c r="Y792" s="6">
        <v>667.59</v>
      </c>
      <c r="Z792" s="6">
        <v>0.2</v>
      </c>
      <c r="AA792" s="6">
        <f t="shared" si="199"/>
        <v>0.2</v>
      </c>
      <c r="AB792" s="6" t="str">
        <f t="shared" si="200"/>
        <v>Valid</v>
      </c>
      <c r="AC792" s="6">
        <v>4272.58</v>
      </c>
      <c r="AD792" s="6" t="str">
        <f>IF(OR(AO792="Cancelled",AM792="Failed"),"Exclude from Completed Sales","Include in Completed Sales")</f>
        <v>Include in Completed Sales</v>
      </c>
      <c r="AE792" s="6">
        <f t="shared" si="201"/>
        <v>4272.576</v>
      </c>
      <c r="AF792" s="6" t="str">
        <f t="shared" si="202"/>
        <v/>
      </c>
      <c r="AG792" s="6">
        <v>3328.92</v>
      </c>
      <c r="AH792" s="6">
        <v>943.66</v>
      </c>
      <c r="AI792" s="6">
        <f t="shared" si="203"/>
        <v>943.65599999999995</v>
      </c>
      <c r="AJ792" s="11">
        <f t="shared" si="204"/>
        <v>0.22086347908147214</v>
      </c>
      <c r="AK792" s="11" t="str">
        <f t="shared" si="205"/>
        <v>May</v>
      </c>
      <c r="AL792" s="12">
        <f t="shared" si="206"/>
        <v>2024</v>
      </c>
      <c r="AM792" s="6" t="s">
        <v>54</v>
      </c>
      <c r="AN792" s="6" t="s">
        <v>55</v>
      </c>
      <c r="AO792" s="6" t="str">
        <f t="shared" si="198"/>
        <v>Completed</v>
      </c>
    </row>
    <row r="793" spans="1:41">
      <c r="A793" s="6" t="s">
        <v>3667</v>
      </c>
      <c r="B793" s="7" t="s">
        <v>3033</v>
      </c>
      <c r="C793" s="8">
        <v>45567</v>
      </c>
      <c r="D793" s="7" t="s">
        <v>3668</v>
      </c>
      <c r="E793" s="9">
        <v>45571</v>
      </c>
      <c r="F793" s="9" t="str">
        <f t="shared" si="191"/>
        <v>Valid</v>
      </c>
      <c r="G793" s="10">
        <f t="shared" si="192"/>
        <v>4</v>
      </c>
      <c r="H793" s="10" t="str">
        <f t="shared" si="193"/>
        <v>Valid</v>
      </c>
      <c r="I793" s="6" t="s">
        <v>3669</v>
      </c>
      <c r="J793" s="6" t="s">
        <v>168</v>
      </c>
      <c r="K793" s="6" t="s">
        <v>168</v>
      </c>
      <c r="L793" s="6" t="s">
        <v>135</v>
      </c>
      <c r="M793" s="7" t="str">
        <f t="shared" si="194"/>
        <v>Home Office</v>
      </c>
      <c r="N793" s="6" t="s">
        <v>82</v>
      </c>
      <c r="O793" s="7" t="str">
        <f t="shared" si="195"/>
        <v>South</v>
      </c>
      <c r="P793" s="6" t="s">
        <v>249</v>
      </c>
      <c r="Q793" s="6" t="s">
        <v>250</v>
      </c>
      <c r="R793" s="6" t="s">
        <v>65</v>
      </c>
      <c r="S793" s="7" t="str">
        <f t="shared" si="196"/>
        <v>Furniture</v>
      </c>
      <c r="T793" s="6" t="s">
        <v>224</v>
      </c>
      <c r="U793" s="6" t="s">
        <v>3670</v>
      </c>
      <c r="V793" s="6" t="s">
        <v>68</v>
      </c>
      <c r="W793" s="7" t="str">
        <f t="shared" si="197"/>
        <v>Same Day</v>
      </c>
      <c r="X793" s="6">
        <v>8</v>
      </c>
      <c r="Y793" s="6">
        <v>1558.77</v>
      </c>
      <c r="Z793" s="6">
        <v>0.25</v>
      </c>
      <c r="AA793" s="6">
        <f t="shared" si="199"/>
        <v>0.25</v>
      </c>
      <c r="AB793" s="6" t="str">
        <f t="shared" si="200"/>
        <v>Valid</v>
      </c>
      <c r="AC793" s="6">
        <v>9352.6200000000008</v>
      </c>
      <c r="AD793" s="6" t="str">
        <f>IF(OR(AO793="Cancelled",AM793="Failed"),"Exclude from Completed Sales","Include in Completed Sales")</f>
        <v>Include in Completed Sales</v>
      </c>
      <c r="AE793" s="6">
        <f t="shared" si="201"/>
        <v>9352.619999999999</v>
      </c>
      <c r="AF793" s="6" t="str">
        <f t="shared" si="202"/>
        <v/>
      </c>
      <c r="AG793" s="6">
        <v>5269.41</v>
      </c>
      <c r="AH793" s="6">
        <v>4083.21</v>
      </c>
      <c r="AI793" s="6">
        <f t="shared" si="203"/>
        <v>4083.2099999999991</v>
      </c>
      <c r="AJ793" s="11">
        <f t="shared" si="204"/>
        <v>0.43658461479243243</v>
      </c>
      <c r="AK793" s="11" t="str">
        <f t="shared" si="205"/>
        <v>October</v>
      </c>
      <c r="AL793" s="12">
        <f t="shared" si="206"/>
        <v>2024</v>
      </c>
      <c r="AM793" s="6" t="s">
        <v>54</v>
      </c>
      <c r="AN793" s="6" t="s">
        <v>55</v>
      </c>
      <c r="AO793" s="6" t="str">
        <f t="shared" si="198"/>
        <v>Completed</v>
      </c>
    </row>
    <row r="794" spans="1:41">
      <c r="A794" s="6" t="s">
        <v>3671</v>
      </c>
      <c r="B794" s="7" t="s">
        <v>1250</v>
      </c>
      <c r="C794" s="8">
        <v>45812</v>
      </c>
      <c r="D794" s="7" t="s">
        <v>3672</v>
      </c>
      <c r="E794" s="9">
        <v>45816</v>
      </c>
      <c r="F794" s="9" t="str">
        <f t="shared" si="191"/>
        <v>Valid</v>
      </c>
      <c r="G794" s="10">
        <f t="shared" si="192"/>
        <v>4</v>
      </c>
      <c r="H794" s="10" t="str">
        <f t="shared" si="193"/>
        <v>Valid</v>
      </c>
      <c r="I794" s="6" t="s">
        <v>3673</v>
      </c>
      <c r="J794" s="6" t="s">
        <v>81</v>
      </c>
      <c r="K794" s="6" t="s">
        <v>81</v>
      </c>
      <c r="L794" s="6" t="s">
        <v>61</v>
      </c>
      <c r="M794" s="7" t="str">
        <f t="shared" si="194"/>
        <v>Small Business</v>
      </c>
      <c r="N794" s="6" t="s">
        <v>62</v>
      </c>
      <c r="O794" s="7" t="str">
        <f t="shared" si="195"/>
        <v>East</v>
      </c>
      <c r="P794" s="6" t="s">
        <v>236</v>
      </c>
      <c r="Q794" s="6" t="s">
        <v>237</v>
      </c>
      <c r="R794" s="6" t="s">
        <v>65</v>
      </c>
      <c r="S794" s="7" t="str">
        <f t="shared" si="196"/>
        <v>Furniture</v>
      </c>
      <c r="T794" s="6" t="s">
        <v>85</v>
      </c>
      <c r="U794" s="6" t="s">
        <v>3674</v>
      </c>
      <c r="V794" s="6" t="s">
        <v>53</v>
      </c>
      <c r="W794" s="7" t="str">
        <f t="shared" si="197"/>
        <v>Second Class</v>
      </c>
      <c r="X794" s="6">
        <v>1</v>
      </c>
      <c r="Y794" s="6">
        <v>3501.12</v>
      </c>
      <c r="Z794" s="6">
        <v>0.2</v>
      </c>
      <c r="AA794" s="6">
        <f t="shared" si="199"/>
        <v>0.2</v>
      </c>
      <c r="AB794" s="6" t="str">
        <f t="shared" si="200"/>
        <v>Valid</v>
      </c>
      <c r="AC794" s="6">
        <v>2800.9</v>
      </c>
      <c r="AD794" s="6" t="str">
        <f>IF(OR(AO794="Cancelled",AM794="Failed"),"Exclude from Completed Sales","Include in Completed Sales")</f>
        <v>Include in Completed Sales</v>
      </c>
      <c r="AE794" s="6">
        <f t="shared" si="201"/>
        <v>2800.8960000000002</v>
      </c>
      <c r="AF794" s="6" t="str">
        <f t="shared" si="202"/>
        <v/>
      </c>
      <c r="AG794" s="6">
        <v>1735.98</v>
      </c>
      <c r="AH794" s="6">
        <v>1064.92</v>
      </c>
      <c r="AI794" s="6">
        <f t="shared" si="203"/>
        <v>1064.9160000000002</v>
      </c>
      <c r="AJ794" s="11">
        <f t="shared" si="204"/>
        <v>0.38020547710446945</v>
      </c>
      <c r="AK794" s="11" t="str">
        <f t="shared" si="205"/>
        <v>June</v>
      </c>
      <c r="AL794" s="12">
        <f t="shared" si="206"/>
        <v>2025</v>
      </c>
      <c r="AM794" s="6" t="s">
        <v>54</v>
      </c>
      <c r="AN794" s="6" t="s">
        <v>145</v>
      </c>
      <c r="AO794" s="6" t="str">
        <f t="shared" si="198"/>
        <v>Returned</v>
      </c>
    </row>
    <row r="795" spans="1:41">
      <c r="A795" s="6" t="s">
        <v>3675</v>
      </c>
      <c r="B795" s="7" t="s">
        <v>101</v>
      </c>
      <c r="C795" s="8">
        <v>45440</v>
      </c>
      <c r="D795" s="7" t="s">
        <v>3676</v>
      </c>
      <c r="E795" s="9">
        <v>45446</v>
      </c>
      <c r="F795" s="9" t="str">
        <f t="shared" si="191"/>
        <v>Valid</v>
      </c>
      <c r="G795" s="10">
        <f t="shared" si="192"/>
        <v>6</v>
      </c>
      <c r="H795" s="10" t="str">
        <f t="shared" si="193"/>
        <v>Valid</v>
      </c>
      <c r="I795" s="6" t="s">
        <v>3677</v>
      </c>
      <c r="J795" s="6" t="s">
        <v>103</v>
      </c>
      <c r="K795" s="6" t="s">
        <v>103</v>
      </c>
      <c r="L795" s="6" t="s">
        <v>128</v>
      </c>
      <c r="M795" s="7" t="str">
        <f t="shared" si="194"/>
        <v>Corporate</v>
      </c>
      <c r="N795" s="6" t="s">
        <v>47</v>
      </c>
      <c r="O795" s="7" t="str">
        <f t="shared" si="195"/>
        <v>North</v>
      </c>
      <c r="P795" s="6" t="s">
        <v>48</v>
      </c>
      <c r="Q795" s="6" t="s">
        <v>49</v>
      </c>
      <c r="R795" s="6" t="s">
        <v>106</v>
      </c>
      <c r="S795" s="7" t="str">
        <f t="shared" si="196"/>
        <v>Technology</v>
      </c>
      <c r="T795" s="6" t="s">
        <v>114</v>
      </c>
      <c r="U795" s="6" t="s">
        <v>3678</v>
      </c>
      <c r="V795" s="6" t="s">
        <v>53</v>
      </c>
      <c r="W795" s="7" t="str">
        <f t="shared" si="197"/>
        <v>Second Class</v>
      </c>
      <c r="X795" s="6">
        <v>5</v>
      </c>
      <c r="Y795" s="6">
        <v>4302.32</v>
      </c>
      <c r="Z795" s="6">
        <v>0</v>
      </c>
      <c r="AA795" s="6">
        <f t="shared" si="199"/>
        <v>0</v>
      </c>
      <c r="AB795" s="6" t="str">
        <f t="shared" si="200"/>
        <v>Valid</v>
      </c>
      <c r="AC795" s="6">
        <v>21511.599999999999</v>
      </c>
      <c r="AD795" s="6" t="str">
        <f>IF(OR(AO795="Cancelled",AM795="Failed"),"Exclude from Completed Sales","Include in Completed Sales")</f>
        <v>Include in Completed Sales</v>
      </c>
      <c r="AE795" s="6">
        <f t="shared" si="201"/>
        <v>21511.599999999999</v>
      </c>
      <c r="AF795" s="6" t="str">
        <f t="shared" si="202"/>
        <v/>
      </c>
      <c r="AG795" s="6">
        <v>15408.47</v>
      </c>
      <c r="AH795" s="6">
        <v>6103.13</v>
      </c>
      <c r="AI795" s="6">
        <f t="shared" si="203"/>
        <v>6103.1299999999992</v>
      </c>
      <c r="AJ795" s="11">
        <f t="shared" si="204"/>
        <v>0.28371343833094703</v>
      </c>
      <c r="AK795" s="11" t="str">
        <f t="shared" si="205"/>
        <v>May</v>
      </c>
      <c r="AL795" s="12">
        <f t="shared" si="206"/>
        <v>2024</v>
      </c>
      <c r="AM795" s="6" t="s">
        <v>54</v>
      </c>
      <c r="AN795" s="6" t="s">
        <v>55</v>
      </c>
      <c r="AO795" s="6" t="str">
        <f t="shared" si="198"/>
        <v>Completed</v>
      </c>
    </row>
    <row r="796" spans="1:41">
      <c r="A796" s="6" t="s">
        <v>3679</v>
      </c>
      <c r="B796" s="7" t="s">
        <v>3680</v>
      </c>
      <c r="C796" s="8">
        <v>45830</v>
      </c>
      <c r="D796" s="7" t="s">
        <v>1016</v>
      </c>
      <c r="E796" s="9">
        <v>45832</v>
      </c>
      <c r="F796" s="9" t="str">
        <f t="shared" si="191"/>
        <v>Valid</v>
      </c>
      <c r="G796" s="10">
        <f t="shared" si="192"/>
        <v>2</v>
      </c>
      <c r="H796" s="10" t="str">
        <f t="shared" si="193"/>
        <v>Valid</v>
      </c>
      <c r="I796" s="6" t="s">
        <v>3681</v>
      </c>
      <c r="J796" s="6" t="s">
        <v>188</v>
      </c>
      <c r="K796" s="6" t="s">
        <v>188</v>
      </c>
      <c r="L796" s="6" t="s">
        <v>128</v>
      </c>
      <c r="M796" s="7" t="str">
        <f t="shared" si="194"/>
        <v>Corporate</v>
      </c>
      <c r="N796" s="6" t="s">
        <v>62</v>
      </c>
      <c r="O796" s="7" t="str">
        <f t="shared" si="195"/>
        <v>East</v>
      </c>
      <c r="P796" s="6" t="s">
        <v>236</v>
      </c>
      <c r="Q796" s="6" t="s">
        <v>237</v>
      </c>
      <c r="R796" s="6" t="s">
        <v>50</v>
      </c>
      <c r="S796" s="7" t="str">
        <f t="shared" si="196"/>
        <v>Office Supplies</v>
      </c>
      <c r="T796" s="6" t="s">
        <v>51</v>
      </c>
      <c r="U796" s="6" t="s">
        <v>3682</v>
      </c>
      <c r="V796" s="6" t="s">
        <v>87</v>
      </c>
      <c r="W796" s="7" t="str">
        <f t="shared" si="197"/>
        <v>Standard Class</v>
      </c>
      <c r="X796" s="6">
        <v>9</v>
      </c>
      <c r="Y796" s="6">
        <v>951.55</v>
      </c>
      <c r="Z796" s="6">
        <v>0.15</v>
      </c>
      <c r="AA796" s="6">
        <f t="shared" si="199"/>
        <v>0.15</v>
      </c>
      <c r="AB796" s="6" t="str">
        <f t="shared" si="200"/>
        <v>Valid</v>
      </c>
      <c r="AC796" s="6">
        <v>7279.36</v>
      </c>
      <c r="AD796" s="6" t="str">
        <f>IF(OR(AO796="Cancelled",AM796="Failed"),"Exclude from Completed Sales","Include in Completed Sales")</f>
        <v>Include in Completed Sales</v>
      </c>
      <c r="AE796" s="6">
        <f t="shared" si="201"/>
        <v>7279.3574999999992</v>
      </c>
      <c r="AF796" s="6" t="str">
        <f t="shared" si="202"/>
        <v/>
      </c>
      <c r="AG796" s="6">
        <v>4870.3900000000003</v>
      </c>
      <c r="AH796" s="6">
        <v>2408.9699999999998</v>
      </c>
      <c r="AI796" s="6">
        <f t="shared" si="203"/>
        <v>2408.9674999999988</v>
      </c>
      <c r="AJ796" s="11">
        <f t="shared" si="204"/>
        <v>0.33093133562955235</v>
      </c>
      <c r="AK796" s="11" t="str">
        <f t="shared" si="205"/>
        <v>June</v>
      </c>
      <c r="AL796" s="12">
        <f t="shared" si="206"/>
        <v>2025</v>
      </c>
      <c r="AM796" s="6" t="s">
        <v>54</v>
      </c>
      <c r="AN796" s="6" t="s">
        <v>55</v>
      </c>
      <c r="AO796" s="6" t="str">
        <f t="shared" si="198"/>
        <v>Completed</v>
      </c>
    </row>
    <row r="797" spans="1:41">
      <c r="A797" s="6" t="s">
        <v>3683</v>
      </c>
      <c r="B797" s="7" t="s">
        <v>3684</v>
      </c>
      <c r="C797" s="8">
        <v>45503</v>
      </c>
      <c r="D797" s="7" t="s">
        <v>549</v>
      </c>
      <c r="E797" s="9">
        <v>45503</v>
      </c>
      <c r="F797" s="9" t="str">
        <f t="shared" si="191"/>
        <v>Valid</v>
      </c>
      <c r="G797" s="10">
        <f t="shared" si="192"/>
        <v>0</v>
      </c>
      <c r="H797" s="10" t="str">
        <f t="shared" si="193"/>
        <v>Valid</v>
      </c>
      <c r="I797" s="6" t="s">
        <v>3685</v>
      </c>
      <c r="J797" s="6" t="s">
        <v>230</v>
      </c>
      <c r="K797" s="6" t="s">
        <v>230</v>
      </c>
      <c r="L797" s="6" t="s">
        <v>135</v>
      </c>
      <c r="M797" s="7" t="str">
        <f t="shared" si="194"/>
        <v>Home Office</v>
      </c>
      <c r="N797" s="6" t="s">
        <v>62</v>
      </c>
      <c r="O797" s="7" t="str">
        <f t="shared" si="195"/>
        <v>East</v>
      </c>
      <c r="P797" s="6" t="s">
        <v>63</v>
      </c>
      <c r="Q797" s="6" t="s">
        <v>64</v>
      </c>
      <c r="R797" s="6" t="s">
        <v>106</v>
      </c>
      <c r="S797" s="7" t="str">
        <f t="shared" si="196"/>
        <v>Technology</v>
      </c>
      <c r="T797" s="6" t="s">
        <v>114</v>
      </c>
      <c r="U797" s="6" t="s">
        <v>3686</v>
      </c>
      <c r="V797" s="6" t="s">
        <v>68</v>
      </c>
      <c r="W797" s="7" t="str">
        <f t="shared" si="197"/>
        <v>Same Day</v>
      </c>
      <c r="X797" s="6">
        <v>9</v>
      </c>
      <c r="Y797" s="6">
        <v>2894.66</v>
      </c>
      <c r="Z797" s="6">
        <v>0</v>
      </c>
      <c r="AA797" s="6">
        <f t="shared" si="199"/>
        <v>0</v>
      </c>
      <c r="AB797" s="6" t="str">
        <f t="shared" si="200"/>
        <v>Valid</v>
      </c>
      <c r="AC797" s="6">
        <v>26051.94</v>
      </c>
      <c r="AD797" s="6" t="str">
        <f>IF(OR(AO797="Cancelled",AM797="Failed"),"Exclude from Completed Sales","Include in Completed Sales")</f>
        <v>Exclude from Completed Sales</v>
      </c>
      <c r="AE797" s="6">
        <f t="shared" si="201"/>
        <v>26051.94</v>
      </c>
      <c r="AF797" s="6" t="str">
        <f t="shared" si="202"/>
        <v>Refunded</v>
      </c>
      <c r="AG797" s="6">
        <v>16883.59</v>
      </c>
      <c r="AH797" s="6">
        <v>9168.35</v>
      </c>
      <c r="AI797" s="6">
        <f t="shared" si="203"/>
        <v>9168.3499999999985</v>
      </c>
      <c r="AJ797" s="11">
        <f t="shared" si="204"/>
        <v>0.3519258066769691</v>
      </c>
      <c r="AK797" s="11" t="str">
        <f t="shared" si="205"/>
        <v>July</v>
      </c>
      <c r="AL797" s="12">
        <f t="shared" si="206"/>
        <v>2024</v>
      </c>
      <c r="AM797" s="6" t="s">
        <v>144</v>
      </c>
      <c r="AN797" s="6" t="s">
        <v>98</v>
      </c>
      <c r="AO797" s="6" t="str">
        <f t="shared" si="198"/>
        <v>Cancelled</v>
      </c>
    </row>
    <row r="798" spans="1:41">
      <c r="A798" s="6" t="s">
        <v>3687</v>
      </c>
      <c r="B798" s="7" t="s">
        <v>816</v>
      </c>
      <c r="C798" s="8">
        <v>45374</v>
      </c>
      <c r="D798" s="7" t="s">
        <v>3688</v>
      </c>
      <c r="E798" s="9">
        <v>45381</v>
      </c>
      <c r="F798" s="9" t="str">
        <f t="shared" si="191"/>
        <v>Valid</v>
      </c>
      <c r="G798" s="10">
        <f t="shared" si="192"/>
        <v>7</v>
      </c>
      <c r="H798" s="10" t="str">
        <f t="shared" si="193"/>
        <v>Valid</v>
      </c>
      <c r="I798" s="6" t="s">
        <v>3689</v>
      </c>
      <c r="J798" s="6" t="s">
        <v>200</v>
      </c>
      <c r="K798" s="6" t="s">
        <v>200</v>
      </c>
      <c r="L798" s="6" t="s">
        <v>61</v>
      </c>
      <c r="M798" s="7" t="str">
        <f t="shared" si="194"/>
        <v>Small Business</v>
      </c>
      <c r="N798" s="6" t="s">
        <v>82</v>
      </c>
      <c r="O798" s="7" t="str">
        <f t="shared" si="195"/>
        <v>South</v>
      </c>
      <c r="P798" s="6" t="s">
        <v>120</v>
      </c>
      <c r="Q798" s="6" t="s">
        <v>121</v>
      </c>
      <c r="R798" s="6" t="s">
        <v>106</v>
      </c>
      <c r="S798" s="7" t="str">
        <f t="shared" si="196"/>
        <v>Technology</v>
      </c>
      <c r="T798" s="6" t="s">
        <v>402</v>
      </c>
      <c r="U798" s="6" t="s">
        <v>3690</v>
      </c>
      <c r="V798" s="6" t="s">
        <v>76</v>
      </c>
      <c r="W798" s="7" t="str">
        <f t="shared" si="197"/>
        <v>First Class</v>
      </c>
      <c r="X798" s="6">
        <v>6</v>
      </c>
      <c r="Y798" s="6">
        <v>1894.44</v>
      </c>
      <c r="Z798" s="6">
        <v>0.15</v>
      </c>
      <c r="AA798" s="6">
        <f t="shared" si="199"/>
        <v>0.15</v>
      </c>
      <c r="AB798" s="6" t="str">
        <f t="shared" si="200"/>
        <v>Valid</v>
      </c>
      <c r="AC798" s="6">
        <v>9661.64</v>
      </c>
      <c r="AD798" s="6" t="str">
        <f>IF(OR(AO798="Cancelled",AM798="Failed"),"Exclude from Completed Sales","Include in Completed Sales")</f>
        <v>Include in Completed Sales</v>
      </c>
      <c r="AE798" s="6">
        <f t="shared" si="201"/>
        <v>9661.6439999999984</v>
      </c>
      <c r="AF798" s="6" t="str">
        <f t="shared" si="202"/>
        <v/>
      </c>
      <c r="AG798" s="6">
        <v>6303.77</v>
      </c>
      <c r="AH798" s="6">
        <v>3357.87</v>
      </c>
      <c r="AI798" s="6">
        <f t="shared" si="203"/>
        <v>3357.873999999998</v>
      </c>
      <c r="AJ798" s="11">
        <f t="shared" si="204"/>
        <v>0.34754685641491223</v>
      </c>
      <c r="AK798" s="11" t="str">
        <f t="shared" si="205"/>
        <v>March</v>
      </c>
      <c r="AL798" s="12">
        <f t="shared" si="206"/>
        <v>2024</v>
      </c>
      <c r="AM798" s="6" t="s">
        <v>54</v>
      </c>
      <c r="AN798" s="6" t="s">
        <v>55</v>
      </c>
      <c r="AO798" s="6" t="str">
        <f t="shared" si="198"/>
        <v>Completed</v>
      </c>
    </row>
    <row r="799" spans="1:41">
      <c r="A799" s="6" t="s">
        <v>3691</v>
      </c>
      <c r="B799" s="7" t="s">
        <v>3692</v>
      </c>
      <c r="C799" s="8">
        <v>45400</v>
      </c>
      <c r="D799" s="7" t="s">
        <v>3603</v>
      </c>
      <c r="E799" s="9">
        <v>45404</v>
      </c>
      <c r="F799" s="9" t="str">
        <f t="shared" si="191"/>
        <v>Valid</v>
      </c>
      <c r="G799" s="10">
        <f t="shared" si="192"/>
        <v>4</v>
      </c>
      <c r="H799" s="10" t="str">
        <f t="shared" si="193"/>
        <v>Valid</v>
      </c>
      <c r="I799" s="6" t="s">
        <v>3693</v>
      </c>
      <c r="J799" s="6" t="s">
        <v>182</v>
      </c>
      <c r="K799" s="6" t="s">
        <v>182</v>
      </c>
      <c r="L799" s="6" t="s">
        <v>46</v>
      </c>
      <c r="M799" s="7" t="str">
        <f t="shared" si="194"/>
        <v>Consumer</v>
      </c>
      <c r="N799" s="6" t="s">
        <v>62</v>
      </c>
      <c r="O799" s="7" t="str">
        <f t="shared" si="195"/>
        <v>East</v>
      </c>
      <c r="P799" s="6" t="s">
        <v>63</v>
      </c>
      <c r="Q799" s="6" t="s">
        <v>64</v>
      </c>
      <c r="R799" s="6" t="s">
        <v>50</v>
      </c>
      <c r="S799" s="7" t="str">
        <f t="shared" si="196"/>
        <v>Office Supplies</v>
      </c>
      <c r="T799" s="6" t="s">
        <v>218</v>
      </c>
      <c r="U799" s="6" t="s">
        <v>3694</v>
      </c>
      <c r="V799" s="6" t="s">
        <v>76</v>
      </c>
      <c r="W799" s="7" t="str">
        <f t="shared" si="197"/>
        <v>First Class</v>
      </c>
      <c r="X799" s="6">
        <v>8</v>
      </c>
      <c r="Y799" s="6">
        <v>1714.37</v>
      </c>
      <c r="Z799" s="6">
        <v>0</v>
      </c>
      <c r="AA799" s="6">
        <f t="shared" si="199"/>
        <v>0</v>
      </c>
      <c r="AB799" s="6" t="str">
        <f t="shared" si="200"/>
        <v>Valid</v>
      </c>
      <c r="AC799" s="6">
        <v>13714.96</v>
      </c>
      <c r="AD799" s="6" t="str">
        <f>IF(OR(AO799="Cancelled",AM799="Failed"),"Exclude from Completed Sales","Include in Completed Sales")</f>
        <v>Exclude from Completed Sales</v>
      </c>
      <c r="AE799" s="6">
        <f t="shared" si="201"/>
        <v>13714.96</v>
      </c>
      <c r="AF799" s="6" t="str">
        <f t="shared" si="202"/>
        <v/>
      </c>
      <c r="AG799" s="6">
        <v>10550.47</v>
      </c>
      <c r="AH799" s="6">
        <v>3164.49</v>
      </c>
      <c r="AI799" s="6">
        <f t="shared" si="203"/>
        <v>3164.49</v>
      </c>
      <c r="AJ799" s="11">
        <f t="shared" si="204"/>
        <v>0.23073271814135804</v>
      </c>
      <c r="AK799" s="11" t="str">
        <f t="shared" si="205"/>
        <v>April</v>
      </c>
      <c r="AL799" s="12">
        <f t="shared" si="206"/>
        <v>2024</v>
      </c>
      <c r="AM799" s="6" t="s">
        <v>220</v>
      </c>
      <c r="AN799" s="6" t="s">
        <v>98</v>
      </c>
      <c r="AO799" s="6" t="str">
        <f t="shared" si="198"/>
        <v>Cancelled</v>
      </c>
    </row>
    <row r="800" spans="1:41">
      <c r="A800" s="6" t="s">
        <v>3695</v>
      </c>
      <c r="B800" s="7" t="s">
        <v>3696</v>
      </c>
      <c r="C800" s="8">
        <v>45849</v>
      </c>
      <c r="D800" s="7" t="s">
        <v>3697</v>
      </c>
      <c r="E800" s="9">
        <v>45847</v>
      </c>
      <c r="F800" s="9" t="str">
        <f t="shared" si="191"/>
        <v>Invalid Shipping Record</v>
      </c>
      <c r="G800" s="10">
        <f t="shared" si="192"/>
        <v>-2</v>
      </c>
      <c r="H800" s="10" t="str">
        <f t="shared" si="193"/>
        <v>Invalid Shipping Record</v>
      </c>
      <c r="I800" s="6" t="s">
        <v>3698</v>
      </c>
      <c r="J800" s="6" t="s">
        <v>127</v>
      </c>
      <c r="K800" s="6" t="s">
        <v>127</v>
      </c>
      <c r="L800" s="6" t="s">
        <v>128</v>
      </c>
      <c r="M800" s="7" t="str">
        <f t="shared" si="194"/>
        <v>Corporate</v>
      </c>
      <c r="N800" s="6" t="s">
        <v>47</v>
      </c>
      <c r="O800" s="7" t="str">
        <f t="shared" si="195"/>
        <v>North</v>
      </c>
      <c r="P800" s="6" t="s">
        <v>526</v>
      </c>
      <c r="Q800" s="6" t="s">
        <v>527</v>
      </c>
      <c r="R800" s="6" t="s">
        <v>65</v>
      </c>
      <c r="S800" s="7" t="str">
        <f t="shared" si="196"/>
        <v>Furniture</v>
      </c>
      <c r="T800" s="6" t="s">
        <v>85</v>
      </c>
      <c r="U800" s="6" t="s">
        <v>3699</v>
      </c>
      <c r="V800" s="6" t="s">
        <v>87</v>
      </c>
      <c r="W800" s="7" t="str">
        <f t="shared" si="197"/>
        <v>Standard Class</v>
      </c>
      <c r="X800" s="6">
        <v>9</v>
      </c>
      <c r="Y800" s="6">
        <v>1706.05</v>
      </c>
      <c r="Z800" s="6">
        <v>0</v>
      </c>
      <c r="AA800" s="6">
        <f t="shared" si="199"/>
        <v>0</v>
      </c>
      <c r="AB800" s="6" t="str">
        <f t="shared" si="200"/>
        <v>Valid</v>
      </c>
      <c r="AC800" s="6">
        <v>15354.45</v>
      </c>
      <c r="AD800" s="6" t="str">
        <f>IF(OR(AO800="Cancelled",AM800="Failed"),"Exclude from Completed Sales","Include in Completed Sales")</f>
        <v>Include in Completed Sales</v>
      </c>
      <c r="AE800" s="6">
        <f t="shared" si="201"/>
        <v>15354.449999999999</v>
      </c>
      <c r="AF800" s="6" t="str">
        <f t="shared" si="202"/>
        <v/>
      </c>
      <c r="AG800" s="6">
        <v>9656.5</v>
      </c>
      <c r="AH800" s="6">
        <v>5697.95</v>
      </c>
      <c r="AI800" s="6">
        <f t="shared" si="203"/>
        <v>5697.9499999999989</v>
      </c>
      <c r="AJ800" s="11">
        <f t="shared" si="204"/>
        <v>0.37109437329243311</v>
      </c>
      <c r="AK800" s="11" t="str">
        <f t="shared" si="205"/>
        <v>July</v>
      </c>
      <c r="AL800" s="12">
        <f t="shared" si="206"/>
        <v>2025</v>
      </c>
      <c r="AM800" s="6" t="s">
        <v>54</v>
      </c>
      <c r="AN800" s="6" t="s">
        <v>55</v>
      </c>
      <c r="AO800" s="6" t="str">
        <f t="shared" si="198"/>
        <v>Completed</v>
      </c>
    </row>
    <row r="801" spans="1:41">
      <c r="A801" s="6" t="s">
        <v>3700</v>
      </c>
      <c r="B801" s="7" t="s">
        <v>3386</v>
      </c>
      <c r="C801" s="8">
        <v>45575</v>
      </c>
      <c r="D801" s="7" t="s">
        <v>2563</v>
      </c>
      <c r="E801" s="9">
        <v>45582</v>
      </c>
      <c r="F801" s="9" t="str">
        <f t="shared" si="191"/>
        <v>Valid</v>
      </c>
      <c r="G801" s="10">
        <f t="shared" si="192"/>
        <v>7</v>
      </c>
      <c r="H801" s="10" t="str">
        <f t="shared" si="193"/>
        <v>Valid</v>
      </c>
      <c r="I801" s="6" t="s">
        <v>3701</v>
      </c>
      <c r="J801" s="6" t="s">
        <v>73</v>
      </c>
      <c r="K801" s="6" t="s">
        <v>73</v>
      </c>
      <c r="L801" s="6" t="s">
        <v>135</v>
      </c>
      <c r="M801" s="7" t="str">
        <f t="shared" si="194"/>
        <v>Home Office</v>
      </c>
      <c r="N801" s="6" t="s">
        <v>47</v>
      </c>
      <c r="O801" s="7" t="str">
        <f t="shared" si="195"/>
        <v>North</v>
      </c>
      <c r="P801" s="6" t="s">
        <v>343</v>
      </c>
      <c r="Q801" s="6" t="s">
        <v>344</v>
      </c>
      <c r="R801" s="6" t="s">
        <v>106</v>
      </c>
      <c r="S801" s="7" t="str">
        <f t="shared" si="196"/>
        <v>Technology</v>
      </c>
      <c r="T801" s="6" t="s">
        <v>107</v>
      </c>
      <c r="U801" s="6" t="s">
        <v>3702</v>
      </c>
      <c r="V801" s="6"/>
      <c r="W801" s="7" t="str">
        <f t="shared" si="197"/>
        <v>Unknown</v>
      </c>
      <c r="X801" s="6">
        <v>5</v>
      </c>
      <c r="Y801" s="6">
        <v>967.41</v>
      </c>
      <c r="Z801" s="6">
        <v>0.05</v>
      </c>
      <c r="AA801" s="6">
        <f t="shared" si="199"/>
        <v>0.05</v>
      </c>
      <c r="AB801" s="6" t="str">
        <f t="shared" si="200"/>
        <v>Valid</v>
      </c>
      <c r="AC801" s="6">
        <v>4595.2</v>
      </c>
      <c r="AD801" s="6" t="str">
        <f>IF(OR(AO801="Cancelled",AM801="Failed"),"Exclude from Completed Sales","Include in Completed Sales")</f>
        <v>Include in Completed Sales</v>
      </c>
      <c r="AE801" s="6">
        <f t="shared" si="201"/>
        <v>4595.1975000000002</v>
      </c>
      <c r="AF801" s="6" t="str">
        <f t="shared" si="202"/>
        <v/>
      </c>
      <c r="AG801" s="6">
        <v>3887.41</v>
      </c>
      <c r="AH801" s="6">
        <v>707.79</v>
      </c>
      <c r="AI801" s="6">
        <f t="shared" si="203"/>
        <v>707.78750000000036</v>
      </c>
      <c r="AJ801" s="11">
        <f t="shared" si="204"/>
        <v>0.15402765604742785</v>
      </c>
      <c r="AK801" s="11" t="str">
        <f t="shared" si="205"/>
        <v>October</v>
      </c>
      <c r="AL801" s="12">
        <f t="shared" si="206"/>
        <v>2024</v>
      </c>
      <c r="AM801" s="6" t="s">
        <v>54</v>
      </c>
      <c r="AN801" s="6" t="s">
        <v>145</v>
      </c>
      <c r="AO801" s="6" t="str">
        <f t="shared" si="198"/>
        <v>Returned</v>
      </c>
    </row>
    <row r="802" spans="1:41">
      <c r="A802" s="6" t="s">
        <v>3703</v>
      </c>
      <c r="B802" s="7" t="s">
        <v>3704</v>
      </c>
      <c r="C802" s="8">
        <v>45352</v>
      </c>
      <c r="D802" s="7" t="s">
        <v>3705</v>
      </c>
      <c r="E802" s="9">
        <v>45358</v>
      </c>
      <c r="F802" s="9" t="str">
        <f t="shared" si="191"/>
        <v>Valid</v>
      </c>
      <c r="G802" s="10">
        <f t="shared" si="192"/>
        <v>6</v>
      </c>
      <c r="H802" s="10" t="str">
        <f t="shared" si="193"/>
        <v>Valid</v>
      </c>
      <c r="I802" s="6" t="s">
        <v>3706</v>
      </c>
      <c r="J802" s="6" t="s">
        <v>103</v>
      </c>
      <c r="K802" s="6" t="s">
        <v>103</v>
      </c>
      <c r="L802" s="6" t="s">
        <v>61</v>
      </c>
      <c r="M802" s="7" t="str">
        <f t="shared" si="194"/>
        <v>Small Business</v>
      </c>
      <c r="N802" s="6" t="s">
        <v>93</v>
      </c>
      <c r="O802" s="7" t="str">
        <f t="shared" si="195"/>
        <v>West</v>
      </c>
      <c r="P802" s="6" t="s">
        <v>94</v>
      </c>
      <c r="Q802" s="6" t="s">
        <v>95</v>
      </c>
      <c r="R802" s="6" t="s">
        <v>50</v>
      </c>
      <c r="S802" s="7" t="str">
        <f t="shared" si="196"/>
        <v>Office Supplies</v>
      </c>
      <c r="T802" s="6" t="s">
        <v>176</v>
      </c>
      <c r="U802" s="6" t="s">
        <v>3707</v>
      </c>
      <c r="V802" s="6" t="s">
        <v>53</v>
      </c>
      <c r="W802" s="7" t="str">
        <f t="shared" si="197"/>
        <v>Second Class</v>
      </c>
      <c r="X802" s="6">
        <v>6</v>
      </c>
      <c r="Y802" s="6">
        <v>4163.72</v>
      </c>
      <c r="Z802" s="6">
        <v>0.15</v>
      </c>
      <c r="AA802" s="6">
        <f t="shared" si="199"/>
        <v>0.15</v>
      </c>
      <c r="AB802" s="6" t="str">
        <f t="shared" si="200"/>
        <v>Valid</v>
      </c>
      <c r="AC802" s="6">
        <v>21234.97</v>
      </c>
      <c r="AD802" s="6" t="str">
        <f>IF(OR(AO802="Cancelled",AM802="Failed"),"Exclude from Completed Sales","Include in Completed Sales")</f>
        <v>Include in Completed Sales</v>
      </c>
      <c r="AE802" s="6">
        <f t="shared" si="201"/>
        <v>21234.971999999998</v>
      </c>
      <c r="AF802" s="6" t="str">
        <f t="shared" si="202"/>
        <v/>
      </c>
      <c r="AG802" s="6">
        <v>16736.09</v>
      </c>
      <c r="AH802" s="6">
        <v>4498.88</v>
      </c>
      <c r="AI802" s="6">
        <f t="shared" si="203"/>
        <v>4498.8819999999978</v>
      </c>
      <c r="AJ802" s="11">
        <f t="shared" si="204"/>
        <v>0.21186192286950029</v>
      </c>
      <c r="AK802" s="11" t="str">
        <f t="shared" si="205"/>
        <v>March</v>
      </c>
      <c r="AL802" s="12">
        <f t="shared" si="206"/>
        <v>2024</v>
      </c>
      <c r="AM802" s="6" t="s">
        <v>54</v>
      </c>
      <c r="AN802" s="6" t="s">
        <v>55</v>
      </c>
      <c r="AO802" s="6" t="str">
        <f t="shared" si="198"/>
        <v>Completed</v>
      </c>
    </row>
    <row r="803" spans="1:41">
      <c r="A803" s="6" t="s">
        <v>3708</v>
      </c>
      <c r="B803" s="7" t="s">
        <v>3709</v>
      </c>
      <c r="C803" s="8">
        <v>45938</v>
      </c>
      <c r="D803" s="7" t="s">
        <v>329</v>
      </c>
      <c r="E803" s="9">
        <v>45945</v>
      </c>
      <c r="F803" s="9" t="str">
        <f t="shared" si="191"/>
        <v>Valid</v>
      </c>
      <c r="G803" s="10">
        <f t="shared" si="192"/>
        <v>7</v>
      </c>
      <c r="H803" s="10" t="str">
        <f t="shared" si="193"/>
        <v>Valid</v>
      </c>
      <c r="I803" s="6" t="s">
        <v>3710</v>
      </c>
      <c r="J803" s="6" t="s">
        <v>182</v>
      </c>
      <c r="K803" s="6" t="s">
        <v>182</v>
      </c>
      <c r="L803" s="6" t="s">
        <v>135</v>
      </c>
      <c r="M803" s="7" t="str">
        <f t="shared" si="194"/>
        <v>Home Office</v>
      </c>
      <c r="N803" s="6" t="s">
        <v>62</v>
      </c>
      <c r="O803" s="7" t="str">
        <f t="shared" si="195"/>
        <v>East</v>
      </c>
      <c r="P803" s="6" t="s">
        <v>63</v>
      </c>
      <c r="Q803" s="6" t="s">
        <v>64</v>
      </c>
      <c r="R803" s="6" t="s">
        <v>106</v>
      </c>
      <c r="S803" s="7" t="str">
        <f t="shared" si="196"/>
        <v>Technology</v>
      </c>
      <c r="T803" s="6" t="s">
        <v>107</v>
      </c>
      <c r="U803" s="6" t="s">
        <v>3711</v>
      </c>
      <c r="V803" s="6" t="s">
        <v>53</v>
      </c>
      <c r="W803" s="7" t="str">
        <f t="shared" si="197"/>
        <v>Second Class</v>
      </c>
      <c r="X803" s="6">
        <v>3</v>
      </c>
      <c r="Y803" s="6">
        <v>3372.21</v>
      </c>
      <c r="Z803" s="6">
        <v>0.2</v>
      </c>
      <c r="AA803" s="6">
        <f t="shared" si="199"/>
        <v>0.2</v>
      </c>
      <c r="AB803" s="6" t="str">
        <f t="shared" si="200"/>
        <v>Valid</v>
      </c>
      <c r="AC803" s="6">
        <v>8093.3</v>
      </c>
      <c r="AD803" s="6" t="str">
        <f>IF(OR(AO803="Cancelled",AM803="Failed"),"Exclude from Completed Sales","Include in Completed Sales")</f>
        <v>Exclude from Completed Sales</v>
      </c>
      <c r="AE803" s="6">
        <f t="shared" si="201"/>
        <v>8093.304000000001</v>
      </c>
      <c r="AF803" s="6" t="str">
        <f t="shared" si="202"/>
        <v/>
      </c>
      <c r="AG803" s="6">
        <v>6052.43</v>
      </c>
      <c r="AH803" s="6">
        <v>2040.87</v>
      </c>
      <c r="AI803" s="6">
        <f t="shared" si="203"/>
        <v>2040.8740000000007</v>
      </c>
      <c r="AJ803" s="11">
        <f t="shared" si="204"/>
        <v>0.25216821214179036</v>
      </c>
      <c r="AK803" s="11" t="str">
        <f t="shared" si="205"/>
        <v>October</v>
      </c>
      <c r="AL803" s="12">
        <f t="shared" si="206"/>
        <v>2025</v>
      </c>
      <c r="AM803" s="6" t="s">
        <v>157</v>
      </c>
      <c r="AN803" s="6" t="s">
        <v>98</v>
      </c>
      <c r="AO803" s="6" t="str">
        <f t="shared" si="198"/>
        <v>Cancelled</v>
      </c>
    </row>
    <row r="804" spans="1:41">
      <c r="A804" s="6" t="s">
        <v>3712</v>
      </c>
      <c r="B804" s="7" t="s">
        <v>3192</v>
      </c>
      <c r="C804" s="8">
        <v>45704</v>
      </c>
      <c r="D804" s="7" t="s">
        <v>3713</v>
      </c>
      <c r="E804" s="9">
        <v>45704</v>
      </c>
      <c r="F804" s="9" t="str">
        <f t="shared" si="191"/>
        <v>Valid</v>
      </c>
      <c r="G804" s="10">
        <f t="shared" si="192"/>
        <v>0</v>
      </c>
      <c r="H804" s="10" t="str">
        <f t="shared" si="193"/>
        <v>Valid</v>
      </c>
      <c r="I804" s="6" t="s">
        <v>3714</v>
      </c>
      <c r="J804" s="6" t="s">
        <v>200</v>
      </c>
      <c r="K804" s="6" t="s">
        <v>200</v>
      </c>
      <c r="L804" s="6" t="s">
        <v>61</v>
      </c>
      <c r="M804" s="7" t="str">
        <f t="shared" si="194"/>
        <v>Small Business</v>
      </c>
      <c r="N804" s="6" t="s">
        <v>62</v>
      </c>
      <c r="O804" s="7" t="str">
        <f t="shared" si="195"/>
        <v>East</v>
      </c>
      <c r="P804" s="6" t="s">
        <v>236</v>
      </c>
      <c r="Q804" s="6" t="s">
        <v>237</v>
      </c>
      <c r="R804" s="6" t="s">
        <v>65</v>
      </c>
      <c r="S804" s="7" t="str">
        <f t="shared" si="196"/>
        <v>Furniture</v>
      </c>
      <c r="T804" s="6" t="s">
        <v>85</v>
      </c>
      <c r="U804" s="6" t="s">
        <v>3715</v>
      </c>
      <c r="V804" s="6" t="s">
        <v>53</v>
      </c>
      <c r="W804" s="7" t="str">
        <f t="shared" si="197"/>
        <v>Second Class</v>
      </c>
      <c r="X804" s="6">
        <v>6</v>
      </c>
      <c r="Y804" s="6">
        <v>1441.91</v>
      </c>
      <c r="Z804" s="6">
        <v>0</v>
      </c>
      <c r="AA804" s="6">
        <f t="shared" si="199"/>
        <v>0</v>
      </c>
      <c r="AB804" s="6" t="str">
        <f t="shared" si="200"/>
        <v>Valid</v>
      </c>
      <c r="AC804" s="6">
        <v>8651.4599999999991</v>
      </c>
      <c r="AD804" s="6" t="str">
        <f>IF(OR(AO804="Cancelled",AM804="Failed"),"Exclude from Completed Sales","Include in Completed Sales")</f>
        <v>Exclude from Completed Sales</v>
      </c>
      <c r="AE804" s="6">
        <f t="shared" si="201"/>
        <v>8651.4600000000009</v>
      </c>
      <c r="AF804" s="6" t="str">
        <f t="shared" si="202"/>
        <v/>
      </c>
      <c r="AG804" s="6">
        <v>5254.62</v>
      </c>
      <c r="AH804" s="6">
        <v>3396.84</v>
      </c>
      <c r="AI804" s="6">
        <f t="shared" si="203"/>
        <v>3396.8400000000011</v>
      </c>
      <c r="AJ804" s="11">
        <f t="shared" si="204"/>
        <v>0.39263199506210522</v>
      </c>
      <c r="AK804" s="11" t="str">
        <f t="shared" si="205"/>
        <v>February</v>
      </c>
      <c r="AL804" s="12">
        <f t="shared" si="206"/>
        <v>2025</v>
      </c>
      <c r="AM804" s="6" t="s">
        <v>3716</v>
      </c>
      <c r="AN804" s="6" t="s">
        <v>145</v>
      </c>
      <c r="AO804" s="6" t="str">
        <f t="shared" si="198"/>
        <v>Returned</v>
      </c>
    </row>
    <row r="805" spans="1:41">
      <c r="A805" s="6" t="s">
        <v>3717</v>
      </c>
      <c r="B805" s="7" t="s">
        <v>3718</v>
      </c>
      <c r="C805" s="8">
        <v>45635</v>
      </c>
      <c r="D805" s="7" t="s">
        <v>753</v>
      </c>
      <c r="E805" s="9">
        <v>45639</v>
      </c>
      <c r="F805" s="9" t="str">
        <f t="shared" si="191"/>
        <v>Valid</v>
      </c>
      <c r="G805" s="10">
        <f t="shared" si="192"/>
        <v>4</v>
      </c>
      <c r="H805" s="10" t="str">
        <f t="shared" si="193"/>
        <v>Valid</v>
      </c>
      <c r="I805" s="6" t="s">
        <v>3719</v>
      </c>
      <c r="J805" s="6" t="s">
        <v>200</v>
      </c>
      <c r="K805" s="6" t="s">
        <v>200</v>
      </c>
      <c r="L805" s="6" t="s">
        <v>46</v>
      </c>
      <c r="M805" s="7" t="str">
        <f t="shared" si="194"/>
        <v>Consumer</v>
      </c>
      <c r="N805" s="6"/>
      <c r="O805" s="7" t="str">
        <f t="shared" si="195"/>
        <v>Unknown</v>
      </c>
      <c r="P805" s="6" t="s">
        <v>331</v>
      </c>
      <c r="Q805" s="6" t="s">
        <v>332</v>
      </c>
      <c r="R805" s="6" t="s">
        <v>50</v>
      </c>
      <c r="S805" s="7" t="str">
        <f t="shared" si="196"/>
        <v>Office Supplies</v>
      </c>
      <c r="T805" s="6" t="s">
        <v>129</v>
      </c>
      <c r="U805" s="6" t="s">
        <v>3720</v>
      </c>
      <c r="V805" s="6" t="s">
        <v>76</v>
      </c>
      <c r="W805" s="7" t="str">
        <f t="shared" si="197"/>
        <v>First Class</v>
      </c>
      <c r="X805" s="6">
        <v>1</v>
      </c>
      <c r="Y805" s="6">
        <v>4306.6499999999996</v>
      </c>
      <c r="Z805" s="6">
        <v>0</v>
      </c>
      <c r="AA805" s="6">
        <f t="shared" si="199"/>
        <v>0</v>
      </c>
      <c r="AB805" s="6" t="str">
        <f t="shared" si="200"/>
        <v>Valid</v>
      </c>
      <c r="AC805" s="6">
        <v>4306.6499999999996</v>
      </c>
      <c r="AD805" s="6" t="str">
        <f>IF(OR(AO805="Cancelled",AM805="Failed"),"Exclude from Completed Sales","Include in Completed Sales")</f>
        <v>Include in Completed Sales</v>
      </c>
      <c r="AE805" s="6">
        <f t="shared" si="201"/>
        <v>4306.6499999999996</v>
      </c>
      <c r="AF805" s="6" t="str">
        <f t="shared" si="202"/>
        <v/>
      </c>
      <c r="AG805" s="6">
        <v>2568.8200000000002</v>
      </c>
      <c r="AH805" s="6">
        <v>1737.83</v>
      </c>
      <c r="AI805" s="6">
        <f t="shared" si="203"/>
        <v>1737.8299999999995</v>
      </c>
      <c r="AJ805" s="11">
        <f t="shared" si="204"/>
        <v>0.40352245945224235</v>
      </c>
      <c r="AK805" s="11" t="str">
        <f t="shared" si="205"/>
        <v>December</v>
      </c>
      <c r="AL805" s="12">
        <f t="shared" si="206"/>
        <v>2024</v>
      </c>
      <c r="AM805" s="6" t="s">
        <v>54</v>
      </c>
      <c r="AN805" s="6" t="s">
        <v>55</v>
      </c>
      <c r="AO805" s="6" t="str">
        <f t="shared" si="198"/>
        <v>Completed</v>
      </c>
    </row>
    <row r="806" spans="1:41">
      <c r="A806" s="6" t="s">
        <v>3721</v>
      </c>
      <c r="B806" s="7" t="s">
        <v>1009</v>
      </c>
      <c r="C806" s="8">
        <v>45910</v>
      </c>
      <c r="D806" s="7" t="s">
        <v>2216</v>
      </c>
      <c r="E806" s="9">
        <v>45918</v>
      </c>
      <c r="F806" s="9" t="str">
        <f t="shared" si="191"/>
        <v>Valid</v>
      </c>
      <c r="G806" s="10">
        <f t="shared" si="192"/>
        <v>8</v>
      </c>
      <c r="H806" s="10" t="str">
        <f t="shared" si="193"/>
        <v>Valid</v>
      </c>
      <c r="I806" s="6" t="s">
        <v>3722</v>
      </c>
      <c r="J806" s="6" t="s">
        <v>168</v>
      </c>
      <c r="K806" s="6" t="s">
        <v>168</v>
      </c>
      <c r="L806" s="6" t="s">
        <v>135</v>
      </c>
      <c r="M806" s="7" t="str">
        <f t="shared" si="194"/>
        <v>Home Office</v>
      </c>
      <c r="N806" s="6" t="s">
        <v>82</v>
      </c>
      <c r="O806" s="7" t="str">
        <f t="shared" si="195"/>
        <v>South</v>
      </c>
      <c r="P806" s="6" t="s">
        <v>83</v>
      </c>
      <c r="Q806" s="6" t="s">
        <v>84</v>
      </c>
      <c r="R806" s="6" t="s">
        <v>65</v>
      </c>
      <c r="S806" s="7" t="str">
        <f t="shared" si="196"/>
        <v>Furniture</v>
      </c>
      <c r="T806" s="6" t="s">
        <v>85</v>
      </c>
      <c r="U806" s="6" t="s">
        <v>3723</v>
      </c>
      <c r="V806" s="6" t="s">
        <v>87</v>
      </c>
      <c r="W806" s="7" t="str">
        <f t="shared" si="197"/>
        <v>Standard Class</v>
      </c>
      <c r="X806" s="6">
        <v>1</v>
      </c>
      <c r="Y806" s="6">
        <v>2050.62</v>
      </c>
      <c r="Z806" s="6">
        <v>0.05</v>
      </c>
      <c r="AA806" s="6">
        <f t="shared" si="199"/>
        <v>0.05</v>
      </c>
      <c r="AB806" s="6" t="str">
        <f t="shared" si="200"/>
        <v>Valid</v>
      </c>
      <c r="AC806" s="6">
        <v>1948.09</v>
      </c>
      <c r="AD806" s="6" t="str">
        <f>IF(OR(AO806="Cancelled",AM806="Failed"),"Exclude from Completed Sales","Include in Completed Sales")</f>
        <v>Include in Completed Sales</v>
      </c>
      <c r="AE806" s="6">
        <f t="shared" si="201"/>
        <v>1948.0889999999997</v>
      </c>
      <c r="AF806" s="6" t="str">
        <f t="shared" si="202"/>
        <v/>
      </c>
      <c r="AG806" s="6">
        <v>1507.08</v>
      </c>
      <c r="AH806" s="6">
        <v>441.01</v>
      </c>
      <c r="AI806" s="6">
        <f t="shared" si="203"/>
        <v>441.00899999999979</v>
      </c>
      <c r="AJ806" s="11">
        <f t="shared" si="204"/>
        <v>0.22638031424642296</v>
      </c>
      <c r="AK806" s="11" t="str">
        <f t="shared" si="205"/>
        <v>September</v>
      </c>
      <c r="AL806" s="12">
        <f t="shared" si="206"/>
        <v>2025</v>
      </c>
      <c r="AM806" s="6" t="s">
        <v>54</v>
      </c>
      <c r="AN806" s="6" t="s">
        <v>55</v>
      </c>
      <c r="AO806" s="6" t="str">
        <f t="shared" si="198"/>
        <v>Completed</v>
      </c>
    </row>
    <row r="807" spans="1:41">
      <c r="A807" s="6" t="s">
        <v>3724</v>
      </c>
      <c r="B807" s="7" t="s">
        <v>1336</v>
      </c>
      <c r="C807" s="8">
        <v>45753</v>
      </c>
      <c r="D807" s="7" t="s">
        <v>1083</v>
      </c>
      <c r="E807" s="9">
        <v>45754</v>
      </c>
      <c r="F807" s="9" t="str">
        <f t="shared" si="191"/>
        <v>Valid</v>
      </c>
      <c r="G807" s="10">
        <f t="shared" si="192"/>
        <v>1</v>
      </c>
      <c r="H807" s="10" t="str">
        <f t="shared" si="193"/>
        <v>Valid</v>
      </c>
      <c r="I807" s="6" t="s">
        <v>3540</v>
      </c>
      <c r="J807" s="6" t="s">
        <v>162</v>
      </c>
      <c r="K807" s="6" t="s">
        <v>162</v>
      </c>
      <c r="L807" s="6" t="s">
        <v>135</v>
      </c>
      <c r="M807" s="7" t="str">
        <f t="shared" si="194"/>
        <v>Home Office</v>
      </c>
      <c r="N807" s="6" t="s">
        <v>62</v>
      </c>
      <c r="O807" s="7" t="str">
        <f t="shared" si="195"/>
        <v>East</v>
      </c>
      <c r="P807" s="6" t="s">
        <v>236</v>
      </c>
      <c r="Q807" s="6" t="s">
        <v>237</v>
      </c>
      <c r="R807" s="6" t="s">
        <v>50</v>
      </c>
      <c r="S807" s="7" t="str">
        <f t="shared" si="196"/>
        <v>Office Supplies</v>
      </c>
      <c r="T807" s="6" t="s">
        <v>218</v>
      </c>
      <c r="U807" s="6" t="s">
        <v>3725</v>
      </c>
      <c r="V807" s="6" t="s">
        <v>53</v>
      </c>
      <c r="W807" s="7" t="str">
        <f t="shared" si="197"/>
        <v>Second Class</v>
      </c>
      <c r="X807" s="6">
        <v>2</v>
      </c>
      <c r="Y807" s="6">
        <v>2030.06</v>
      </c>
      <c r="Z807" s="6">
        <v>0.25</v>
      </c>
      <c r="AA807" s="6">
        <f t="shared" si="199"/>
        <v>0.25</v>
      </c>
      <c r="AB807" s="6" t="str">
        <f t="shared" si="200"/>
        <v>Valid</v>
      </c>
      <c r="AC807" s="6">
        <v>3045.09</v>
      </c>
      <c r="AD807" s="6" t="str">
        <f>IF(OR(AO807="Cancelled",AM807="Failed"),"Exclude from Completed Sales","Include in Completed Sales")</f>
        <v>Include in Completed Sales</v>
      </c>
      <c r="AE807" s="6">
        <f t="shared" si="201"/>
        <v>3045.09</v>
      </c>
      <c r="AF807" s="6" t="str">
        <f t="shared" si="202"/>
        <v/>
      </c>
      <c r="AG807" s="6">
        <v>2601.09</v>
      </c>
      <c r="AH807" s="6">
        <v>444</v>
      </c>
      <c r="AI807" s="6">
        <f t="shared" si="203"/>
        <v>444</v>
      </c>
      <c r="AJ807" s="11">
        <f t="shared" si="204"/>
        <v>0.14580849827098705</v>
      </c>
      <c r="AK807" s="11" t="str">
        <f t="shared" si="205"/>
        <v>April</v>
      </c>
      <c r="AL807" s="12">
        <f t="shared" si="206"/>
        <v>2025</v>
      </c>
      <c r="AM807" s="6" t="s">
        <v>54</v>
      </c>
      <c r="AN807" s="6" t="s">
        <v>55</v>
      </c>
      <c r="AO807" s="6" t="str">
        <f t="shared" si="198"/>
        <v>Completed</v>
      </c>
    </row>
    <row r="808" spans="1:41">
      <c r="A808" s="6" t="s">
        <v>3726</v>
      </c>
      <c r="B808" s="7" t="s">
        <v>3727</v>
      </c>
      <c r="C808" s="8">
        <v>45605</v>
      </c>
      <c r="D808" s="7" t="s">
        <v>3728</v>
      </c>
      <c r="E808" s="9">
        <v>45611</v>
      </c>
      <c r="F808" s="9" t="str">
        <f t="shared" si="191"/>
        <v>Valid</v>
      </c>
      <c r="G808" s="10">
        <f t="shared" si="192"/>
        <v>6</v>
      </c>
      <c r="H808" s="10" t="str">
        <f t="shared" si="193"/>
        <v>Valid</v>
      </c>
      <c r="I808" s="6" t="s">
        <v>3729</v>
      </c>
      <c r="J808" s="6" t="s">
        <v>73</v>
      </c>
      <c r="K808" s="6" t="s">
        <v>73</v>
      </c>
      <c r="L808" s="6" t="s">
        <v>135</v>
      </c>
      <c r="M808" s="7" t="str">
        <f t="shared" si="194"/>
        <v>Home Office</v>
      </c>
      <c r="N808" s="6" t="s">
        <v>47</v>
      </c>
      <c r="O808" s="7" t="str">
        <f t="shared" si="195"/>
        <v>North</v>
      </c>
      <c r="P808" s="6" t="s">
        <v>48</v>
      </c>
      <c r="Q808" s="6" t="s">
        <v>49</v>
      </c>
      <c r="R808" s="6" t="s">
        <v>106</v>
      </c>
      <c r="S808" s="7" t="str">
        <f t="shared" si="196"/>
        <v>Technology</v>
      </c>
      <c r="T808" s="6" t="s">
        <v>114</v>
      </c>
      <c r="U808" s="6" t="s">
        <v>3730</v>
      </c>
      <c r="V808" s="6" t="s">
        <v>87</v>
      </c>
      <c r="W808" s="7" t="str">
        <f t="shared" si="197"/>
        <v>Standard Class</v>
      </c>
      <c r="X808" s="6">
        <v>1</v>
      </c>
      <c r="Y808" s="6">
        <v>3665.97</v>
      </c>
      <c r="Z808" s="6">
        <v>0.2</v>
      </c>
      <c r="AA808" s="6">
        <f t="shared" si="199"/>
        <v>0.2</v>
      </c>
      <c r="AB808" s="6" t="str">
        <f t="shared" si="200"/>
        <v>Valid</v>
      </c>
      <c r="AC808" s="6">
        <v>2932.78</v>
      </c>
      <c r="AD808" s="6" t="str">
        <f>IF(OR(AO808="Cancelled",AM808="Failed"),"Exclude from Completed Sales","Include in Completed Sales")</f>
        <v>Exclude from Completed Sales</v>
      </c>
      <c r="AE808" s="6">
        <f t="shared" si="201"/>
        <v>2932.7759999999998</v>
      </c>
      <c r="AF808" s="6" t="str">
        <f t="shared" si="202"/>
        <v/>
      </c>
      <c r="AG808" s="6">
        <v>1900.35</v>
      </c>
      <c r="AH808" s="6">
        <v>1032.43</v>
      </c>
      <c r="AI808" s="6">
        <f t="shared" si="203"/>
        <v>1032.4259999999999</v>
      </c>
      <c r="AJ808" s="11">
        <f t="shared" si="204"/>
        <v>0.35203029484692999</v>
      </c>
      <c r="AK808" s="11" t="str">
        <f t="shared" si="205"/>
        <v>November</v>
      </c>
      <c r="AL808" s="12">
        <f t="shared" si="206"/>
        <v>2024</v>
      </c>
      <c r="AM808" s="6" t="s">
        <v>220</v>
      </c>
      <c r="AN808" s="6" t="s">
        <v>98</v>
      </c>
      <c r="AO808" s="6" t="str">
        <f t="shared" si="198"/>
        <v>Cancelled</v>
      </c>
    </row>
    <row r="809" spans="1:41">
      <c r="A809" s="6" t="s">
        <v>3731</v>
      </c>
      <c r="B809" s="7" t="s">
        <v>1296</v>
      </c>
      <c r="C809" s="8">
        <v>45695</v>
      </c>
      <c r="D809" s="7" t="s">
        <v>2290</v>
      </c>
      <c r="E809" s="9">
        <v>45696</v>
      </c>
      <c r="F809" s="9" t="str">
        <f t="shared" si="191"/>
        <v>Valid</v>
      </c>
      <c r="G809" s="10">
        <f t="shared" si="192"/>
        <v>1</v>
      </c>
      <c r="H809" s="10" t="str">
        <f t="shared" si="193"/>
        <v>Valid</v>
      </c>
      <c r="I809" s="6" t="s">
        <v>3732</v>
      </c>
      <c r="J809" s="6" t="s">
        <v>45</v>
      </c>
      <c r="K809" s="6" t="s">
        <v>45</v>
      </c>
      <c r="L809" s="6" t="s">
        <v>61</v>
      </c>
      <c r="M809" s="7" t="str">
        <f t="shared" si="194"/>
        <v>Small Business</v>
      </c>
      <c r="N809" s="6" t="s">
        <v>82</v>
      </c>
      <c r="O809" s="7" t="str">
        <f t="shared" si="195"/>
        <v>South</v>
      </c>
      <c r="P809" s="6" t="s">
        <v>83</v>
      </c>
      <c r="Q809" s="6" t="s">
        <v>84</v>
      </c>
      <c r="R809" s="6" t="s">
        <v>50</v>
      </c>
      <c r="S809" s="7" t="str">
        <f t="shared" si="196"/>
        <v>Office Supplies</v>
      </c>
      <c r="T809" s="6" t="s">
        <v>129</v>
      </c>
      <c r="U809" s="6" t="s">
        <v>3733</v>
      </c>
      <c r="V809" s="6" t="s">
        <v>3734</v>
      </c>
      <c r="W809" s="7" t="str">
        <f t="shared" si="197"/>
        <v>Standard Class</v>
      </c>
      <c r="X809" s="6">
        <v>2</v>
      </c>
      <c r="Y809" s="6">
        <v>2432.98</v>
      </c>
      <c r="Z809" s="6">
        <v>0.1</v>
      </c>
      <c r="AA809" s="6">
        <f t="shared" si="199"/>
        <v>0.1</v>
      </c>
      <c r="AB809" s="6" t="str">
        <f t="shared" si="200"/>
        <v>Valid</v>
      </c>
      <c r="AC809" s="6">
        <v>4379.3599999999997</v>
      </c>
      <c r="AD809" s="6" t="str">
        <f>IF(OR(AO809="Cancelled",AM809="Failed"),"Exclude from Completed Sales","Include in Completed Sales")</f>
        <v>Include in Completed Sales</v>
      </c>
      <c r="AE809" s="6">
        <f t="shared" si="201"/>
        <v>4379.3640000000005</v>
      </c>
      <c r="AF809" s="6" t="str">
        <f t="shared" si="202"/>
        <v/>
      </c>
      <c r="AG809" s="6">
        <v>3723.93</v>
      </c>
      <c r="AH809" s="6">
        <v>655.43</v>
      </c>
      <c r="AI809" s="6">
        <f t="shared" si="203"/>
        <v>655.43400000000065</v>
      </c>
      <c r="AJ809" s="11">
        <f t="shared" si="204"/>
        <v>0.14966419781502532</v>
      </c>
      <c r="AK809" s="11" t="str">
        <f t="shared" si="205"/>
        <v>February</v>
      </c>
      <c r="AL809" s="12">
        <f t="shared" si="206"/>
        <v>2025</v>
      </c>
      <c r="AM809" s="6" t="s">
        <v>54</v>
      </c>
      <c r="AN809" s="6" t="s">
        <v>55</v>
      </c>
      <c r="AO809" s="6" t="str">
        <f t="shared" si="198"/>
        <v>Completed</v>
      </c>
    </row>
    <row r="810" spans="1:41">
      <c r="A810" s="6" t="s">
        <v>3735</v>
      </c>
      <c r="B810" s="7" t="s">
        <v>3736</v>
      </c>
      <c r="C810" s="8">
        <v>45900</v>
      </c>
      <c r="D810" s="7" t="s">
        <v>2054</v>
      </c>
      <c r="E810" s="9">
        <v>45897</v>
      </c>
      <c r="F810" s="9" t="str">
        <f t="shared" si="191"/>
        <v>Invalid Shipping Record</v>
      </c>
      <c r="G810" s="10">
        <f t="shared" si="192"/>
        <v>-3</v>
      </c>
      <c r="H810" s="10" t="str">
        <f t="shared" si="193"/>
        <v>Invalid Shipping Record</v>
      </c>
      <c r="I810" s="6" t="s">
        <v>3737</v>
      </c>
      <c r="J810" s="6" t="s">
        <v>182</v>
      </c>
      <c r="K810" s="6" t="s">
        <v>182</v>
      </c>
      <c r="L810" s="6" t="s">
        <v>61</v>
      </c>
      <c r="M810" s="7" t="str">
        <f t="shared" si="194"/>
        <v>Small Business</v>
      </c>
      <c r="N810" s="6" t="s">
        <v>82</v>
      </c>
      <c r="O810" s="7" t="str">
        <f t="shared" si="195"/>
        <v>South</v>
      </c>
      <c r="P810" s="6" t="s">
        <v>359</v>
      </c>
      <c r="Q810" s="6" t="s">
        <v>360</v>
      </c>
      <c r="R810" s="6" t="s">
        <v>65</v>
      </c>
      <c r="S810" s="7" t="str">
        <f t="shared" si="196"/>
        <v>Furniture</v>
      </c>
      <c r="T810" s="6" t="s">
        <v>85</v>
      </c>
      <c r="U810" s="6" t="s">
        <v>3738</v>
      </c>
      <c r="V810" s="6" t="s">
        <v>76</v>
      </c>
      <c r="W810" s="7" t="str">
        <f t="shared" si="197"/>
        <v>First Class</v>
      </c>
      <c r="X810" s="6">
        <v>7</v>
      </c>
      <c r="Y810" s="6">
        <v>977.28</v>
      </c>
      <c r="Z810" s="6">
        <v>0.2</v>
      </c>
      <c r="AA810" s="6">
        <f t="shared" si="199"/>
        <v>0.2</v>
      </c>
      <c r="AB810" s="6" t="str">
        <f t="shared" si="200"/>
        <v>Valid</v>
      </c>
      <c r="AC810" s="6">
        <v>5472.77</v>
      </c>
      <c r="AD810" s="6" t="str">
        <f>IF(OR(AO810="Cancelled",AM810="Failed"),"Exclude from Completed Sales","Include in Completed Sales")</f>
        <v>Include in Completed Sales</v>
      </c>
      <c r="AE810" s="6">
        <f t="shared" si="201"/>
        <v>5472.768</v>
      </c>
      <c r="AF810" s="6" t="str">
        <f t="shared" si="202"/>
        <v/>
      </c>
      <c r="AG810" s="6">
        <v>4477.33</v>
      </c>
      <c r="AH810" s="6">
        <v>995.44</v>
      </c>
      <c r="AI810" s="6">
        <f t="shared" si="203"/>
        <v>995.4380000000001</v>
      </c>
      <c r="AJ810" s="11">
        <f t="shared" si="204"/>
        <v>0.18188931085695575</v>
      </c>
      <c r="AK810" s="11" t="str">
        <f t="shared" si="205"/>
        <v>August</v>
      </c>
      <c r="AL810" s="12">
        <f t="shared" si="206"/>
        <v>2025</v>
      </c>
      <c r="AM810" s="6" t="s">
        <v>54</v>
      </c>
      <c r="AN810" s="6" t="s">
        <v>55</v>
      </c>
      <c r="AO810" s="6" t="str">
        <f t="shared" si="198"/>
        <v>Completed</v>
      </c>
    </row>
    <row r="811" spans="1:41">
      <c r="A811" s="6" t="s">
        <v>3739</v>
      </c>
      <c r="B811" s="7" t="s">
        <v>1536</v>
      </c>
      <c r="C811" s="8">
        <v>45833</v>
      </c>
      <c r="D811" s="7" t="s">
        <v>1536</v>
      </c>
      <c r="E811" s="9">
        <v>45833</v>
      </c>
      <c r="F811" s="9" t="str">
        <f t="shared" si="191"/>
        <v>Valid</v>
      </c>
      <c r="G811" s="10">
        <f t="shared" si="192"/>
        <v>0</v>
      </c>
      <c r="H811" s="10" t="str">
        <f t="shared" si="193"/>
        <v>Valid</v>
      </c>
      <c r="I811" s="6" t="s">
        <v>3740</v>
      </c>
      <c r="J811" s="6" t="s">
        <v>81</v>
      </c>
      <c r="K811" s="6" t="s">
        <v>81</v>
      </c>
      <c r="L811" s="6" t="s">
        <v>61</v>
      </c>
      <c r="M811" s="7" t="str">
        <f t="shared" si="194"/>
        <v>Small Business</v>
      </c>
      <c r="N811" s="6"/>
      <c r="O811" s="7" t="str">
        <f t="shared" si="195"/>
        <v>Unknown</v>
      </c>
      <c r="P811" s="6" t="s">
        <v>174</v>
      </c>
      <c r="Q811" s="6" t="s">
        <v>175</v>
      </c>
      <c r="R811" s="6" t="s">
        <v>50</v>
      </c>
      <c r="S811" s="7" t="str">
        <f t="shared" si="196"/>
        <v>Office Supplies</v>
      </c>
      <c r="T811" s="6" t="s">
        <v>218</v>
      </c>
      <c r="U811" s="6" t="s">
        <v>3741</v>
      </c>
      <c r="V811" s="6" t="s">
        <v>53</v>
      </c>
      <c r="W811" s="7" t="str">
        <f t="shared" si="197"/>
        <v>Second Class</v>
      </c>
      <c r="X811" s="6">
        <v>6</v>
      </c>
      <c r="Y811" s="6">
        <v>1366.13</v>
      </c>
      <c r="Z811" s="6">
        <v>0.1</v>
      </c>
      <c r="AA811" s="6">
        <f t="shared" si="199"/>
        <v>0.1</v>
      </c>
      <c r="AB811" s="6" t="str">
        <f t="shared" si="200"/>
        <v>Valid</v>
      </c>
      <c r="AC811" s="6">
        <v>7377.1</v>
      </c>
      <c r="AD811" s="6" t="str">
        <f>IF(OR(AO811="Cancelled",AM811="Failed"),"Exclude from Completed Sales","Include in Completed Sales")</f>
        <v>Include in Completed Sales</v>
      </c>
      <c r="AE811" s="6">
        <f t="shared" si="201"/>
        <v>7377.1020000000008</v>
      </c>
      <c r="AF811" s="6" t="str">
        <f t="shared" si="202"/>
        <v/>
      </c>
      <c r="AG811" s="6">
        <v>5085.21</v>
      </c>
      <c r="AH811" s="6">
        <v>2291.89</v>
      </c>
      <c r="AI811" s="6">
        <f t="shared" si="203"/>
        <v>2291.8920000000007</v>
      </c>
      <c r="AJ811" s="11">
        <f t="shared" si="204"/>
        <v>0.31067646888981615</v>
      </c>
      <c r="AK811" s="11" t="str">
        <f t="shared" si="205"/>
        <v>June</v>
      </c>
      <c r="AL811" s="12">
        <f t="shared" si="206"/>
        <v>2025</v>
      </c>
      <c r="AM811" s="6" t="s">
        <v>54</v>
      </c>
      <c r="AN811" s="6" t="s">
        <v>55</v>
      </c>
      <c r="AO811" s="6" t="str">
        <f t="shared" si="198"/>
        <v>Completed</v>
      </c>
    </row>
    <row r="812" spans="1:41">
      <c r="A812" s="6" t="s">
        <v>3742</v>
      </c>
      <c r="B812" s="7" t="s">
        <v>3743</v>
      </c>
      <c r="C812" s="8">
        <v>45385</v>
      </c>
      <c r="D812" s="7" t="s">
        <v>3744</v>
      </c>
      <c r="E812" s="9">
        <v>45390</v>
      </c>
      <c r="F812" s="9" t="str">
        <f t="shared" si="191"/>
        <v>Valid</v>
      </c>
      <c r="G812" s="10">
        <f t="shared" si="192"/>
        <v>5</v>
      </c>
      <c r="H812" s="10" t="str">
        <f t="shared" si="193"/>
        <v>Valid</v>
      </c>
      <c r="I812" s="6" t="s">
        <v>2554</v>
      </c>
      <c r="J812" s="6" t="s">
        <v>386</v>
      </c>
      <c r="K812" s="6" t="s">
        <v>386</v>
      </c>
      <c r="L812" s="6" t="s">
        <v>135</v>
      </c>
      <c r="M812" s="7" t="str">
        <f t="shared" si="194"/>
        <v>Home Office</v>
      </c>
      <c r="N812" s="6" t="s">
        <v>93</v>
      </c>
      <c r="O812" s="7" t="str">
        <f t="shared" si="195"/>
        <v>West</v>
      </c>
      <c r="P812" s="6" t="s">
        <v>255</v>
      </c>
      <c r="Q812" s="6" t="s">
        <v>256</v>
      </c>
      <c r="R812" s="6" t="s">
        <v>106</v>
      </c>
      <c r="S812" s="7" t="str">
        <f t="shared" si="196"/>
        <v>Technology</v>
      </c>
      <c r="T812" s="6" t="s">
        <v>114</v>
      </c>
      <c r="U812" s="6" t="s">
        <v>3745</v>
      </c>
      <c r="V812" s="6" t="s">
        <v>76</v>
      </c>
      <c r="W812" s="7" t="str">
        <f t="shared" si="197"/>
        <v>First Class</v>
      </c>
      <c r="X812" s="6">
        <v>1</v>
      </c>
      <c r="Y812" s="6">
        <v>3151.85</v>
      </c>
      <c r="Z812" s="6">
        <v>0.25</v>
      </c>
      <c r="AA812" s="6">
        <f t="shared" si="199"/>
        <v>0.25</v>
      </c>
      <c r="AB812" s="6" t="str">
        <f t="shared" si="200"/>
        <v>Valid</v>
      </c>
      <c r="AC812" s="6">
        <v>2363.89</v>
      </c>
      <c r="AD812" s="6" t="str">
        <f>IF(OR(AO812="Cancelled",AM812="Failed"),"Exclude from Completed Sales","Include in Completed Sales")</f>
        <v>Include in Completed Sales</v>
      </c>
      <c r="AE812" s="6">
        <f t="shared" si="201"/>
        <v>2363.8874999999998</v>
      </c>
      <c r="AF812" s="6" t="str">
        <f t="shared" si="202"/>
        <v/>
      </c>
      <c r="AG812" s="6">
        <v>1471.51</v>
      </c>
      <c r="AH812" s="6">
        <v>892.38</v>
      </c>
      <c r="AI812" s="6">
        <f t="shared" si="203"/>
        <v>892.37749999999983</v>
      </c>
      <c r="AJ812" s="11">
        <f t="shared" si="204"/>
        <v>0.37750421710000998</v>
      </c>
      <c r="AK812" s="11" t="str">
        <f t="shared" si="205"/>
        <v>April</v>
      </c>
      <c r="AL812" s="12">
        <f t="shared" si="206"/>
        <v>2024</v>
      </c>
      <c r="AM812" s="6" t="s">
        <v>54</v>
      </c>
      <c r="AN812" s="6" t="s">
        <v>55</v>
      </c>
      <c r="AO812" s="6" t="str">
        <f t="shared" si="198"/>
        <v>Completed</v>
      </c>
    </row>
    <row r="813" spans="1:41">
      <c r="A813" s="6" t="s">
        <v>3746</v>
      </c>
      <c r="B813" s="7" t="s">
        <v>3747</v>
      </c>
      <c r="C813" s="8">
        <v>45638</v>
      </c>
      <c r="D813" s="7" t="s">
        <v>3748</v>
      </c>
      <c r="E813" s="9">
        <v>45645</v>
      </c>
      <c r="F813" s="9" t="str">
        <f t="shared" si="191"/>
        <v>Valid</v>
      </c>
      <c r="G813" s="10">
        <f t="shared" si="192"/>
        <v>7</v>
      </c>
      <c r="H813" s="10" t="str">
        <f t="shared" si="193"/>
        <v>Valid</v>
      </c>
      <c r="I813" s="6" t="s">
        <v>3749</v>
      </c>
      <c r="J813" s="6" t="s">
        <v>200</v>
      </c>
      <c r="K813" s="6" t="s">
        <v>200</v>
      </c>
      <c r="L813" s="6" t="s">
        <v>135</v>
      </c>
      <c r="M813" s="7" t="str">
        <f t="shared" si="194"/>
        <v>Home Office</v>
      </c>
      <c r="N813" s="6" t="s">
        <v>47</v>
      </c>
      <c r="O813" s="7" t="str">
        <f t="shared" si="195"/>
        <v>North</v>
      </c>
      <c r="P813" s="6" t="s">
        <v>343</v>
      </c>
      <c r="Q813" s="6" t="s">
        <v>344</v>
      </c>
      <c r="R813" s="6" t="s">
        <v>106</v>
      </c>
      <c r="S813" s="7" t="str">
        <f t="shared" si="196"/>
        <v>Technology</v>
      </c>
      <c r="T813" s="6" t="s">
        <v>107</v>
      </c>
      <c r="U813" s="6" t="s">
        <v>3750</v>
      </c>
      <c r="V813" s="6" t="s">
        <v>76</v>
      </c>
      <c r="W813" s="7" t="str">
        <f t="shared" si="197"/>
        <v>First Class</v>
      </c>
      <c r="X813" s="6">
        <v>2</v>
      </c>
      <c r="Y813" s="6">
        <v>1610.75</v>
      </c>
      <c r="Z813" s="6">
        <v>0.2</v>
      </c>
      <c r="AA813" s="6">
        <f t="shared" si="199"/>
        <v>0.2</v>
      </c>
      <c r="AB813" s="6" t="str">
        <f t="shared" si="200"/>
        <v>Valid</v>
      </c>
      <c r="AC813" s="6">
        <v>2577.1999999999998</v>
      </c>
      <c r="AD813" s="6" t="str">
        <f>IF(OR(AO813="Cancelled",AM813="Failed"),"Exclude from Completed Sales","Include in Completed Sales")</f>
        <v>Include in Completed Sales</v>
      </c>
      <c r="AE813" s="6">
        <f t="shared" si="201"/>
        <v>2577.2000000000003</v>
      </c>
      <c r="AF813" s="6" t="str">
        <f t="shared" si="202"/>
        <v/>
      </c>
      <c r="AG813" s="6">
        <v>1475.87</v>
      </c>
      <c r="AH813" s="6">
        <v>1101.33</v>
      </c>
      <c r="AI813" s="6">
        <f t="shared" si="203"/>
        <v>1101.3300000000004</v>
      </c>
      <c r="AJ813" s="11">
        <f t="shared" si="204"/>
        <v>0.42733586838429316</v>
      </c>
      <c r="AK813" s="11" t="str">
        <f t="shared" si="205"/>
        <v>December</v>
      </c>
      <c r="AL813" s="12">
        <f t="shared" si="206"/>
        <v>2024</v>
      </c>
      <c r="AM813" s="6" t="s">
        <v>54</v>
      </c>
      <c r="AN813" s="6" t="s">
        <v>55</v>
      </c>
      <c r="AO813" s="6" t="str">
        <f t="shared" si="198"/>
        <v>Completed</v>
      </c>
    </row>
    <row r="814" spans="1:41">
      <c r="A814" s="6" t="s">
        <v>3751</v>
      </c>
      <c r="B814" s="7" t="s">
        <v>830</v>
      </c>
      <c r="C814" s="8">
        <v>45458</v>
      </c>
      <c r="D814" s="7" t="s">
        <v>3752</v>
      </c>
      <c r="E814" s="9">
        <v>45463</v>
      </c>
      <c r="F814" s="9" t="str">
        <f t="shared" si="191"/>
        <v>Valid</v>
      </c>
      <c r="G814" s="10">
        <f t="shared" si="192"/>
        <v>5</v>
      </c>
      <c r="H814" s="10" t="str">
        <f t="shared" si="193"/>
        <v>Valid</v>
      </c>
      <c r="I814" s="6" t="s">
        <v>3753</v>
      </c>
      <c r="J814" s="6" t="s">
        <v>188</v>
      </c>
      <c r="K814" s="6" t="s">
        <v>188</v>
      </c>
      <c r="L814" s="6" t="s">
        <v>61</v>
      </c>
      <c r="M814" s="7" t="str">
        <f t="shared" si="194"/>
        <v>Small Business</v>
      </c>
      <c r="N814" s="6" t="s">
        <v>62</v>
      </c>
      <c r="O814" s="7" t="str">
        <f t="shared" si="195"/>
        <v>East</v>
      </c>
      <c r="P814" s="6" t="s">
        <v>331</v>
      </c>
      <c r="Q814" s="6" t="s">
        <v>332</v>
      </c>
      <c r="R814" s="6" t="s">
        <v>65</v>
      </c>
      <c r="S814" s="7" t="str">
        <f t="shared" si="196"/>
        <v>Furniture</v>
      </c>
      <c r="T814" s="6" t="s">
        <v>66</v>
      </c>
      <c r="U814" s="6" t="s">
        <v>3754</v>
      </c>
      <c r="V814" s="6" t="s">
        <v>76</v>
      </c>
      <c r="W814" s="7" t="str">
        <f t="shared" si="197"/>
        <v>First Class</v>
      </c>
      <c r="X814" s="6">
        <v>8</v>
      </c>
      <c r="Y814" s="6">
        <v>2228.4699999999998</v>
      </c>
      <c r="Z814" s="6">
        <v>0</v>
      </c>
      <c r="AA814" s="6">
        <f t="shared" si="199"/>
        <v>0</v>
      </c>
      <c r="AB814" s="6" t="str">
        <f t="shared" si="200"/>
        <v>Valid</v>
      </c>
      <c r="AC814" s="6">
        <v>17827.759999999998</v>
      </c>
      <c r="AD814" s="6" t="str">
        <f>IF(OR(AO814="Cancelled",AM814="Failed"),"Exclude from Completed Sales","Include in Completed Sales")</f>
        <v>Include in Completed Sales</v>
      </c>
      <c r="AE814" s="6">
        <f t="shared" si="201"/>
        <v>17827.759999999998</v>
      </c>
      <c r="AF814" s="6" t="str">
        <f t="shared" si="202"/>
        <v/>
      </c>
      <c r="AG814" s="6">
        <v>14122.13</v>
      </c>
      <c r="AH814" s="6">
        <v>3705.63</v>
      </c>
      <c r="AI814" s="6">
        <f t="shared" si="203"/>
        <v>3705.6299999999992</v>
      </c>
      <c r="AJ814" s="11">
        <f t="shared" si="204"/>
        <v>0.20785729671029896</v>
      </c>
      <c r="AK814" s="11" t="str">
        <f t="shared" si="205"/>
        <v>June</v>
      </c>
      <c r="AL814" s="12">
        <f t="shared" si="206"/>
        <v>2024</v>
      </c>
      <c r="AM814" s="6" t="s">
        <v>54</v>
      </c>
      <c r="AN814" s="6" t="s">
        <v>55</v>
      </c>
      <c r="AO814" s="6" t="str">
        <f t="shared" si="198"/>
        <v>Completed</v>
      </c>
    </row>
    <row r="815" spans="1:41">
      <c r="A815" s="6" t="s">
        <v>3755</v>
      </c>
      <c r="B815" s="7" t="s">
        <v>3756</v>
      </c>
      <c r="C815" s="8">
        <v>45753</v>
      </c>
      <c r="D815" s="7" t="s">
        <v>3757</v>
      </c>
      <c r="E815" s="9">
        <v>45757</v>
      </c>
      <c r="F815" s="9" t="str">
        <f t="shared" si="191"/>
        <v>Valid</v>
      </c>
      <c r="G815" s="10">
        <f t="shared" si="192"/>
        <v>4</v>
      </c>
      <c r="H815" s="10" t="str">
        <f t="shared" si="193"/>
        <v>Valid</v>
      </c>
      <c r="I815" s="6" t="s">
        <v>3758</v>
      </c>
      <c r="J815" s="6" t="s">
        <v>200</v>
      </c>
      <c r="K815" s="6" t="s">
        <v>200</v>
      </c>
      <c r="L815" s="6" t="s">
        <v>46</v>
      </c>
      <c r="M815" s="7" t="str">
        <f t="shared" si="194"/>
        <v>Consumer</v>
      </c>
      <c r="N815" s="6" t="s">
        <v>62</v>
      </c>
      <c r="O815" s="7" t="str">
        <f t="shared" si="195"/>
        <v>East</v>
      </c>
      <c r="P815" s="6" t="s">
        <v>63</v>
      </c>
      <c r="Q815" s="6" t="s">
        <v>64</v>
      </c>
      <c r="R815" s="6" t="s">
        <v>65</v>
      </c>
      <c r="S815" s="7" t="str">
        <f t="shared" si="196"/>
        <v>Furniture</v>
      </c>
      <c r="T815" s="6" t="s">
        <v>224</v>
      </c>
      <c r="U815" s="6" t="s">
        <v>1737</v>
      </c>
      <c r="V815" s="6" t="s">
        <v>87</v>
      </c>
      <c r="W815" s="7" t="str">
        <f t="shared" si="197"/>
        <v>Standard Class</v>
      </c>
      <c r="X815" s="6">
        <v>2</v>
      </c>
      <c r="Y815" s="6">
        <v>1337.67</v>
      </c>
      <c r="Z815" s="6">
        <v>0</v>
      </c>
      <c r="AA815" s="6">
        <f t="shared" si="199"/>
        <v>0</v>
      </c>
      <c r="AB815" s="6" t="str">
        <f t="shared" si="200"/>
        <v>Valid</v>
      </c>
      <c r="AC815" s="6">
        <v>2675.34</v>
      </c>
      <c r="AD815" s="6" t="str">
        <f>IF(OR(AO815="Cancelled",AM815="Failed"),"Exclude from Completed Sales","Include in Completed Sales")</f>
        <v>Include in Completed Sales</v>
      </c>
      <c r="AE815" s="6">
        <f t="shared" si="201"/>
        <v>2675.34</v>
      </c>
      <c r="AF815" s="6" t="str">
        <f t="shared" si="202"/>
        <v/>
      </c>
      <c r="AG815" s="6">
        <v>1595.87</v>
      </c>
      <c r="AH815" s="6">
        <v>1079.47</v>
      </c>
      <c r="AI815" s="6">
        <f t="shared" si="203"/>
        <v>1079.4700000000003</v>
      </c>
      <c r="AJ815" s="11">
        <f t="shared" si="204"/>
        <v>0.40348890234512258</v>
      </c>
      <c r="AK815" s="11" t="str">
        <f t="shared" si="205"/>
        <v>April</v>
      </c>
      <c r="AL815" s="12">
        <f t="shared" si="206"/>
        <v>2025</v>
      </c>
      <c r="AM815" s="6" t="s">
        <v>54</v>
      </c>
      <c r="AN815" s="6" t="s">
        <v>55</v>
      </c>
      <c r="AO815" s="6" t="str">
        <f t="shared" si="198"/>
        <v>Completed</v>
      </c>
    </row>
    <row r="816" spans="1:41">
      <c r="A816" s="6" t="s">
        <v>3759</v>
      </c>
      <c r="B816" s="7" t="s">
        <v>1391</v>
      </c>
      <c r="C816" s="8">
        <v>45875</v>
      </c>
      <c r="D816" s="7" t="s">
        <v>603</v>
      </c>
      <c r="E816" s="9">
        <v>45880</v>
      </c>
      <c r="F816" s="9" t="str">
        <f t="shared" si="191"/>
        <v>Valid</v>
      </c>
      <c r="G816" s="10">
        <f t="shared" si="192"/>
        <v>5</v>
      </c>
      <c r="H816" s="10" t="str">
        <f t="shared" si="193"/>
        <v>Valid</v>
      </c>
      <c r="I816" s="6" t="s">
        <v>3760</v>
      </c>
      <c r="J816" s="6" t="s">
        <v>81</v>
      </c>
      <c r="K816" s="6" t="s">
        <v>81</v>
      </c>
      <c r="L816" s="6" t="s">
        <v>46</v>
      </c>
      <c r="M816" s="7" t="str">
        <f t="shared" si="194"/>
        <v>Consumer</v>
      </c>
      <c r="N816" s="6" t="s">
        <v>93</v>
      </c>
      <c r="O816" s="7" t="str">
        <f t="shared" si="195"/>
        <v>West</v>
      </c>
      <c r="P816" s="6" t="s">
        <v>104</v>
      </c>
      <c r="Q816" s="6" t="s">
        <v>105</v>
      </c>
      <c r="R816" s="6" t="s">
        <v>50</v>
      </c>
      <c r="S816" s="7" t="str">
        <f t="shared" si="196"/>
        <v>Office Supplies</v>
      </c>
      <c r="T816" s="6" t="s">
        <v>129</v>
      </c>
      <c r="U816" s="6" t="s">
        <v>3761</v>
      </c>
      <c r="V816" s="6" t="s">
        <v>76</v>
      </c>
      <c r="W816" s="7" t="str">
        <f t="shared" si="197"/>
        <v>First Class</v>
      </c>
      <c r="X816" s="6">
        <v>2</v>
      </c>
      <c r="Y816" s="6">
        <v>2375.94</v>
      </c>
      <c r="Z816" s="6">
        <v>0.25</v>
      </c>
      <c r="AA816" s="6">
        <f t="shared" si="199"/>
        <v>0.25</v>
      </c>
      <c r="AB816" s="6" t="str">
        <f t="shared" si="200"/>
        <v>Valid</v>
      </c>
      <c r="AC816" s="6">
        <v>3563.91</v>
      </c>
      <c r="AD816" s="6" t="str">
        <f>IF(OR(AO816="Cancelled",AM816="Failed"),"Exclude from Completed Sales","Include in Completed Sales")</f>
        <v>Include in Completed Sales</v>
      </c>
      <c r="AE816" s="6">
        <f t="shared" si="201"/>
        <v>3563.91</v>
      </c>
      <c r="AF816" s="6" t="str">
        <f t="shared" si="202"/>
        <v/>
      </c>
      <c r="AG816" s="6">
        <v>2639.7</v>
      </c>
      <c r="AH816" s="6">
        <v>924.21</v>
      </c>
      <c r="AI816" s="6">
        <f t="shared" si="203"/>
        <v>924.21</v>
      </c>
      <c r="AJ816" s="11">
        <f t="shared" si="204"/>
        <v>0.25932473042248544</v>
      </c>
      <c r="AK816" s="11" t="str">
        <f t="shared" si="205"/>
        <v>August</v>
      </c>
      <c r="AL816" s="12">
        <f t="shared" si="206"/>
        <v>2025</v>
      </c>
      <c r="AM816" s="6" t="s">
        <v>54</v>
      </c>
      <c r="AN816" s="6" t="s">
        <v>55</v>
      </c>
      <c r="AO816" s="6" t="str">
        <f t="shared" si="198"/>
        <v>Completed</v>
      </c>
    </row>
    <row r="817" spans="1:41">
      <c r="A817" s="6" t="s">
        <v>3762</v>
      </c>
      <c r="B817" s="7" t="s">
        <v>2462</v>
      </c>
      <c r="C817" s="8">
        <v>45383</v>
      </c>
      <c r="D817" s="7" t="s">
        <v>3763</v>
      </c>
      <c r="E817" s="9">
        <v>45390</v>
      </c>
      <c r="F817" s="9" t="str">
        <f t="shared" si="191"/>
        <v>Valid</v>
      </c>
      <c r="G817" s="10">
        <f t="shared" si="192"/>
        <v>7</v>
      </c>
      <c r="H817" s="10" t="str">
        <f t="shared" si="193"/>
        <v>Valid</v>
      </c>
      <c r="I817" s="6" t="s">
        <v>3764</v>
      </c>
      <c r="J817" s="6" t="s">
        <v>230</v>
      </c>
      <c r="K817" s="6" t="s">
        <v>230</v>
      </c>
      <c r="L817" s="6" t="s">
        <v>46</v>
      </c>
      <c r="M817" s="7" t="str">
        <f t="shared" si="194"/>
        <v>Consumer</v>
      </c>
      <c r="N817" s="6" t="s">
        <v>62</v>
      </c>
      <c r="O817" s="7" t="str">
        <f t="shared" si="195"/>
        <v>East</v>
      </c>
      <c r="P817" s="6" t="s">
        <v>63</v>
      </c>
      <c r="Q817" s="6" t="s">
        <v>64</v>
      </c>
      <c r="R817" s="6" t="s">
        <v>106</v>
      </c>
      <c r="S817" s="7" t="str">
        <f t="shared" si="196"/>
        <v>Technology</v>
      </c>
      <c r="T817" s="6" t="s">
        <v>402</v>
      </c>
      <c r="U817" s="6" t="s">
        <v>3765</v>
      </c>
      <c r="V817" s="6" t="s">
        <v>87</v>
      </c>
      <c r="W817" s="7" t="str">
        <f t="shared" si="197"/>
        <v>Standard Class</v>
      </c>
      <c r="X817" s="6">
        <v>7</v>
      </c>
      <c r="Y817" s="6">
        <v>715.81</v>
      </c>
      <c r="Z817" s="6">
        <v>0.15</v>
      </c>
      <c r="AA817" s="6">
        <f t="shared" si="199"/>
        <v>0.15</v>
      </c>
      <c r="AB817" s="6" t="str">
        <f t="shared" si="200"/>
        <v>Valid</v>
      </c>
      <c r="AC817" s="6">
        <v>4259.07</v>
      </c>
      <c r="AD817" s="6" t="str">
        <f>IF(OR(AO817="Cancelled",AM817="Failed"),"Exclude from Completed Sales","Include in Completed Sales")</f>
        <v>Exclude from Completed Sales</v>
      </c>
      <c r="AE817" s="6">
        <f t="shared" si="201"/>
        <v>4259.0694999999996</v>
      </c>
      <c r="AF817" s="6" t="str">
        <f t="shared" si="202"/>
        <v/>
      </c>
      <c r="AG817" s="6">
        <v>3130.32</v>
      </c>
      <c r="AH817" s="6">
        <v>1128.75</v>
      </c>
      <c r="AI817" s="6">
        <f t="shared" si="203"/>
        <v>1128.7494999999994</v>
      </c>
      <c r="AJ817" s="11">
        <f t="shared" si="204"/>
        <v>0.26502255950507486</v>
      </c>
      <c r="AK817" s="11" t="str">
        <f t="shared" si="205"/>
        <v>April</v>
      </c>
      <c r="AL817" s="12">
        <f t="shared" si="206"/>
        <v>2024</v>
      </c>
      <c r="AM817" s="6" t="s">
        <v>157</v>
      </c>
      <c r="AN817" s="6" t="s">
        <v>98</v>
      </c>
      <c r="AO817" s="6" t="str">
        <f t="shared" si="198"/>
        <v>Cancelled</v>
      </c>
    </row>
    <row r="818" spans="1:41">
      <c r="A818" s="6" t="s">
        <v>3766</v>
      </c>
      <c r="B818" s="7" t="s">
        <v>3767</v>
      </c>
      <c r="C818" s="8">
        <v>45623</v>
      </c>
      <c r="D818" s="7" t="s">
        <v>3768</v>
      </c>
      <c r="E818" s="9">
        <v>45626</v>
      </c>
      <c r="F818" s="9" t="str">
        <f t="shared" si="191"/>
        <v>Valid</v>
      </c>
      <c r="G818" s="10">
        <f t="shared" si="192"/>
        <v>3</v>
      </c>
      <c r="H818" s="10" t="str">
        <f t="shared" si="193"/>
        <v>Valid</v>
      </c>
      <c r="I818" s="6" t="s">
        <v>3769</v>
      </c>
      <c r="J818" s="6" t="s">
        <v>168</v>
      </c>
      <c r="K818" s="6" t="s">
        <v>168</v>
      </c>
      <c r="L818" s="6" t="s">
        <v>61</v>
      </c>
      <c r="M818" s="7" t="str">
        <f t="shared" si="194"/>
        <v>Small Business</v>
      </c>
      <c r="N818" s="6" t="s">
        <v>62</v>
      </c>
      <c r="O818" s="7" t="str">
        <f t="shared" si="195"/>
        <v>East</v>
      </c>
      <c r="P818" s="6" t="s">
        <v>331</v>
      </c>
      <c r="Q818" s="6" t="s">
        <v>332</v>
      </c>
      <c r="R818" s="6" t="s">
        <v>65</v>
      </c>
      <c r="S818" s="7" t="str">
        <f t="shared" si="196"/>
        <v>Furniture</v>
      </c>
      <c r="T818" s="6" t="s">
        <v>85</v>
      </c>
      <c r="U818" s="6" t="s">
        <v>3770</v>
      </c>
      <c r="V818" s="6" t="s">
        <v>76</v>
      </c>
      <c r="W818" s="7" t="str">
        <f t="shared" si="197"/>
        <v>First Class</v>
      </c>
      <c r="X818" s="6">
        <v>1</v>
      </c>
      <c r="Y818" s="6">
        <v>874.3</v>
      </c>
      <c r="Z818" s="6">
        <v>0.1</v>
      </c>
      <c r="AA818" s="6">
        <f t="shared" si="199"/>
        <v>0.1</v>
      </c>
      <c r="AB818" s="6" t="str">
        <f t="shared" si="200"/>
        <v>Valid</v>
      </c>
      <c r="AC818" s="6">
        <v>786.87</v>
      </c>
      <c r="AD818" s="6" t="str">
        <f>IF(OR(AO818="Cancelled",AM818="Failed"),"Exclude from Completed Sales","Include in Completed Sales")</f>
        <v>Include in Completed Sales</v>
      </c>
      <c r="AE818" s="6">
        <f t="shared" si="201"/>
        <v>786.87</v>
      </c>
      <c r="AF818" s="6" t="str">
        <f t="shared" si="202"/>
        <v/>
      </c>
      <c r="AG818" s="6">
        <v>498.5</v>
      </c>
      <c r="AH818" s="6">
        <v>288.37</v>
      </c>
      <c r="AI818" s="6">
        <f t="shared" si="203"/>
        <v>288.37</v>
      </c>
      <c r="AJ818" s="11">
        <f t="shared" si="204"/>
        <v>0.36647730883119195</v>
      </c>
      <c r="AK818" s="11" t="str">
        <f t="shared" si="205"/>
        <v>November</v>
      </c>
      <c r="AL818" s="12">
        <f t="shared" si="206"/>
        <v>2024</v>
      </c>
      <c r="AM818" s="6" t="s">
        <v>54</v>
      </c>
      <c r="AN818" s="6" t="s">
        <v>55</v>
      </c>
      <c r="AO818" s="6" t="str">
        <f t="shared" si="198"/>
        <v>Completed</v>
      </c>
    </row>
    <row r="819" spans="1:41">
      <c r="A819" s="6" t="s">
        <v>3771</v>
      </c>
      <c r="B819" s="7" t="s">
        <v>3772</v>
      </c>
      <c r="C819" s="8">
        <v>45752</v>
      </c>
      <c r="D819" s="7" t="s">
        <v>3773</v>
      </c>
      <c r="E819" s="9">
        <v>45752</v>
      </c>
      <c r="F819" s="9" t="str">
        <f t="shared" si="191"/>
        <v>Valid</v>
      </c>
      <c r="G819" s="10">
        <f t="shared" si="192"/>
        <v>0</v>
      </c>
      <c r="H819" s="10" t="str">
        <f t="shared" si="193"/>
        <v>Valid</v>
      </c>
      <c r="I819" s="6" t="s">
        <v>3774</v>
      </c>
      <c r="J819" s="6" t="s">
        <v>188</v>
      </c>
      <c r="K819" s="6" t="s">
        <v>188</v>
      </c>
      <c r="L819" s="6" t="s">
        <v>46</v>
      </c>
      <c r="M819" s="7" t="str">
        <f t="shared" si="194"/>
        <v>Consumer</v>
      </c>
      <c r="N819" s="6" t="s">
        <v>62</v>
      </c>
      <c r="O819" s="7" t="str">
        <f t="shared" si="195"/>
        <v>East</v>
      </c>
      <c r="P819" s="6" t="s">
        <v>206</v>
      </c>
      <c r="Q819" s="6" t="s">
        <v>207</v>
      </c>
      <c r="R819" s="6" t="s">
        <v>50</v>
      </c>
      <c r="S819" s="7" t="str">
        <f t="shared" si="196"/>
        <v>Office Supplies</v>
      </c>
      <c r="T819" s="6" t="s">
        <v>218</v>
      </c>
      <c r="U819" s="6" t="s">
        <v>3775</v>
      </c>
      <c r="V819" s="6" t="s">
        <v>87</v>
      </c>
      <c r="W819" s="7" t="str">
        <f t="shared" si="197"/>
        <v>Standard Class</v>
      </c>
      <c r="X819" s="6">
        <v>6</v>
      </c>
      <c r="Y819" s="6">
        <v>1829.69</v>
      </c>
      <c r="Z819" s="6">
        <v>0.25</v>
      </c>
      <c r="AA819" s="6">
        <f t="shared" si="199"/>
        <v>0.25</v>
      </c>
      <c r="AB819" s="6" t="str">
        <f t="shared" si="200"/>
        <v>Valid</v>
      </c>
      <c r="AC819" s="6">
        <v>8233.6</v>
      </c>
      <c r="AD819" s="6" t="str">
        <f>IF(OR(AO819="Cancelled",AM819="Failed"),"Exclude from Completed Sales","Include in Completed Sales")</f>
        <v>Include in Completed Sales</v>
      </c>
      <c r="AE819" s="6">
        <f t="shared" si="201"/>
        <v>8233.6049999999996</v>
      </c>
      <c r="AF819" s="6" t="str">
        <f t="shared" si="202"/>
        <v/>
      </c>
      <c r="AG819" s="6">
        <v>4713.79</v>
      </c>
      <c r="AH819" s="6">
        <v>3519.81</v>
      </c>
      <c r="AI819" s="6">
        <f t="shared" si="203"/>
        <v>3519.8149999999996</v>
      </c>
      <c r="AJ819" s="11">
        <f t="shared" si="204"/>
        <v>0.42749378917254349</v>
      </c>
      <c r="AK819" s="11" t="str">
        <f t="shared" si="205"/>
        <v>April</v>
      </c>
      <c r="AL819" s="12">
        <f t="shared" si="206"/>
        <v>2025</v>
      </c>
      <c r="AM819" s="6" t="s">
        <v>54</v>
      </c>
      <c r="AN819" s="6" t="s">
        <v>55</v>
      </c>
      <c r="AO819" s="6" t="str">
        <f t="shared" si="198"/>
        <v>Completed</v>
      </c>
    </row>
    <row r="820" spans="1:41">
      <c r="A820" s="6" t="s">
        <v>3776</v>
      </c>
      <c r="B820" s="7" t="s">
        <v>3777</v>
      </c>
      <c r="C820" s="8">
        <v>45564</v>
      </c>
      <c r="D820" s="7" t="s">
        <v>3258</v>
      </c>
      <c r="E820" s="9">
        <v>45570</v>
      </c>
      <c r="F820" s="9" t="str">
        <f t="shared" si="191"/>
        <v>Valid</v>
      </c>
      <c r="G820" s="10">
        <f t="shared" si="192"/>
        <v>6</v>
      </c>
      <c r="H820" s="10" t="str">
        <f t="shared" si="193"/>
        <v>Valid</v>
      </c>
      <c r="I820" s="6" t="s">
        <v>3778</v>
      </c>
      <c r="J820" s="6" t="s">
        <v>162</v>
      </c>
      <c r="K820" s="6" t="s">
        <v>162</v>
      </c>
      <c r="L820" s="6" t="s">
        <v>61</v>
      </c>
      <c r="M820" s="7" t="str">
        <f t="shared" si="194"/>
        <v>Small Business</v>
      </c>
      <c r="N820" s="6" t="s">
        <v>93</v>
      </c>
      <c r="O820" s="7" t="str">
        <f t="shared" si="195"/>
        <v>West</v>
      </c>
      <c r="P820" s="6" t="s">
        <v>94</v>
      </c>
      <c r="Q820" s="6" t="s">
        <v>95</v>
      </c>
      <c r="R820" s="6" t="s">
        <v>50</v>
      </c>
      <c r="S820" s="7" t="str">
        <f t="shared" si="196"/>
        <v>Office Supplies</v>
      </c>
      <c r="T820" s="6" t="s">
        <v>129</v>
      </c>
      <c r="U820" s="6" t="s">
        <v>3779</v>
      </c>
      <c r="V820" s="6" t="s">
        <v>76</v>
      </c>
      <c r="W820" s="7" t="str">
        <f t="shared" si="197"/>
        <v>First Class</v>
      </c>
      <c r="X820" s="6">
        <v>8</v>
      </c>
      <c r="Y820" s="6">
        <v>1981.04</v>
      </c>
      <c r="Z820" s="6">
        <v>-0.14000000000000001</v>
      </c>
      <c r="AA820" s="6">
        <f t="shared" si="199"/>
        <v>-0.14000000000000001</v>
      </c>
      <c r="AB820" s="6" t="str">
        <f t="shared" si="200"/>
        <v>Invalid - Negative Discount</v>
      </c>
      <c r="AC820" s="6">
        <v>12678.66</v>
      </c>
      <c r="AD820" s="6" t="str">
        <f>IF(OR(AO820="Cancelled",AM820="Failed"),"Exclude from Completed Sales","Include in Completed Sales")</f>
        <v>Include in Completed Sales</v>
      </c>
      <c r="AE820" s="6">
        <f t="shared" si="201"/>
        <v>18067.084800000001</v>
      </c>
      <c r="AF820" s="6" t="str">
        <f t="shared" si="202"/>
        <v/>
      </c>
      <c r="AG820" s="6">
        <v>10088.65</v>
      </c>
      <c r="AH820" s="6">
        <v>2590.0100000000002</v>
      </c>
      <c r="AI820" s="6">
        <f t="shared" si="203"/>
        <v>7978.4348000000009</v>
      </c>
      <c r="AJ820" s="11">
        <f t="shared" si="204"/>
        <v>0.44160056192352631</v>
      </c>
      <c r="AK820" s="11" t="str">
        <f t="shared" si="205"/>
        <v>September</v>
      </c>
      <c r="AL820" s="12">
        <f t="shared" si="206"/>
        <v>2024</v>
      </c>
      <c r="AM820" s="6" t="s">
        <v>54</v>
      </c>
      <c r="AN820" s="6" t="s">
        <v>55</v>
      </c>
      <c r="AO820" s="6" t="str">
        <f t="shared" si="198"/>
        <v>Completed</v>
      </c>
    </row>
    <row r="821" spans="1:41">
      <c r="A821" s="6" t="s">
        <v>3780</v>
      </c>
      <c r="B821" s="7" t="s">
        <v>1614</v>
      </c>
      <c r="C821" s="8">
        <v>45504</v>
      </c>
      <c r="D821" s="7" t="s">
        <v>3781</v>
      </c>
      <c r="E821" s="9">
        <v>45504</v>
      </c>
      <c r="F821" s="9" t="str">
        <f t="shared" si="191"/>
        <v>Valid</v>
      </c>
      <c r="G821" s="10">
        <f t="shared" si="192"/>
        <v>0</v>
      </c>
      <c r="H821" s="10" t="str">
        <f t="shared" si="193"/>
        <v>Valid</v>
      </c>
      <c r="I821" s="6" t="s">
        <v>3782</v>
      </c>
      <c r="J821" s="6" t="s">
        <v>45</v>
      </c>
      <c r="K821" s="6" t="s">
        <v>45</v>
      </c>
      <c r="L821" s="6" t="s">
        <v>135</v>
      </c>
      <c r="M821" s="7" t="str">
        <f t="shared" si="194"/>
        <v>Home Office</v>
      </c>
      <c r="N821" s="6" t="s">
        <v>82</v>
      </c>
      <c r="O821" s="7" t="str">
        <f t="shared" si="195"/>
        <v>South</v>
      </c>
      <c r="P821" s="6" t="s">
        <v>262</v>
      </c>
      <c r="Q821" s="6" t="s">
        <v>263</v>
      </c>
      <c r="R821" s="6" t="s">
        <v>106</v>
      </c>
      <c r="S821" s="7" t="str">
        <f t="shared" si="196"/>
        <v>Technology</v>
      </c>
      <c r="T821" s="6" t="s">
        <v>3783</v>
      </c>
      <c r="U821" s="6" t="s">
        <v>3784</v>
      </c>
      <c r="V821" s="6" t="s">
        <v>87</v>
      </c>
      <c r="W821" s="7" t="str">
        <f t="shared" si="197"/>
        <v>Standard Class</v>
      </c>
      <c r="X821" s="6">
        <v>8</v>
      </c>
      <c r="Y821" s="6">
        <v>4246.01</v>
      </c>
      <c r="Z821" s="6">
        <v>0</v>
      </c>
      <c r="AA821" s="6">
        <f t="shared" si="199"/>
        <v>0</v>
      </c>
      <c r="AB821" s="6" t="str">
        <f t="shared" si="200"/>
        <v>Valid</v>
      </c>
      <c r="AC821" s="6">
        <v>33968.080000000002</v>
      </c>
      <c r="AD821" s="6" t="str">
        <f>IF(OR(AO821="Cancelled",AM821="Failed"),"Exclude from Completed Sales","Include in Completed Sales")</f>
        <v>Exclude from Completed Sales</v>
      </c>
      <c r="AE821" s="6">
        <f t="shared" si="201"/>
        <v>33968.080000000002</v>
      </c>
      <c r="AF821" s="6" t="str">
        <f t="shared" si="202"/>
        <v/>
      </c>
      <c r="AG821" s="6">
        <v>26902.44</v>
      </c>
      <c r="AH821" s="6">
        <v>7065.64</v>
      </c>
      <c r="AI821" s="6">
        <f t="shared" si="203"/>
        <v>7065.6400000000031</v>
      </c>
      <c r="AJ821" s="11">
        <f t="shared" si="204"/>
        <v>0.20800822419165294</v>
      </c>
      <c r="AK821" s="11" t="str">
        <f t="shared" si="205"/>
        <v>July</v>
      </c>
      <c r="AL821" s="12">
        <f t="shared" si="206"/>
        <v>2024</v>
      </c>
      <c r="AM821" s="6" t="s">
        <v>220</v>
      </c>
      <c r="AN821" s="6" t="s">
        <v>98</v>
      </c>
      <c r="AO821" s="6" t="str">
        <f t="shared" si="198"/>
        <v>Cancelled</v>
      </c>
    </row>
    <row r="822" spans="1:41">
      <c r="A822" s="6" t="s">
        <v>3785</v>
      </c>
      <c r="B822" s="7" t="s">
        <v>3786</v>
      </c>
      <c r="C822" s="8">
        <v>45694</v>
      </c>
      <c r="D822" s="7" t="s">
        <v>3787</v>
      </c>
      <c r="E822" s="9">
        <v>45698</v>
      </c>
      <c r="F822" s="9" t="str">
        <f t="shared" si="191"/>
        <v>Valid</v>
      </c>
      <c r="G822" s="10">
        <f t="shared" si="192"/>
        <v>4</v>
      </c>
      <c r="H822" s="10" t="str">
        <f t="shared" si="193"/>
        <v>Valid</v>
      </c>
      <c r="I822" s="6" t="s">
        <v>3788</v>
      </c>
      <c r="J822" s="6" t="s">
        <v>92</v>
      </c>
      <c r="K822" s="6" t="s">
        <v>92</v>
      </c>
      <c r="L822" s="6" t="s">
        <v>135</v>
      </c>
      <c r="M822" s="7" t="str">
        <f t="shared" si="194"/>
        <v>Home Office</v>
      </c>
      <c r="N822" s="6" t="s">
        <v>47</v>
      </c>
      <c r="O822" s="7" t="str">
        <f t="shared" si="195"/>
        <v>North</v>
      </c>
      <c r="P822" s="6" t="s">
        <v>194</v>
      </c>
      <c r="Q822" s="6" t="s">
        <v>195</v>
      </c>
      <c r="R822" s="6" t="s">
        <v>65</v>
      </c>
      <c r="S822" s="7" t="str">
        <f t="shared" si="196"/>
        <v>Furniture</v>
      </c>
      <c r="T822" s="6" t="s">
        <v>224</v>
      </c>
      <c r="U822" s="6" t="s">
        <v>3789</v>
      </c>
      <c r="V822" s="6" t="s">
        <v>87</v>
      </c>
      <c r="W822" s="7" t="str">
        <f t="shared" si="197"/>
        <v>Standard Class</v>
      </c>
      <c r="X822" s="6">
        <v>2</v>
      </c>
      <c r="Y822" s="6">
        <v>319.57</v>
      </c>
      <c r="Z822" s="6">
        <v>0.2</v>
      </c>
      <c r="AA822" s="6">
        <f t="shared" si="199"/>
        <v>0.2</v>
      </c>
      <c r="AB822" s="6" t="str">
        <f t="shared" si="200"/>
        <v>Valid</v>
      </c>
      <c r="AC822" s="6">
        <v>511.31</v>
      </c>
      <c r="AD822" s="6" t="str">
        <f>IF(OR(AO822="Cancelled",AM822="Failed"),"Exclude from Completed Sales","Include in Completed Sales")</f>
        <v>Include in Completed Sales</v>
      </c>
      <c r="AE822" s="6">
        <f t="shared" si="201"/>
        <v>511.31200000000001</v>
      </c>
      <c r="AF822" s="6" t="str">
        <f t="shared" si="202"/>
        <v/>
      </c>
      <c r="AG822" s="6">
        <v>436.43</v>
      </c>
      <c r="AH822" s="6">
        <v>74.88</v>
      </c>
      <c r="AI822" s="6">
        <f t="shared" si="203"/>
        <v>74.882000000000005</v>
      </c>
      <c r="AJ822" s="11">
        <f t="shared" si="204"/>
        <v>0.14645069937728825</v>
      </c>
      <c r="AK822" s="11" t="str">
        <f t="shared" si="205"/>
        <v>February</v>
      </c>
      <c r="AL822" s="12">
        <f t="shared" si="206"/>
        <v>2025</v>
      </c>
      <c r="AM822" s="6" t="s">
        <v>54</v>
      </c>
      <c r="AN822" s="6" t="s">
        <v>55</v>
      </c>
      <c r="AO822" s="6" t="str">
        <f t="shared" si="198"/>
        <v>Completed</v>
      </c>
    </row>
    <row r="823" spans="1:41">
      <c r="A823" s="6" t="s">
        <v>3790</v>
      </c>
      <c r="B823" s="7" t="s">
        <v>3791</v>
      </c>
      <c r="C823" s="8">
        <v>45476</v>
      </c>
      <c r="D823" s="7" t="s">
        <v>3792</v>
      </c>
      <c r="E823" s="9">
        <v>45479</v>
      </c>
      <c r="F823" s="9" t="str">
        <f t="shared" si="191"/>
        <v>Valid</v>
      </c>
      <c r="G823" s="10">
        <f t="shared" si="192"/>
        <v>3</v>
      </c>
      <c r="H823" s="10" t="str">
        <f t="shared" si="193"/>
        <v>Valid</v>
      </c>
      <c r="I823" s="6" t="s">
        <v>3793</v>
      </c>
      <c r="J823" s="6" t="s">
        <v>182</v>
      </c>
      <c r="K823" s="6" t="s">
        <v>182</v>
      </c>
      <c r="L823" s="6" t="s">
        <v>128</v>
      </c>
      <c r="M823" s="7" t="str">
        <f t="shared" si="194"/>
        <v>Corporate</v>
      </c>
      <c r="N823" s="6" t="s">
        <v>82</v>
      </c>
      <c r="O823" s="7" t="str">
        <f t="shared" si="195"/>
        <v>South</v>
      </c>
      <c r="P823" s="6" t="s">
        <v>249</v>
      </c>
      <c r="Q823" s="6" t="s">
        <v>250</v>
      </c>
      <c r="R823" s="6" t="s">
        <v>106</v>
      </c>
      <c r="S823" s="7" t="str">
        <f t="shared" si="196"/>
        <v>Technology</v>
      </c>
      <c r="T823" s="6" t="s">
        <v>107</v>
      </c>
      <c r="U823" s="6" t="s">
        <v>3794</v>
      </c>
      <c r="V823" s="6" t="s">
        <v>76</v>
      </c>
      <c r="W823" s="7" t="str">
        <f t="shared" si="197"/>
        <v>First Class</v>
      </c>
      <c r="X823" s="6">
        <v>7</v>
      </c>
      <c r="Y823" s="6">
        <v>1942.49</v>
      </c>
      <c r="Z823" s="6">
        <v>0.2</v>
      </c>
      <c r="AA823" s="6">
        <f t="shared" si="199"/>
        <v>0.2</v>
      </c>
      <c r="AB823" s="6" t="str">
        <f t="shared" si="200"/>
        <v>Valid</v>
      </c>
      <c r="AC823" s="6">
        <v>10877.94</v>
      </c>
      <c r="AD823" s="6" t="str">
        <f>IF(OR(AO823="Cancelled",AM823="Failed"),"Exclude from Completed Sales","Include in Completed Sales")</f>
        <v>Include in Completed Sales</v>
      </c>
      <c r="AE823" s="6">
        <f t="shared" si="201"/>
        <v>10877.944000000001</v>
      </c>
      <c r="AF823" s="6" t="str">
        <f t="shared" si="202"/>
        <v/>
      </c>
      <c r="AG823" s="6">
        <v>9110.14</v>
      </c>
      <c r="AH823" s="6">
        <v>1767.8</v>
      </c>
      <c r="AI823" s="6">
        <f t="shared" si="203"/>
        <v>1767.8040000000019</v>
      </c>
      <c r="AJ823" s="11">
        <f t="shared" si="204"/>
        <v>0.16251269541376584</v>
      </c>
      <c r="AK823" s="11" t="str">
        <f t="shared" si="205"/>
        <v>July</v>
      </c>
      <c r="AL823" s="12">
        <f t="shared" si="206"/>
        <v>2024</v>
      </c>
      <c r="AM823" s="6" t="s">
        <v>54</v>
      </c>
      <c r="AN823" s="6" t="s">
        <v>55</v>
      </c>
      <c r="AO823" s="6" t="str">
        <f t="shared" si="198"/>
        <v>Completed</v>
      </c>
    </row>
    <row r="824" spans="1:41">
      <c r="A824" s="6" t="s">
        <v>3795</v>
      </c>
      <c r="B824" s="7" t="s">
        <v>3796</v>
      </c>
      <c r="C824" s="8">
        <v>45577</v>
      </c>
      <c r="D824" s="7" t="s">
        <v>3797</v>
      </c>
      <c r="E824" s="9">
        <v>45573</v>
      </c>
      <c r="F824" s="9" t="str">
        <f t="shared" si="191"/>
        <v>Invalid Shipping Record</v>
      </c>
      <c r="G824" s="10">
        <f t="shared" si="192"/>
        <v>-4</v>
      </c>
      <c r="H824" s="10" t="str">
        <f t="shared" si="193"/>
        <v>Invalid Shipping Record</v>
      </c>
      <c r="I824" s="6" t="s">
        <v>3798</v>
      </c>
      <c r="J824" s="6" t="s">
        <v>60</v>
      </c>
      <c r="K824" s="6" t="s">
        <v>60</v>
      </c>
      <c r="L824" s="6" t="s">
        <v>128</v>
      </c>
      <c r="M824" s="7" t="str">
        <f t="shared" si="194"/>
        <v>Corporate</v>
      </c>
      <c r="N824" s="6" t="s">
        <v>62</v>
      </c>
      <c r="O824" s="7" t="str">
        <f t="shared" si="195"/>
        <v>East</v>
      </c>
      <c r="P824" s="6" t="s">
        <v>236</v>
      </c>
      <c r="Q824" s="6" t="s">
        <v>237</v>
      </c>
      <c r="R824" s="6" t="s">
        <v>65</v>
      </c>
      <c r="S824" s="7" t="str">
        <f t="shared" si="196"/>
        <v>Furniture</v>
      </c>
      <c r="T824" s="6" t="s">
        <v>85</v>
      </c>
      <c r="U824" s="6" t="s">
        <v>3799</v>
      </c>
      <c r="V824" s="6" t="s">
        <v>53</v>
      </c>
      <c r="W824" s="7" t="str">
        <f t="shared" si="197"/>
        <v>Second Class</v>
      </c>
      <c r="X824" s="6">
        <v>4</v>
      </c>
      <c r="Y824" s="6">
        <v>3202.04</v>
      </c>
      <c r="Z824" s="6">
        <v>0.2</v>
      </c>
      <c r="AA824" s="6">
        <f t="shared" si="199"/>
        <v>0.2</v>
      </c>
      <c r="AB824" s="6" t="str">
        <f t="shared" si="200"/>
        <v>Valid</v>
      </c>
      <c r="AC824" s="6">
        <v>10246.530000000001</v>
      </c>
      <c r="AD824" s="6" t="str">
        <f>IF(OR(AO824="Cancelled",AM824="Failed"),"Exclude from Completed Sales","Include in Completed Sales")</f>
        <v>Include in Completed Sales</v>
      </c>
      <c r="AE824" s="6">
        <f t="shared" si="201"/>
        <v>10246.528</v>
      </c>
      <c r="AF824" s="6" t="str">
        <f t="shared" si="202"/>
        <v/>
      </c>
      <c r="AG824" s="6">
        <v>8634.42</v>
      </c>
      <c r="AH824" s="6">
        <v>1612.11</v>
      </c>
      <c r="AI824" s="6">
        <f t="shared" si="203"/>
        <v>1612.1080000000002</v>
      </c>
      <c r="AJ824" s="11">
        <f t="shared" si="204"/>
        <v>0.15733212264681268</v>
      </c>
      <c r="AK824" s="11" t="str">
        <f t="shared" si="205"/>
        <v>October</v>
      </c>
      <c r="AL824" s="12">
        <f t="shared" si="206"/>
        <v>2024</v>
      </c>
      <c r="AM824" s="6" t="s">
        <v>157</v>
      </c>
      <c r="AN824" s="6" t="s">
        <v>145</v>
      </c>
      <c r="AO824" s="6" t="str">
        <f t="shared" si="198"/>
        <v>Returned</v>
      </c>
    </row>
    <row r="825" spans="1:41">
      <c r="A825" s="6" t="s">
        <v>3800</v>
      </c>
      <c r="B825" s="7" t="s">
        <v>3801</v>
      </c>
      <c r="C825" s="8">
        <v>45663</v>
      </c>
      <c r="D825" s="7" t="s">
        <v>2198</v>
      </c>
      <c r="E825" s="9">
        <v>45669</v>
      </c>
      <c r="F825" s="9" t="str">
        <f t="shared" si="191"/>
        <v>Valid</v>
      </c>
      <c r="G825" s="10">
        <f t="shared" si="192"/>
        <v>6</v>
      </c>
      <c r="H825" s="10" t="str">
        <f t="shared" si="193"/>
        <v>Valid</v>
      </c>
      <c r="I825" s="6" t="s">
        <v>3802</v>
      </c>
      <c r="J825" s="6" t="s">
        <v>60</v>
      </c>
      <c r="K825" s="6" t="s">
        <v>60</v>
      </c>
      <c r="L825" s="6" t="s">
        <v>135</v>
      </c>
      <c r="M825" s="7" t="str">
        <f t="shared" si="194"/>
        <v>Home Office</v>
      </c>
      <c r="N825" s="6" t="s">
        <v>93</v>
      </c>
      <c r="O825" s="7" t="str">
        <f t="shared" si="195"/>
        <v>West</v>
      </c>
      <c r="P825" s="6" t="s">
        <v>269</v>
      </c>
      <c r="Q825" s="6" t="s">
        <v>270</v>
      </c>
      <c r="R825" s="6" t="s">
        <v>50</v>
      </c>
      <c r="S825" s="7" t="str">
        <f t="shared" si="196"/>
        <v>Office Supplies</v>
      </c>
      <c r="T825" s="6" t="s">
        <v>51</v>
      </c>
      <c r="U825" s="6" t="s">
        <v>3803</v>
      </c>
      <c r="V825" s="6" t="s">
        <v>68</v>
      </c>
      <c r="W825" s="7" t="str">
        <f t="shared" si="197"/>
        <v>Same Day</v>
      </c>
      <c r="X825" s="6">
        <v>3</v>
      </c>
      <c r="Y825" s="6">
        <v>668.33</v>
      </c>
      <c r="Z825" s="6">
        <v>0.15</v>
      </c>
      <c r="AA825" s="6">
        <f t="shared" si="199"/>
        <v>0.15</v>
      </c>
      <c r="AB825" s="6" t="str">
        <f t="shared" si="200"/>
        <v>Valid</v>
      </c>
      <c r="AC825" s="6">
        <v>1704.24</v>
      </c>
      <c r="AD825" s="6" t="str">
        <f>IF(OR(AO825="Cancelled",AM825="Failed"),"Exclude from Completed Sales","Include in Completed Sales")</f>
        <v>Include in Completed Sales</v>
      </c>
      <c r="AE825" s="6">
        <f t="shared" si="201"/>
        <v>1704.2415000000001</v>
      </c>
      <c r="AF825" s="6" t="str">
        <f t="shared" si="202"/>
        <v/>
      </c>
      <c r="AG825" s="6">
        <v>957.55</v>
      </c>
      <c r="AH825" s="6">
        <v>746.69</v>
      </c>
      <c r="AI825" s="6">
        <f t="shared" si="203"/>
        <v>746.69150000000013</v>
      </c>
      <c r="AJ825" s="11">
        <f t="shared" si="204"/>
        <v>0.43813714194848563</v>
      </c>
      <c r="AK825" s="11" t="str">
        <f t="shared" si="205"/>
        <v>January</v>
      </c>
      <c r="AL825" s="12">
        <f t="shared" si="206"/>
        <v>2025</v>
      </c>
      <c r="AM825" s="6" t="s">
        <v>54</v>
      </c>
      <c r="AN825" s="6" t="s">
        <v>55</v>
      </c>
      <c r="AO825" s="6" t="str">
        <f t="shared" si="198"/>
        <v>Completed</v>
      </c>
    </row>
    <row r="826" spans="1:41">
      <c r="A826" s="6" t="s">
        <v>3804</v>
      </c>
      <c r="B826" s="7" t="s">
        <v>3805</v>
      </c>
      <c r="C826" s="8">
        <v>45737</v>
      </c>
      <c r="D826" s="7" t="s">
        <v>2135</v>
      </c>
      <c r="E826" s="9">
        <v>45738</v>
      </c>
      <c r="F826" s="9" t="str">
        <f t="shared" si="191"/>
        <v>Valid</v>
      </c>
      <c r="G826" s="10">
        <f t="shared" si="192"/>
        <v>1</v>
      </c>
      <c r="H826" s="10" t="str">
        <f t="shared" si="193"/>
        <v>Valid</v>
      </c>
      <c r="I826" s="6" t="s">
        <v>3806</v>
      </c>
      <c r="J826" s="6" t="s">
        <v>162</v>
      </c>
      <c r="K826" s="6" t="s">
        <v>162</v>
      </c>
      <c r="L826" s="6" t="s">
        <v>46</v>
      </c>
      <c r="M826" s="7" t="str">
        <f t="shared" si="194"/>
        <v>Consumer</v>
      </c>
      <c r="N826" s="6" t="s">
        <v>93</v>
      </c>
      <c r="O826" s="7" t="str">
        <f t="shared" si="195"/>
        <v>West</v>
      </c>
      <c r="P826" s="6" t="s">
        <v>269</v>
      </c>
      <c r="Q826" s="6" t="s">
        <v>270</v>
      </c>
      <c r="R826" s="6" t="s">
        <v>50</v>
      </c>
      <c r="S826" s="7" t="str">
        <f t="shared" si="196"/>
        <v>Office Supplies</v>
      </c>
      <c r="T826" s="6" t="s">
        <v>51</v>
      </c>
      <c r="U826" s="6" t="s">
        <v>3807</v>
      </c>
      <c r="V826" s="6" t="s">
        <v>76</v>
      </c>
      <c r="W826" s="7" t="str">
        <f t="shared" si="197"/>
        <v>First Class</v>
      </c>
      <c r="X826" s="6">
        <v>8</v>
      </c>
      <c r="Y826" s="6">
        <v>4436.74</v>
      </c>
      <c r="Z826" s="6">
        <v>0.05</v>
      </c>
      <c r="AA826" s="6">
        <f t="shared" si="199"/>
        <v>0.05</v>
      </c>
      <c r="AB826" s="6" t="str">
        <f t="shared" si="200"/>
        <v>Valid</v>
      </c>
      <c r="AC826" s="6">
        <v>33719.22</v>
      </c>
      <c r="AD826" s="6" t="str">
        <f>IF(OR(AO826="Cancelled",AM826="Failed"),"Exclude from Completed Sales","Include in Completed Sales")</f>
        <v>Include in Completed Sales</v>
      </c>
      <c r="AE826" s="6">
        <f t="shared" si="201"/>
        <v>33719.223999999995</v>
      </c>
      <c r="AF826" s="6" t="str">
        <f t="shared" si="202"/>
        <v/>
      </c>
      <c r="AG826" s="6">
        <v>28924.43</v>
      </c>
      <c r="AH826" s="6">
        <v>4794.79</v>
      </c>
      <c r="AI826" s="6">
        <f t="shared" si="203"/>
        <v>4794.7939999999944</v>
      </c>
      <c r="AJ826" s="11">
        <f t="shared" si="204"/>
        <v>0.14219763776295669</v>
      </c>
      <c r="AK826" s="11" t="str">
        <f t="shared" si="205"/>
        <v>March</v>
      </c>
      <c r="AL826" s="12">
        <f t="shared" si="206"/>
        <v>2025</v>
      </c>
      <c r="AM826" s="6" t="s">
        <v>54</v>
      </c>
      <c r="AN826" s="6" t="s">
        <v>55</v>
      </c>
      <c r="AO826" s="6" t="str">
        <f t="shared" si="198"/>
        <v>Completed</v>
      </c>
    </row>
    <row r="827" spans="1:41">
      <c r="A827" s="6" t="s">
        <v>3808</v>
      </c>
      <c r="B827" s="7" t="s">
        <v>3809</v>
      </c>
      <c r="C827" s="8">
        <v>45763</v>
      </c>
      <c r="D827" s="7" t="s">
        <v>3810</v>
      </c>
      <c r="E827" s="9">
        <v>45764</v>
      </c>
      <c r="F827" s="9" t="str">
        <f t="shared" si="191"/>
        <v>Valid</v>
      </c>
      <c r="G827" s="10">
        <f t="shared" si="192"/>
        <v>1</v>
      </c>
      <c r="H827" s="10" t="str">
        <f t="shared" si="193"/>
        <v>Valid</v>
      </c>
      <c r="I827" s="6" t="s">
        <v>3811</v>
      </c>
      <c r="J827" s="6" t="s">
        <v>103</v>
      </c>
      <c r="K827" s="6" t="s">
        <v>103</v>
      </c>
      <c r="L827" s="6" t="s">
        <v>61</v>
      </c>
      <c r="M827" s="7" t="str">
        <f t="shared" si="194"/>
        <v>Small Business</v>
      </c>
      <c r="N827" s="6" t="s">
        <v>47</v>
      </c>
      <c r="O827" s="7" t="str">
        <f t="shared" si="195"/>
        <v>North</v>
      </c>
      <c r="P827" s="6" t="s">
        <v>194</v>
      </c>
      <c r="Q827" s="6" t="s">
        <v>195</v>
      </c>
      <c r="R827" s="6" t="s">
        <v>106</v>
      </c>
      <c r="S827" s="7" t="str">
        <f t="shared" si="196"/>
        <v>Technology</v>
      </c>
      <c r="T827" s="6" t="s">
        <v>402</v>
      </c>
      <c r="U827" s="6" t="s">
        <v>3812</v>
      </c>
      <c r="V827" s="6" t="s">
        <v>76</v>
      </c>
      <c r="W827" s="7" t="str">
        <f t="shared" si="197"/>
        <v>First Class</v>
      </c>
      <c r="X827" s="6">
        <v>1</v>
      </c>
      <c r="Y827" s="6">
        <v>2720.17</v>
      </c>
      <c r="Z827" s="6">
        <v>0</v>
      </c>
      <c r="AA827" s="6">
        <f t="shared" si="199"/>
        <v>0</v>
      </c>
      <c r="AB827" s="6" t="str">
        <f t="shared" si="200"/>
        <v>Valid</v>
      </c>
      <c r="AC827" s="6">
        <v>2720.17</v>
      </c>
      <c r="AD827" s="6" t="str">
        <f>IF(OR(AO827="Cancelled",AM827="Failed"),"Exclude from Completed Sales","Include in Completed Sales")</f>
        <v>Include in Completed Sales</v>
      </c>
      <c r="AE827" s="6">
        <f t="shared" si="201"/>
        <v>2720.17</v>
      </c>
      <c r="AF827" s="6" t="str">
        <f t="shared" si="202"/>
        <v/>
      </c>
      <c r="AG827" s="6">
        <v>1834.23</v>
      </c>
      <c r="AH827" s="6">
        <v>885.94</v>
      </c>
      <c r="AI827" s="6">
        <f t="shared" si="203"/>
        <v>885.94</v>
      </c>
      <c r="AJ827" s="11">
        <f t="shared" si="204"/>
        <v>0.3256928794891496</v>
      </c>
      <c r="AK827" s="11" t="str">
        <f t="shared" si="205"/>
        <v>April</v>
      </c>
      <c r="AL827" s="12">
        <f t="shared" si="206"/>
        <v>2025</v>
      </c>
      <c r="AM827" s="6" t="s">
        <v>54</v>
      </c>
      <c r="AN827" s="6" t="s">
        <v>55</v>
      </c>
      <c r="AO827" s="6" t="str">
        <f t="shared" si="198"/>
        <v>Completed</v>
      </c>
    </row>
    <row r="828" spans="1:41">
      <c r="A828" s="6" t="s">
        <v>3813</v>
      </c>
      <c r="B828" s="7" t="s">
        <v>3123</v>
      </c>
      <c r="C828" s="8">
        <v>45879</v>
      </c>
      <c r="D828" s="7" t="s">
        <v>3814</v>
      </c>
      <c r="E828" s="9">
        <v>45883</v>
      </c>
      <c r="F828" s="9" t="str">
        <f t="shared" si="191"/>
        <v>Valid</v>
      </c>
      <c r="G828" s="10">
        <f t="shared" si="192"/>
        <v>4</v>
      </c>
      <c r="H828" s="10" t="str">
        <f t="shared" si="193"/>
        <v>Valid</v>
      </c>
      <c r="I828" s="6" t="s">
        <v>3815</v>
      </c>
      <c r="J828" s="6" t="s">
        <v>127</v>
      </c>
      <c r="K828" s="6" t="s">
        <v>127</v>
      </c>
      <c r="L828" s="6" t="s">
        <v>46</v>
      </c>
      <c r="M828" s="7" t="str">
        <f t="shared" si="194"/>
        <v>Consumer</v>
      </c>
      <c r="N828" s="6" t="s">
        <v>93</v>
      </c>
      <c r="O828" s="7" t="str">
        <f t="shared" si="195"/>
        <v>West</v>
      </c>
      <c r="P828" s="6" t="s">
        <v>48</v>
      </c>
      <c r="Q828" s="6" t="s">
        <v>155</v>
      </c>
      <c r="R828" s="6" t="s">
        <v>106</v>
      </c>
      <c r="S828" s="7" t="str">
        <f t="shared" si="196"/>
        <v>Technology</v>
      </c>
      <c r="T828" s="6" t="s">
        <v>107</v>
      </c>
      <c r="U828" s="6" t="s">
        <v>3816</v>
      </c>
      <c r="V828" s="6" t="s">
        <v>87</v>
      </c>
      <c r="W828" s="7" t="str">
        <f t="shared" si="197"/>
        <v>Standard Class</v>
      </c>
      <c r="X828" s="6">
        <v>5</v>
      </c>
      <c r="Y828" s="6">
        <v>2190.14</v>
      </c>
      <c r="Z828" s="6">
        <v>0.25</v>
      </c>
      <c r="AA828" s="6">
        <f t="shared" si="199"/>
        <v>0.25</v>
      </c>
      <c r="AB828" s="6" t="str">
        <f t="shared" si="200"/>
        <v>Valid</v>
      </c>
      <c r="AC828" s="6">
        <v>8213.02</v>
      </c>
      <c r="AD828" s="6" t="str">
        <f>IF(OR(AO828="Cancelled",AM828="Failed"),"Exclude from Completed Sales","Include in Completed Sales")</f>
        <v>Include in Completed Sales</v>
      </c>
      <c r="AE828" s="6">
        <f t="shared" si="201"/>
        <v>8213.0249999999996</v>
      </c>
      <c r="AF828" s="6" t="str">
        <f t="shared" si="202"/>
        <v/>
      </c>
      <c r="AG828" s="6">
        <v>5569.3</v>
      </c>
      <c r="AH828" s="6">
        <v>2643.72</v>
      </c>
      <c r="AI828" s="6">
        <f t="shared" si="203"/>
        <v>2643.7249999999995</v>
      </c>
      <c r="AJ828" s="11">
        <f t="shared" si="204"/>
        <v>0.32189418636860345</v>
      </c>
      <c r="AK828" s="11" t="str">
        <f t="shared" si="205"/>
        <v>August</v>
      </c>
      <c r="AL828" s="12">
        <f t="shared" si="206"/>
        <v>2025</v>
      </c>
      <c r="AM828" s="6" t="s">
        <v>54</v>
      </c>
      <c r="AN828" s="6" t="s">
        <v>55</v>
      </c>
      <c r="AO828" s="6" t="str">
        <f t="shared" si="198"/>
        <v>Completed</v>
      </c>
    </row>
    <row r="829" spans="1:41">
      <c r="A829" s="6" t="s">
        <v>3817</v>
      </c>
      <c r="B829" s="7" t="s">
        <v>3818</v>
      </c>
      <c r="C829" s="8">
        <v>45620</v>
      </c>
      <c r="D829" s="7" t="s">
        <v>1770</v>
      </c>
      <c r="E829" s="9">
        <v>45627</v>
      </c>
      <c r="F829" s="9" t="str">
        <f t="shared" si="191"/>
        <v>Valid</v>
      </c>
      <c r="G829" s="10">
        <f t="shared" si="192"/>
        <v>7</v>
      </c>
      <c r="H829" s="10" t="str">
        <f t="shared" si="193"/>
        <v>Valid</v>
      </c>
      <c r="I829" s="6" t="s">
        <v>3819</v>
      </c>
      <c r="J829" s="6" t="s">
        <v>162</v>
      </c>
      <c r="K829" s="6" t="s">
        <v>162</v>
      </c>
      <c r="L829" s="6" t="s">
        <v>135</v>
      </c>
      <c r="M829" s="7" t="str">
        <f t="shared" si="194"/>
        <v>Home Office</v>
      </c>
      <c r="N829" s="6" t="s">
        <v>82</v>
      </c>
      <c r="O829" s="7" t="str">
        <f t="shared" si="195"/>
        <v>South</v>
      </c>
      <c r="P829" s="6" t="s">
        <v>359</v>
      </c>
      <c r="Q829" s="6" t="s">
        <v>360</v>
      </c>
      <c r="R829" s="6" t="s">
        <v>50</v>
      </c>
      <c r="S829" s="7" t="str">
        <f t="shared" si="196"/>
        <v>Office Supplies</v>
      </c>
      <c r="T829" s="6" t="s">
        <v>51</v>
      </c>
      <c r="U829" s="6" t="s">
        <v>3820</v>
      </c>
      <c r="V829" s="6" t="s">
        <v>68</v>
      </c>
      <c r="W829" s="7" t="str">
        <f t="shared" si="197"/>
        <v>Same Day</v>
      </c>
      <c r="X829" s="6">
        <v>1</v>
      </c>
      <c r="Y829" s="6">
        <v>844.89</v>
      </c>
      <c r="Z829" s="6">
        <v>0.25</v>
      </c>
      <c r="AA829" s="6">
        <f t="shared" si="199"/>
        <v>0.25</v>
      </c>
      <c r="AB829" s="6" t="str">
        <f t="shared" si="200"/>
        <v>Valid</v>
      </c>
      <c r="AC829" s="6">
        <v>633.66999999999996</v>
      </c>
      <c r="AD829" s="6" t="str">
        <f>IF(OR(AO829="Cancelled",AM829="Failed"),"Exclude from Completed Sales","Include in Completed Sales")</f>
        <v>Exclude from Completed Sales</v>
      </c>
      <c r="AE829" s="6">
        <f t="shared" si="201"/>
        <v>633.66750000000002</v>
      </c>
      <c r="AF829" s="6" t="str">
        <f t="shared" si="202"/>
        <v/>
      </c>
      <c r="AG829" s="6">
        <v>520.47</v>
      </c>
      <c r="AH829" s="6">
        <v>113.2</v>
      </c>
      <c r="AI829" s="6">
        <f t="shared" si="203"/>
        <v>113.19749999999999</v>
      </c>
      <c r="AJ829" s="11">
        <f t="shared" si="204"/>
        <v>0.17863863934950111</v>
      </c>
      <c r="AK829" s="11" t="str">
        <f t="shared" si="205"/>
        <v>November</v>
      </c>
      <c r="AL829" s="12">
        <f t="shared" si="206"/>
        <v>2024</v>
      </c>
      <c r="AM829" s="6" t="s">
        <v>54</v>
      </c>
      <c r="AN829" s="6" t="s">
        <v>98</v>
      </c>
      <c r="AO829" s="6" t="str">
        <f t="shared" si="198"/>
        <v>Cancelled</v>
      </c>
    </row>
    <row r="830" spans="1:41">
      <c r="A830" s="6" t="s">
        <v>3821</v>
      </c>
      <c r="B830" s="7" t="s">
        <v>3822</v>
      </c>
      <c r="C830" s="8">
        <v>45940</v>
      </c>
      <c r="D830" s="7" t="s">
        <v>3823</v>
      </c>
      <c r="E830" s="9">
        <v>45941</v>
      </c>
      <c r="F830" s="9" t="str">
        <f t="shared" si="191"/>
        <v>Valid</v>
      </c>
      <c r="G830" s="10">
        <f t="shared" si="192"/>
        <v>1</v>
      </c>
      <c r="H830" s="10" t="str">
        <f t="shared" si="193"/>
        <v>Valid</v>
      </c>
      <c r="I830" s="6" t="s">
        <v>3824</v>
      </c>
      <c r="J830" s="6" t="s">
        <v>45</v>
      </c>
      <c r="K830" s="6" t="s">
        <v>45</v>
      </c>
      <c r="L830" s="6" t="s">
        <v>128</v>
      </c>
      <c r="M830" s="7" t="str">
        <f t="shared" si="194"/>
        <v>Corporate</v>
      </c>
      <c r="N830" s="6" t="s">
        <v>62</v>
      </c>
      <c r="O830" s="7" t="str">
        <f t="shared" si="195"/>
        <v>East</v>
      </c>
      <c r="P830" s="6" t="s">
        <v>63</v>
      </c>
      <c r="Q830" s="6" t="s">
        <v>64</v>
      </c>
      <c r="R830" s="6" t="s">
        <v>65</v>
      </c>
      <c r="S830" s="7" t="str">
        <f t="shared" si="196"/>
        <v>Furniture</v>
      </c>
      <c r="T830" s="6" t="s">
        <v>96</v>
      </c>
      <c r="U830" s="6" t="s">
        <v>3825</v>
      </c>
      <c r="V830" s="6" t="s">
        <v>53</v>
      </c>
      <c r="W830" s="7" t="str">
        <f t="shared" si="197"/>
        <v>Second Class</v>
      </c>
      <c r="X830" s="6">
        <v>7</v>
      </c>
      <c r="Y830" s="6">
        <v>3791.96</v>
      </c>
      <c r="Z830" s="6">
        <v>0.05</v>
      </c>
      <c r="AA830" s="6">
        <f t="shared" si="199"/>
        <v>0.05</v>
      </c>
      <c r="AB830" s="6" t="str">
        <f t="shared" si="200"/>
        <v>Valid</v>
      </c>
      <c r="AC830" s="6">
        <v>25216.53</v>
      </c>
      <c r="AD830" s="6" t="str">
        <f>IF(OR(AO830="Cancelled",AM830="Failed"),"Exclude from Completed Sales","Include in Completed Sales")</f>
        <v>Exclude from Completed Sales</v>
      </c>
      <c r="AE830" s="6">
        <f t="shared" si="201"/>
        <v>25216.534</v>
      </c>
      <c r="AF830" s="6" t="str">
        <f t="shared" si="202"/>
        <v/>
      </c>
      <c r="AG830" s="6">
        <v>14216.94</v>
      </c>
      <c r="AH830" s="6">
        <v>10999.59</v>
      </c>
      <c r="AI830" s="6">
        <f t="shared" si="203"/>
        <v>10999.593999999999</v>
      </c>
      <c r="AJ830" s="11">
        <f t="shared" si="204"/>
        <v>0.4362056260388521</v>
      </c>
      <c r="AK830" s="11" t="str">
        <f t="shared" si="205"/>
        <v>October</v>
      </c>
      <c r="AL830" s="12">
        <f t="shared" si="206"/>
        <v>2025</v>
      </c>
      <c r="AM830" s="6" t="s">
        <v>220</v>
      </c>
      <c r="AN830" s="6" t="s">
        <v>98</v>
      </c>
      <c r="AO830" s="6" t="str">
        <f t="shared" si="198"/>
        <v>Cancelled</v>
      </c>
    </row>
    <row r="831" spans="1:41">
      <c r="A831" s="6" t="s">
        <v>3826</v>
      </c>
      <c r="B831" s="7" t="s">
        <v>3827</v>
      </c>
      <c r="C831" s="8">
        <v>45348</v>
      </c>
      <c r="D831" s="7" t="s">
        <v>1494</v>
      </c>
      <c r="E831" s="9">
        <v>45350</v>
      </c>
      <c r="F831" s="9" t="str">
        <f t="shared" si="191"/>
        <v>Valid</v>
      </c>
      <c r="G831" s="10">
        <f t="shared" si="192"/>
        <v>2</v>
      </c>
      <c r="H831" s="10" t="str">
        <f t="shared" si="193"/>
        <v>Valid</v>
      </c>
      <c r="I831" s="6" t="s">
        <v>3828</v>
      </c>
      <c r="J831" s="6" t="s">
        <v>127</v>
      </c>
      <c r="K831" s="6" t="s">
        <v>127</v>
      </c>
      <c r="L831" s="6" t="s">
        <v>61</v>
      </c>
      <c r="M831" s="7" t="str">
        <f t="shared" si="194"/>
        <v>Small Business</v>
      </c>
      <c r="N831" s="6" t="s">
        <v>93</v>
      </c>
      <c r="O831" s="7" t="str">
        <f t="shared" si="195"/>
        <v>West</v>
      </c>
      <c r="P831" s="6" t="s">
        <v>269</v>
      </c>
      <c r="Q831" s="6" t="s">
        <v>270</v>
      </c>
      <c r="R831" s="6" t="s">
        <v>65</v>
      </c>
      <c r="S831" s="7" t="str">
        <f t="shared" si="196"/>
        <v>Furniture</v>
      </c>
      <c r="T831" s="6" t="s">
        <v>85</v>
      </c>
      <c r="U831" s="6" t="s">
        <v>3829</v>
      </c>
      <c r="V831" s="6" t="s">
        <v>53</v>
      </c>
      <c r="W831" s="7" t="str">
        <f t="shared" si="197"/>
        <v>Second Class</v>
      </c>
      <c r="X831" s="6">
        <v>7</v>
      </c>
      <c r="Y831" s="6">
        <v>1035.1400000000001</v>
      </c>
      <c r="Z831" s="6">
        <v>0.1</v>
      </c>
      <c r="AA831" s="6">
        <f t="shared" si="199"/>
        <v>0.1</v>
      </c>
      <c r="AB831" s="6" t="str">
        <f t="shared" si="200"/>
        <v>Valid</v>
      </c>
      <c r="AC831" s="6">
        <v>6521.38</v>
      </c>
      <c r="AD831" s="6" t="str">
        <f>IF(OR(AO831="Cancelled",AM831="Failed"),"Exclude from Completed Sales","Include in Completed Sales")</f>
        <v>Include in Completed Sales</v>
      </c>
      <c r="AE831" s="6">
        <f t="shared" si="201"/>
        <v>6521.3820000000005</v>
      </c>
      <c r="AF831" s="6" t="str">
        <f t="shared" si="202"/>
        <v/>
      </c>
      <c r="AG831" s="6">
        <v>4511.1000000000004</v>
      </c>
      <c r="AH831" s="6">
        <v>2010.28</v>
      </c>
      <c r="AI831" s="6">
        <f t="shared" si="203"/>
        <v>2010.2820000000002</v>
      </c>
      <c r="AJ831" s="11">
        <f t="shared" si="204"/>
        <v>0.30826012032418892</v>
      </c>
      <c r="AK831" s="11" t="str">
        <f t="shared" si="205"/>
        <v>February</v>
      </c>
      <c r="AL831" s="12">
        <f t="shared" si="206"/>
        <v>2024</v>
      </c>
      <c r="AM831" s="6" t="s">
        <v>54</v>
      </c>
      <c r="AN831" s="6" t="s">
        <v>55</v>
      </c>
      <c r="AO831" s="6" t="str">
        <f t="shared" si="198"/>
        <v>Completed</v>
      </c>
    </row>
    <row r="832" spans="1:41">
      <c r="A832" s="6" t="s">
        <v>3830</v>
      </c>
      <c r="B832" s="7" t="s">
        <v>2928</v>
      </c>
      <c r="C832" s="8">
        <v>45853</v>
      </c>
      <c r="D832" s="7" t="s">
        <v>740</v>
      </c>
      <c r="E832" s="9">
        <v>45856</v>
      </c>
      <c r="F832" s="9" t="str">
        <f t="shared" si="191"/>
        <v>Valid</v>
      </c>
      <c r="G832" s="10">
        <f t="shared" si="192"/>
        <v>3</v>
      </c>
      <c r="H832" s="10" t="str">
        <f t="shared" si="193"/>
        <v>Valid</v>
      </c>
      <c r="I832" s="6" t="s">
        <v>3831</v>
      </c>
      <c r="J832" s="6" t="s">
        <v>127</v>
      </c>
      <c r="K832" s="6" t="s">
        <v>127</v>
      </c>
      <c r="L832" s="6" t="s">
        <v>61</v>
      </c>
      <c r="M832" s="7" t="str">
        <f t="shared" si="194"/>
        <v>Small Business</v>
      </c>
      <c r="N832" s="6"/>
      <c r="O832" s="7" t="str">
        <f t="shared" si="195"/>
        <v>Unknown</v>
      </c>
      <c r="P832" s="6" t="s">
        <v>359</v>
      </c>
      <c r="Q832" s="6" t="s">
        <v>360</v>
      </c>
      <c r="R832" s="6" t="s">
        <v>106</v>
      </c>
      <c r="S832" s="7" t="str">
        <f t="shared" si="196"/>
        <v>Technology</v>
      </c>
      <c r="T832" s="6" t="s">
        <v>402</v>
      </c>
      <c r="U832" s="6" t="s">
        <v>3832</v>
      </c>
      <c r="V832" s="6" t="s">
        <v>76</v>
      </c>
      <c r="W832" s="7" t="str">
        <f t="shared" si="197"/>
        <v>First Class</v>
      </c>
      <c r="X832" s="6">
        <v>6</v>
      </c>
      <c r="Y832" s="6">
        <v>2382.88</v>
      </c>
      <c r="Z832" s="6">
        <v>0.1</v>
      </c>
      <c r="AA832" s="6">
        <f t="shared" si="199"/>
        <v>0.1</v>
      </c>
      <c r="AB832" s="6" t="str">
        <f t="shared" si="200"/>
        <v>Valid</v>
      </c>
      <c r="AC832" s="6">
        <v>12867.55</v>
      </c>
      <c r="AD832" s="6" t="str">
        <f>IF(OR(AO832="Cancelled",AM832="Failed"),"Exclude from Completed Sales","Include in Completed Sales")</f>
        <v>Include in Completed Sales</v>
      </c>
      <c r="AE832" s="6">
        <f t="shared" si="201"/>
        <v>12867.552000000001</v>
      </c>
      <c r="AF832" s="6" t="str">
        <f t="shared" si="202"/>
        <v/>
      </c>
      <c r="AG832" s="6">
        <v>10068.94</v>
      </c>
      <c r="AH832" s="6">
        <v>2798.61</v>
      </c>
      <c r="AI832" s="6">
        <f t="shared" si="203"/>
        <v>2798.612000000001</v>
      </c>
      <c r="AJ832" s="11">
        <f t="shared" si="204"/>
        <v>0.21749373929089236</v>
      </c>
      <c r="AK832" s="11" t="str">
        <f t="shared" si="205"/>
        <v>July</v>
      </c>
      <c r="AL832" s="12">
        <f t="shared" si="206"/>
        <v>2025</v>
      </c>
      <c r="AM832" s="6" t="s">
        <v>54</v>
      </c>
      <c r="AN832" s="6" t="s">
        <v>55</v>
      </c>
      <c r="AO832" s="6" t="str">
        <f t="shared" si="198"/>
        <v>Completed</v>
      </c>
    </row>
    <row r="833" spans="1:41">
      <c r="A833" s="6" t="s">
        <v>3833</v>
      </c>
      <c r="B833" s="7" t="s">
        <v>489</v>
      </c>
      <c r="C833" s="8">
        <v>45750</v>
      </c>
      <c r="D833" s="7" t="s">
        <v>3275</v>
      </c>
      <c r="E833" s="9">
        <v>45750</v>
      </c>
      <c r="F833" s="9" t="str">
        <f t="shared" si="191"/>
        <v>Valid</v>
      </c>
      <c r="G833" s="10">
        <f t="shared" si="192"/>
        <v>0</v>
      </c>
      <c r="H833" s="10" t="str">
        <f t="shared" si="193"/>
        <v>Valid</v>
      </c>
      <c r="I833" s="6" t="s">
        <v>3834</v>
      </c>
      <c r="J833" s="6" t="s">
        <v>230</v>
      </c>
      <c r="K833" s="6" t="s">
        <v>230</v>
      </c>
      <c r="L833" s="6" t="s">
        <v>135</v>
      </c>
      <c r="M833" s="7" t="str">
        <f t="shared" si="194"/>
        <v>Home Office</v>
      </c>
      <c r="N833" s="6"/>
      <c r="O833" s="7" t="str">
        <f t="shared" si="195"/>
        <v>Unknown</v>
      </c>
      <c r="P833" s="6" t="s">
        <v>343</v>
      </c>
      <c r="Q833" s="6" t="s">
        <v>344</v>
      </c>
      <c r="R833" s="6" t="s">
        <v>65</v>
      </c>
      <c r="S833" s="7" t="str">
        <f t="shared" si="196"/>
        <v>Furniture</v>
      </c>
      <c r="T833" s="6" t="s">
        <v>96</v>
      </c>
      <c r="U833" s="6" t="s">
        <v>3835</v>
      </c>
      <c r="V833" s="6" t="s">
        <v>76</v>
      </c>
      <c r="W833" s="7" t="str">
        <f t="shared" si="197"/>
        <v>First Class</v>
      </c>
      <c r="X833" s="6">
        <v>9</v>
      </c>
      <c r="Y833" s="6">
        <v>3462.7</v>
      </c>
      <c r="Z833" s="6">
        <v>0.15</v>
      </c>
      <c r="AA833" s="6">
        <f t="shared" si="199"/>
        <v>0.15</v>
      </c>
      <c r="AB833" s="6" t="str">
        <f t="shared" si="200"/>
        <v>Valid</v>
      </c>
      <c r="AC833" s="6">
        <v>26489.65</v>
      </c>
      <c r="AD833" s="6" t="str">
        <f>IF(OR(AO833="Cancelled",AM833="Failed"),"Exclude from Completed Sales","Include in Completed Sales")</f>
        <v>Exclude from Completed Sales</v>
      </c>
      <c r="AE833" s="6">
        <f t="shared" si="201"/>
        <v>26489.654999999999</v>
      </c>
      <c r="AF833" s="6" t="str">
        <f t="shared" si="202"/>
        <v/>
      </c>
      <c r="AG833" s="6">
        <v>15818.46</v>
      </c>
      <c r="AH833" s="6">
        <v>10671.19</v>
      </c>
      <c r="AI833" s="6">
        <f t="shared" si="203"/>
        <v>10671.195</v>
      </c>
      <c r="AJ833" s="11">
        <f t="shared" si="204"/>
        <v>0.40284386489744772</v>
      </c>
      <c r="AK833" s="11" t="str">
        <f t="shared" si="205"/>
        <v>April</v>
      </c>
      <c r="AL833" s="12">
        <f t="shared" si="206"/>
        <v>2025</v>
      </c>
      <c r="AM833" s="6" t="s">
        <v>220</v>
      </c>
      <c r="AN833" s="6" t="s">
        <v>145</v>
      </c>
      <c r="AO833" s="6" t="str">
        <f t="shared" si="198"/>
        <v>Returned</v>
      </c>
    </row>
    <row r="834" spans="1:41">
      <c r="A834" s="6" t="s">
        <v>3836</v>
      </c>
      <c r="B834" s="7" t="s">
        <v>3837</v>
      </c>
      <c r="C834" s="8">
        <v>45803</v>
      </c>
      <c r="D834" s="7" t="s">
        <v>3838</v>
      </c>
      <c r="E834" s="9">
        <v>45805</v>
      </c>
      <c r="F834" s="9" t="str">
        <f t="shared" ref="F834:F897" si="207">IF(E834&lt;C834,"Invalid Shipping Record","Valid")</f>
        <v>Valid</v>
      </c>
      <c r="G834" s="10">
        <f t="shared" ref="G834:G897" si="208">E834-C834</f>
        <v>2</v>
      </c>
      <c r="H834" s="10" t="str">
        <f t="shared" ref="H834:H897" si="209">IF(OR(C834="",E834=""),"Missing Date",IF(OR(NOT(ISNUMBER(C834)),NOT(ISNUMBER(E834))),"Invalid Date",IF(E834&lt;C834,"Invalid Shipping Record","Valid")))</f>
        <v>Valid</v>
      </c>
      <c r="I834" s="6" t="s">
        <v>3839</v>
      </c>
      <c r="J834" s="6" t="s">
        <v>386</v>
      </c>
      <c r="K834" s="6" t="s">
        <v>386</v>
      </c>
      <c r="L834" s="6" t="s">
        <v>61</v>
      </c>
      <c r="M834" s="7" t="str">
        <f t="shared" ref="M834:M897" si="210">PROPER(TRIM(L834))</f>
        <v>Small Business</v>
      </c>
      <c r="N834" s="6" t="s">
        <v>82</v>
      </c>
      <c r="O834" s="7" t="str">
        <f t="shared" ref="O834:O897" si="211">IF(TRIM(N834)="","Unknown",PROPER(TRIM(N834)))</f>
        <v>South</v>
      </c>
      <c r="P834" s="6" t="s">
        <v>120</v>
      </c>
      <c r="Q834" s="6" t="s">
        <v>121</v>
      </c>
      <c r="R834" s="6" t="s">
        <v>106</v>
      </c>
      <c r="S834" s="7" t="str">
        <f t="shared" ref="S834:S897" si="212">PROPER(TRIM(R834))</f>
        <v>Technology</v>
      </c>
      <c r="T834" s="6" t="s">
        <v>243</v>
      </c>
      <c r="U834" s="6" t="s">
        <v>3840</v>
      </c>
      <c r="V834" s="6" t="s">
        <v>53</v>
      </c>
      <c r="W834" s="7" t="str">
        <f t="shared" ref="W834:W897" si="213">IF(TRIM(V834)="","Unknown",PROPER(TRIM(V834)))</f>
        <v>Second Class</v>
      </c>
      <c r="X834" s="6">
        <v>9</v>
      </c>
      <c r="Y834" s="6">
        <v>4302.0200000000004</v>
      </c>
      <c r="Z834" s="6">
        <v>0.05</v>
      </c>
      <c r="AA834" s="6">
        <f t="shared" si="199"/>
        <v>0.05</v>
      </c>
      <c r="AB834" s="6" t="str">
        <f t="shared" si="200"/>
        <v>Valid</v>
      </c>
      <c r="AC834" s="6">
        <v>36782.269999999997</v>
      </c>
      <c r="AD834" s="6" t="str">
        <f>IF(OR(AO834="Cancelled",AM834="Failed"),"Exclude from Completed Sales","Include in Completed Sales")</f>
        <v>Include in Completed Sales</v>
      </c>
      <c r="AE834" s="6">
        <f t="shared" si="201"/>
        <v>36782.271000000008</v>
      </c>
      <c r="AF834" s="6" t="str">
        <f t="shared" si="202"/>
        <v/>
      </c>
      <c r="AG834" s="6">
        <v>25902.81</v>
      </c>
      <c r="AH834" s="6">
        <v>10879.46</v>
      </c>
      <c r="AI834" s="6">
        <f t="shared" si="203"/>
        <v>10879.461000000007</v>
      </c>
      <c r="AJ834" s="11">
        <f t="shared" si="204"/>
        <v>0.29578002402298664</v>
      </c>
      <c r="AK834" s="11" t="str">
        <f t="shared" si="205"/>
        <v>May</v>
      </c>
      <c r="AL834" s="12">
        <f t="shared" si="206"/>
        <v>2025</v>
      </c>
      <c r="AM834" s="6" t="s">
        <v>54</v>
      </c>
      <c r="AN834" s="6" t="s">
        <v>55</v>
      </c>
      <c r="AO834" s="6" t="str">
        <f t="shared" ref="AO834:AO897" si="214">PROPER(TRIM(AN834))</f>
        <v>Completed</v>
      </c>
    </row>
    <row r="835" spans="1:41">
      <c r="A835" s="6" t="s">
        <v>3841</v>
      </c>
      <c r="B835" s="7" t="s">
        <v>3842</v>
      </c>
      <c r="C835" s="8">
        <v>45447</v>
      </c>
      <c r="D835" s="7" t="s">
        <v>3843</v>
      </c>
      <c r="E835" s="9">
        <v>45447</v>
      </c>
      <c r="F835" s="9" t="str">
        <f t="shared" si="207"/>
        <v>Valid</v>
      </c>
      <c r="G835" s="10">
        <f t="shared" si="208"/>
        <v>0</v>
      </c>
      <c r="H835" s="10" t="str">
        <f t="shared" si="209"/>
        <v>Valid</v>
      </c>
      <c r="I835" s="6" t="s">
        <v>3844</v>
      </c>
      <c r="J835" s="6" t="s">
        <v>168</v>
      </c>
      <c r="K835" s="6" t="s">
        <v>168</v>
      </c>
      <c r="L835" s="6" t="s">
        <v>135</v>
      </c>
      <c r="M835" s="7" t="str">
        <f t="shared" si="210"/>
        <v>Home Office</v>
      </c>
      <c r="N835" s="6" t="s">
        <v>62</v>
      </c>
      <c r="O835" s="7" t="str">
        <f t="shared" si="211"/>
        <v>East</v>
      </c>
      <c r="P835" s="6" t="s">
        <v>141</v>
      </c>
      <c r="Q835" s="6" t="s">
        <v>142</v>
      </c>
      <c r="R835" s="6" t="s">
        <v>65</v>
      </c>
      <c r="S835" s="7" t="str">
        <f t="shared" si="212"/>
        <v>Furniture</v>
      </c>
      <c r="T835" s="6" t="s">
        <v>224</v>
      </c>
      <c r="U835" s="6" t="s">
        <v>3845</v>
      </c>
      <c r="V835" s="6" t="s">
        <v>76</v>
      </c>
      <c r="W835" s="7" t="str">
        <f t="shared" si="213"/>
        <v>First Class</v>
      </c>
      <c r="X835" s="6">
        <v>6</v>
      </c>
      <c r="Y835" s="6">
        <v>3949.4</v>
      </c>
      <c r="Z835" s="6">
        <v>0</v>
      </c>
      <c r="AA835" s="6">
        <f t="shared" ref="AA835:AA898" si="215">IF(Z835="",0,Z835)</f>
        <v>0</v>
      </c>
      <c r="AB835" s="6" t="str">
        <f t="shared" ref="AB835:AB898" si="216">IF(AA835&lt;0,"Invalid - Negative Discount",IF(AA835&gt;1,"Invalid - Discount Above Limit","Valid"))</f>
        <v>Valid</v>
      </c>
      <c r="AC835" s="6">
        <v>23696.400000000001</v>
      </c>
      <c r="AD835" s="6" t="str">
        <f>IF(OR(AO835="Cancelled",AM835="Failed"),"Exclude from Completed Sales","Include in Completed Sales")</f>
        <v>Include in Completed Sales</v>
      </c>
      <c r="AE835" s="6">
        <f t="shared" ref="AE835:AE898" si="217">X835*Y835*(1-AA835)</f>
        <v>23696.400000000001</v>
      </c>
      <c r="AF835" s="6" t="str">
        <f t="shared" ref="AF835:AF898" si="218">IF(TRIM(AM835)="Refunded","Refunded","")</f>
        <v/>
      </c>
      <c r="AG835" s="6">
        <v>18109.77</v>
      </c>
      <c r="AH835" s="6">
        <v>5586.63</v>
      </c>
      <c r="AI835" s="6">
        <f t="shared" ref="AI835:AI898" si="219">AE835-AG835</f>
        <v>5586.630000000001</v>
      </c>
      <c r="AJ835" s="11">
        <f t="shared" ref="AJ835:AJ898" si="220">IF(AE835=0,0,AI835/AE835)</f>
        <v>0.23575859624246723</v>
      </c>
      <c r="AK835" s="11" t="str">
        <f t="shared" ref="AK835:AK898" si="221">TEXT(C835,"mmmm")</f>
        <v>June</v>
      </c>
      <c r="AL835" s="12">
        <f t="shared" ref="AL835:AL898" si="222">YEAR(C835)</f>
        <v>2024</v>
      </c>
      <c r="AM835" s="6" t="s">
        <v>54</v>
      </c>
      <c r="AN835" s="6" t="s">
        <v>55</v>
      </c>
      <c r="AO835" s="6" t="str">
        <f t="shared" si="214"/>
        <v>Completed</v>
      </c>
    </row>
    <row r="836" spans="1:41">
      <c r="A836" s="6" t="s">
        <v>3846</v>
      </c>
      <c r="B836" s="7" t="s">
        <v>253</v>
      </c>
      <c r="C836" s="8">
        <v>45583</v>
      </c>
      <c r="D836" s="7" t="s">
        <v>3847</v>
      </c>
      <c r="E836" s="9">
        <v>45587</v>
      </c>
      <c r="F836" s="9" t="str">
        <f t="shared" si="207"/>
        <v>Valid</v>
      </c>
      <c r="G836" s="10">
        <f t="shared" si="208"/>
        <v>4</v>
      </c>
      <c r="H836" s="10" t="str">
        <f t="shared" si="209"/>
        <v>Valid</v>
      </c>
      <c r="I836" s="6" t="s">
        <v>3848</v>
      </c>
      <c r="J836" s="6" t="s">
        <v>182</v>
      </c>
      <c r="K836" s="6" t="s">
        <v>182</v>
      </c>
      <c r="L836" s="6" t="s">
        <v>135</v>
      </c>
      <c r="M836" s="7" t="str">
        <f t="shared" si="210"/>
        <v>Home Office</v>
      </c>
      <c r="N836" s="6" t="s">
        <v>82</v>
      </c>
      <c r="O836" s="7" t="str">
        <f t="shared" si="211"/>
        <v>South</v>
      </c>
      <c r="P836" s="6" t="s">
        <v>83</v>
      </c>
      <c r="Q836" s="6" t="s">
        <v>84</v>
      </c>
      <c r="R836" s="6" t="s">
        <v>50</v>
      </c>
      <c r="S836" s="7" t="str">
        <f t="shared" si="212"/>
        <v>Office Supplies</v>
      </c>
      <c r="T836" s="6" t="s">
        <v>74</v>
      </c>
      <c r="U836" s="6" t="s">
        <v>3849</v>
      </c>
      <c r="V836" s="6" t="s">
        <v>76</v>
      </c>
      <c r="W836" s="7" t="str">
        <f t="shared" si="213"/>
        <v>First Class</v>
      </c>
      <c r="X836" s="6">
        <v>6</v>
      </c>
      <c r="Y836" s="6">
        <v>674.61</v>
      </c>
      <c r="Z836" s="6">
        <v>0</v>
      </c>
      <c r="AA836" s="6">
        <f t="shared" si="215"/>
        <v>0</v>
      </c>
      <c r="AB836" s="6" t="str">
        <f t="shared" si="216"/>
        <v>Valid</v>
      </c>
      <c r="AC836" s="6">
        <v>4047.66</v>
      </c>
      <c r="AD836" s="6" t="str">
        <f>IF(OR(AO836="Cancelled",AM836="Failed"),"Exclude from Completed Sales","Include in Completed Sales")</f>
        <v>Include in Completed Sales</v>
      </c>
      <c r="AE836" s="6">
        <f t="shared" si="217"/>
        <v>4047.66</v>
      </c>
      <c r="AF836" s="6" t="str">
        <f t="shared" si="218"/>
        <v/>
      </c>
      <c r="AG836" s="6">
        <v>3078.93</v>
      </c>
      <c r="AH836" s="6">
        <v>1279.79</v>
      </c>
      <c r="AI836" s="6">
        <f t="shared" si="219"/>
        <v>968.73</v>
      </c>
      <c r="AJ836" s="11">
        <f t="shared" si="220"/>
        <v>0.23933087265234729</v>
      </c>
      <c r="AK836" s="11" t="str">
        <f t="shared" si="221"/>
        <v>October</v>
      </c>
      <c r="AL836" s="12">
        <f t="shared" si="222"/>
        <v>2024</v>
      </c>
      <c r="AM836" s="6" t="s">
        <v>54</v>
      </c>
      <c r="AN836" s="6" t="s">
        <v>55</v>
      </c>
      <c r="AO836" s="6" t="str">
        <f t="shared" si="214"/>
        <v>Completed</v>
      </c>
    </row>
    <row r="837" spans="1:41">
      <c r="A837" s="6" t="s">
        <v>3850</v>
      </c>
      <c r="B837" s="7" t="s">
        <v>2770</v>
      </c>
      <c r="C837" s="8">
        <v>45926</v>
      </c>
      <c r="D837" s="7" t="s">
        <v>975</v>
      </c>
      <c r="E837" s="9">
        <v>45934</v>
      </c>
      <c r="F837" s="9" t="str">
        <f t="shared" si="207"/>
        <v>Valid</v>
      </c>
      <c r="G837" s="10">
        <f t="shared" si="208"/>
        <v>8</v>
      </c>
      <c r="H837" s="10" t="str">
        <f t="shared" si="209"/>
        <v>Valid</v>
      </c>
      <c r="I837" s="6" t="s">
        <v>3851</v>
      </c>
      <c r="J837" s="6" t="s">
        <v>162</v>
      </c>
      <c r="K837" s="6" t="s">
        <v>162</v>
      </c>
      <c r="L837" s="6" t="s">
        <v>61</v>
      </c>
      <c r="M837" s="7" t="str">
        <f t="shared" si="210"/>
        <v>Small Business</v>
      </c>
      <c r="N837" s="6" t="s">
        <v>62</v>
      </c>
      <c r="O837" s="7" t="str">
        <f t="shared" si="211"/>
        <v>East</v>
      </c>
      <c r="P837" s="6" t="s">
        <v>236</v>
      </c>
      <c r="Q837" s="6" t="s">
        <v>237</v>
      </c>
      <c r="R837" s="6" t="s">
        <v>106</v>
      </c>
      <c r="S837" s="7" t="str">
        <f t="shared" si="212"/>
        <v>Technology</v>
      </c>
      <c r="T837" s="6" t="s">
        <v>243</v>
      </c>
      <c r="U837" s="6" t="s">
        <v>3852</v>
      </c>
      <c r="V837" s="6" t="s">
        <v>53</v>
      </c>
      <c r="W837" s="7" t="str">
        <f t="shared" si="213"/>
        <v>Second Class</v>
      </c>
      <c r="X837" s="6">
        <v>7</v>
      </c>
      <c r="Y837" s="6">
        <v>1509.59</v>
      </c>
      <c r="Z837" s="6">
        <v>0.05</v>
      </c>
      <c r="AA837" s="6">
        <f t="shared" si="215"/>
        <v>0.05</v>
      </c>
      <c r="AB837" s="6" t="str">
        <f t="shared" si="216"/>
        <v>Valid</v>
      </c>
      <c r="AC837" s="6">
        <v>10038.77</v>
      </c>
      <c r="AD837" s="6" t="str">
        <f>IF(OR(AO837="Cancelled",AM837="Failed"),"Exclude from Completed Sales","Include in Completed Sales")</f>
        <v>Include in Completed Sales</v>
      </c>
      <c r="AE837" s="6">
        <f t="shared" si="217"/>
        <v>10038.773499999999</v>
      </c>
      <c r="AF837" s="6" t="str">
        <f t="shared" si="218"/>
        <v/>
      </c>
      <c r="AG837" s="6">
        <v>5673.1</v>
      </c>
      <c r="AH837" s="6">
        <v>4365.67</v>
      </c>
      <c r="AI837" s="6">
        <f t="shared" si="219"/>
        <v>4365.673499999999</v>
      </c>
      <c r="AJ837" s="11">
        <f t="shared" si="220"/>
        <v>0.43488116352062323</v>
      </c>
      <c r="AK837" s="11" t="str">
        <f t="shared" si="221"/>
        <v>September</v>
      </c>
      <c r="AL837" s="12">
        <f t="shared" si="222"/>
        <v>2025</v>
      </c>
      <c r="AM837" s="6" t="s">
        <v>54</v>
      </c>
      <c r="AN837" s="6" t="s">
        <v>55</v>
      </c>
      <c r="AO837" s="6" t="str">
        <f t="shared" si="214"/>
        <v>Completed</v>
      </c>
    </row>
    <row r="838" spans="1:41">
      <c r="A838" s="6" t="s">
        <v>3853</v>
      </c>
      <c r="B838" s="7" t="s">
        <v>2482</v>
      </c>
      <c r="C838" s="8">
        <v>45641</v>
      </c>
      <c r="D838" s="7" t="s">
        <v>3854</v>
      </c>
      <c r="E838" s="9">
        <v>45644</v>
      </c>
      <c r="F838" s="9" t="str">
        <f t="shared" si="207"/>
        <v>Valid</v>
      </c>
      <c r="G838" s="10">
        <f t="shared" si="208"/>
        <v>3</v>
      </c>
      <c r="H838" s="10" t="str">
        <f t="shared" si="209"/>
        <v>Valid</v>
      </c>
      <c r="I838" s="6" t="s">
        <v>3855</v>
      </c>
      <c r="J838" s="6" t="s">
        <v>73</v>
      </c>
      <c r="K838" s="6" t="s">
        <v>73</v>
      </c>
      <c r="L838" s="6" t="s">
        <v>61</v>
      </c>
      <c r="M838" s="7" t="str">
        <f t="shared" si="210"/>
        <v>Small Business</v>
      </c>
      <c r="N838" s="6" t="s">
        <v>47</v>
      </c>
      <c r="O838" s="7" t="str">
        <f t="shared" si="211"/>
        <v>North</v>
      </c>
      <c r="P838" s="6" t="s">
        <v>48</v>
      </c>
      <c r="Q838" s="6" t="s">
        <v>49</v>
      </c>
      <c r="R838" s="6" t="s">
        <v>50</v>
      </c>
      <c r="S838" s="7" t="str">
        <f t="shared" si="212"/>
        <v>Office Supplies</v>
      </c>
      <c r="T838" s="6" t="s">
        <v>129</v>
      </c>
      <c r="U838" s="6" t="s">
        <v>3856</v>
      </c>
      <c r="V838" s="6" t="s">
        <v>53</v>
      </c>
      <c r="W838" s="7" t="str">
        <f t="shared" si="213"/>
        <v>Second Class</v>
      </c>
      <c r="X838" s="6">
        <v>2</v>
      </c>
      <c r="Y838" s="6">
        <v>537.11</v>
      </c>
      <c r="Z838" s="6">
        <v>0</v>
      </c>
      <c r="AA838" s="6">
        <f t="shared" si="215"/>
        <v>0</v>
      </c>
      <c r="AB838" s="6" t="str">
        <f t="shared" si="216"/>
        <v>Valid</v>
      </c>
      <c r="AC838" s="6">
        <v>1074.22</v>
      </c>
      <c r="AD838" s="6" t="str">
        <f>IF(OR(AO838="Cancelled",AM838="Failed"),"Exclude from Completed Sales","Include in Completed Sales")</f>
        <v>Include in Completed Sales</v>
      </c>
      <c r="AE838" s="6">
        <f t="shared" si="217"/>
        <v>1074.22</v>
      </c>
      <c r="AF838" s="6" t="str">
        <f t="shared" si="218"/>
        <v/>
      </c>
      <c r="AG838" s="6">
        <v>850.86</v>
      </c>
      <c r="AH838" s="6">
        <v>223.36</v>
      </c>
      <c r="AI838" s="6">
        <f t="shared" si="219"/>
        <v>223.36</v>
      </c>
      <c r="AJ838" s="11">
        <f t="shared" si="220"/>
        <v>0.20792761259332354</v>
      </c>
      <c r="AK838" s="11" t="str">
        <f t="shared" si="221"/>
        <v>December</v>
      </c>
      <c r="AL838" s="12">
        <f t="shared" si="222"/>
        <v>2024</v>
      </c>
      <c r="AM838" s="6" t="s">
        <v>54</v>
      </c>
      <c r="AN838" s="6" t="s">
        <v>55</v>
      </c>
      <c r="AO838" s="6" t="str">
        <f t="shared" si="214"/>
        <v>Completed</v>
      </c>
    </row>
    <row r="839" spans="1:41">
      <c r="A839" s="6" t="s">
        <v>3857</v>
      </c>
      <c r="B839" s="7" t="s">
        <v>518</v>
      </c>
      <c r="C839" s="8">
        <v>45927</v>
      </c>
      <c r="D839" s="7" t="s">
        <v>3858</v>
      </c>
      <c r="E839" s="9">
        <v>45928</v>
      </c>
      <c r="F839" s="9" t="str">
        <f t="shared" si="207"/>
        <v>Valid</v>
      </c>
      <c r="G839" s="10">
        <f t="shared" si="208"/>
        <v>1</v>
      </c>
      <c r="H839" s="10" t="str">
        <f t="shared" si="209"/>
        <v>Valid</v>
      </c>
      <c r="I839" s="6" t="s">
        <v>3859</v>
      </c>
      <c r="J839" s="6" t="s">
        <v>45</v>
      </c>
      <c r="K839" s="6" t="s">
        <v>45</v>
      </c>
      <c r="L839" s="6" t="s">
        <v>135</v>
      </c>
      <c r="M839" s="7" t="str">
        <f t="shared" si="210"/>
        <v>Home Office</v>
      </c>
      <c r="N839" s="6" t="s">
        <v>93</v>
      </c>
      <c r="O839" s="7" t="str">
        <f t="shared" si="211"/>
        <v>West</v>
      </c>
      <c r="P839" s="6" t="s">
        <v>94</v>
      </c>
      <c r="Q839" s="6" t="s">
        <v>95</v>
      </c>
      <c r="R839" s="6" t="s">
        <v>50</v>
      </c>
      <c r="S839" s="7" t="str">
        <f t="shared" si="212"/>
        <v>Office Supplies</v>
      </c>
      <c r="T839" s="6" t="s">
        <v>51</v>
      </c>
      <c r="U839" s="6" t="s">
        <v>3860</v>
      </c>
      <c r="V839" s="6" t="s">
        <v>76</v>
      </c>
      <c r="W839" s="7" t="str">
        <f t="shared" si="213"/>
        <v>First Class</v>
      </c>
      <c r="X839" s="6">
        <v>3</v>
      </c>
      <c r="Y839" s="6">
        <v>4177.63</v>
      </c>
      <c r="Z839" s="6">
        <v>0.25</v>
      </c>
      <c r="AA839" s="6">
        <f t="shared" si="215"/>
        <v>0.25</v>
      </c>
      <c r="AB839" s="6" t="str">
        <f t="shared" si="216"/>
        <v>Valid</v>
      </c>
      <c r="AC839" s="6">
        <v>9399.67</v>
      </c>
      <c r="AD839" s="6" t="str">
        <f>IF(OR(AO839="Cancelled",AM839="Failed"),"Exclude from Completed Sales","Include in Completed Sales")</f>
        <v>Include in Completed Sales</v>
      </c>
      <c r="AE839" s="6">
        <f t="shared" si="217"/>
        <v>9399.6674999999996</v>
      </c>
      <c r="AF839" s="6" t="str">
        <f t="shared" si="218"/>
        <v/>
      </c>
      <c r="AG839" s="6">
        <v>6540.37</v>
      </c>
      <c r="AH839" s="6">
        <v>2859.3</v>
      </c>
      <c r="AI839" s="6">
        <f t="shared" si="219"/>
        <v>2859.2974999999997</v>
      </c>
      <c r="AJ839" s="11">
        <f t="shared" si="220"/>
        <v>0.30419134506619516</v>
      </c>
      <c r="AK839" s="11" t="str">
        <f t="shared" si="221"/>
        <v>September</v>
      </c>
      <c r="AL839" s="12">
        <f t="shared" si="222"/>
        <v>2025</v>
      </c>
      <c r="AM839" s="6" t="s">
        <v>54</v>
      </c>
      <c r="AN839" s="6" t="s">
        <v>55</v>
      </c>
      <c r="AO839" s="6" t="str">
        <f t="shared" si="214"/>
        <v>Completed</v>
      </c>
    </row>
    <row r="840" spans="1:41">
      <c r="A840" s="6" t="s">
        <v>3861</v>
      </c>
      <c r="B840" s="7" t="s">
        <v>489</v>
      </c>
      <c r="C840" s="8">
        <v>45750</v>
      </c>
      <c r="D840" s="7" t="s">
        <v>3862</v>
      </c>
      <c r="E840" s="9">
        <v>45754</v>
      </c>
      <c r="F840" s="9" t="str">
        <f t="shared" si="207"/>
        <v>Valid</v>
      </c>
      <c r="G840" s="10">
        <f t="shared" si="208"/>
        <v>4</v>
      </c>
      <c r="H840" s="10" t="str">
        <f t="shared" si="209"/>
        <v>Valid</v>
      </c>
      <c r="I840" s="6" t="s">
        <v>3863</v>
      </c>
      <c r="J840" s="6" t="s">
        <v>92</v>
      </c>
      <c r="K840" s="6" t="s">
        <v>92</v>
      </c>
      <c r="L840" s="6" t="s">
        <v>61</v>
      </c>
      <c r="M840" s="7" t="str">
        <f t="shared" si="210"/>
        <v>Small Business</v>
      </c>
      <c r="N840" s="6" t="s">
        <v>93</v>
      </c>
      <c r="O840" s="7" t="str">
        <f t="shared" si="211"/>
        <v>West</v>
      </c>
      <c r="P840" s="6" t="s">
        <v>269</v>
      </c>
      <c r="Q840" s="6" t="s">
        <v>270</v>
      </c>
      <c r="R840" s="6" t="s">
        <v>50</v>
      </c>
      <c r="S840" s="7" t="str">
        <f t="shared" si="212"/>
        <v>Office Supplies</v>
      </c>
      <c r="T840" s="6" t="s">
        <v>51</v>
      </c>
      <c r="U840" s="6" t="s">
        <v>3864</v>
      </c>
      <c r="V840" s="6" t="s">
        <v>68</v>
      </c>
      <c r="W840" s="7" t="str">
        <f t="shared" si="213"/>
        <v>Same Day</v>
      </c>
      <c r="X840" s="6">
        <v>1</v>
      </c>
      <c r="Y840" s="6">
        <v>1470.57</v>
      </c>
      <c r="Z840" s="6">
        <v>0</v>
      </c>
      <c r="AA840" s="6">
        <f t="shared" si="215"/>
        <v>0</v>
      </c>
      <c r="AB840" s="6" t="str">
        <f t="shared" si="216"/>
        <v>Valid</v>
      </c>
      <c r="AC840" s="6">
        <v>1470.57</v>
      </c>
      <c r="AD840" s="6" t="str">
        <f>IF(OR(AO840="Cancelled",AM840="Failed"),"Exclude from Completed Sales","Include in Completed Sales")</f>
        <v>Include in Completed Sales</v>
      </c>
      <c r="AE840" s="6">
        <f t="shared" si="217"/>
        <v>1470.57</v>
      </c>
      <c r="AF840" s="6" t="str">
        <f t="shared" si="218"/>
        <v/>
      </c>
      <c r="AG840" s="6">
        <v>834.02</v>
      </c>
      <c r="AH840" s="6">
        <v>636.54999999999995</v>
      </c>
      <c r="AI840" s="6">
        <f t="shared" si="219"/>
        <v>636.54999999999995</v>
      </c>
      <c r="AJ840" s="11">
        <f t="shared" si="220"/>
        <v>0.43285936745615644</v>
      </c>
      <c r="AK840" s="11" t="str">
        <f t="shared" si="221"/>
        <v>April</v>
      </c>
      <c r="AL840" s="12">
        <f t="shared" si="222"/>
        <v>2025</v>
      </c>
      <c r="AM840" s="6" t="s">
        <v>54</v>
      </c>
      <c r="AN840" s="6" t="s">
        <v>145</v>
      </c>
      <c r="AO840" s="6" t="str">
        <f t="shared" si="214"/>
        <v>Returned</v>
      </c>
    </row>
    <row r="841" spans="1:41">
      <c r="A841" s="6" t="s">
        <v>3865</v>
      </c>
      <c r="B841" s="7" t="s">
        <v>3866</v>
      </c>
      <c r="C841" s="8">
        <v>45555</v>
      </c>
      <c r="D841" s="7" t="s">
        <v>3867</v>
      </c>
      <c r="E841" s="9">
        <v>45557</v>
      </c>
      <c r="F841" s="9" t="str">
        <f t="shared" si="207"/>
        <v>Valid</v>
      </c>
      <c r="G841" s="10">
        <f t="shared" si="208"/>
        <v>2</v>
      </c>
      <c r="H841" s="10" t="str">
        <f t="shared" si="209"/>
        <v>Valid</v>
      </c>
      <c r="I841" s="6" t="s">
        <v>3868</v>
      </c>
      <c r="J841" s="6" t="s">
        <v>200</v>
      </c>
      <c r="K841" s="6" t="s">
        <v>200</v>
      </c>
      <c r="L841" s="6" t="s">
        <v>135</v>
      </c>
      <c r="M841" s="7" t="str">
        <f t="shared" si="210"/>
        <v>Home Office</v>
      </c>
      <c r="N841" s="6" t="s">
        <v>62</v>
      </c>
      <c r="O841" s="7" t="str">
        <f t="shared" si="211"/>
        <v>East</v>
      </c>
      <c r="P841" s="6" t="s">
        <v>63</v>
      </c>
      <c r="Q841" s="6" t="s">
        <v>64</v>
      </c>
      <c r="R841" s="6" t="s">
        <v>106</v>
      </c>
      <c r="S841" s="7" t="str">
        <f t="shared" si="212"/>
        <v>Technology</v>
      </c>
      <c r="T841" s="6" t="s">
        <v>243</v>
      </c>
      <c r="U841" s="6" t="s">
        <v>3869</v>
      </c>
      <c r="V841" s="6" t="s">
        <v>87</v>
      </c>
      <c r="W841" s="7" t="str">
        <f t="shared" si="213"/>
        <v>Standard Class</v>
      </c>
      <c r="X841" s="6">
        <v>8</v>
      </c>
      <c r="Y841" s="6">
        <v>531.42999999999995</v>
      </c>
      <c r="Z841" s="6">
        <v>0.1</v>
      </c>
      <c r="AA841" s="6">
        <f t="shared" si="215"/>
        <v>0.1</v>
      </c>
      <c r="AB841" s="6" t="str">
        <f t="shared" si="216"/>
        <v>Valid</v>
      </c>
      <c r="AC841" s="6">
        <v>3826.3</v>
      </c>
      <c r="AD841" s="6" t="str">
        <f>IF(OR(AO841="Cancelled",AM841="Failed"),"Exclude from Completed Sales","Include in Completed Sales")</f>
        <v>Include in Completed Sales</v>
      </c>
      <c r="AE841" s="6">
        <f t="shared" si="217"/>
        <v>3826.2959999999998</v>
      </c>
      <c r="AF841" s="6" t="str">
        <f t="shared" si="218"/>
        <v/>
      </c>
      <c r="AG841" s="6">
        <v>2194.12</v>
      </c>
      <c r="AH841" s="6">
        <v>1632.18</v>
      </c>
      <c r="AI841" s="6">
        <f t="shared" si="219"/>
        <v>1632.1759999999999</v>
      </c>
      <c r="AJ841" s="11">
        <f t="shared" si="220"/>
        <v>0.42656814841298218</v>
      </c>
      <c r="AK841" s="11" t="str">
        <f t="shared" si="221"/>
        <v>September</v>
      </c>
      <c r="AL841" s="12">
        <f t="shared" si="222"/>
        <v>2024</v>
      </c>
      <c r="AM841" s="6" t="s">
        <v>54</v>
      </c>
      <c r="AN841" s="6" t="s">
        <v>55</v>
      </c>
      <c r="AO841" s="6" t="str">
        <f t="shared" si="214"/>
        <v>Completed</v>
      </c>
    </row>
    <row r="842" spans="1:41">
      <c r="A842" s="6" t="s">
        <v>3870</v>
      </c>
      <c r="B842" s="7" t="s">
        <v>1918</v>
      </c>
      <c r="C842" s="8">
        <v>45919</v>
      </c>
      <c r="D842" s="7" t="s">
        <v>2217</v>
      </c>
      <c r="E842" s="9">
        <v>45919</v>
      </c>
      <c r="F842" s="9" t="str">
        <f t="shared" si="207"/>
        <v>Valid</v>
      </c>
      <c r="G842" s="10">
        <f t="shared" si="208"/>
        <v>0</v>
      </c>
      <c r="H842" s="10" t="str">
        <f t="shared" si="209"/>
        <v>Valid</v>
      </c>
      <c r="I842" s="6" t="s">
        <v>3871</v>
      </c>
      <c r="J842" s="6" t="s">
        <v>113</v>
      </c>
      <c r="K842" s="6" t="s">
        <v>113</v>
      </c>
      <c r="L842" s="6" t="s">
        <v>135</v>
      </c>
      <c r="M842" s="7" t="str">
        <f t="shared" si="210"/>
        <v>Home Office</v>
      </c>
      <c r="N842" s="6" t="s">
        <v>47</v>
      </c>
      <c r="O842" s="7" t="str">
        <f t="shared" si="211"/>
        <v>North</v>
      </c>
      <c r="P842" s="6" t="s">
        <v>526</v>
      </c>
      <c r="Q842" s="6" t="s">
        <v>527</v>
      </c>
      <c r="R842" s="6" t="s">
        <v>65</v>
      </c>
      <c r="S842" s="7" t="str">
        <f t="shared" si="212"/>
        <v>Furniture</v>
      </c>
      <c r="T842" s="6" t="s">
        <v>96</v>
      </c>
      <c r="U842" s="6" t="s">
        <v>3872</v>
      </c>
      <c r="V842" s="6" t="s">
        <v>68</v>
      </c>
      <c r="W842" s="7" t="str">
        <f t="shared" si="213"/>
        <v>Same Day</v>
      </c>
      <c r="X842" s="6">
        <v>4</v>
      </c>
      <c r="Y842" s="6">
        <v>1584.11</v>
      </c>
      <c r="Z842" s="6">
        <v>0</v>
      </c>
      <c r="AA842" s="6">
        <f t="shared" si="215"/>
        <v>0</v>
      </c>
      <c r="AB842" s="6" t="str">
        <f t="shared" si="216"/>
        <v>Valid</v>
      </c>
      <c r="AC842" s="6">
        <v>6336.44</v>
      </c>
      <c r="AD842" s="6" t="str">
        <f>IF(OR(AO842="Cancelled",AM842="Failed"),"Exclude from Completed Sales","Include in Completed Sales")</f>
        <v>Include in Completed Sales</v>
      </c>
      <c r="AE842" s="6">
        <f t="shared" si="217"/>
        <v>6336.44</v>
      </c>
      <c r="AF842" s="6" t="str">
        <f t="shared" si="218"/>
        <v/>
      </c>
      <c r="AG842" s="6">
        <v>4680.68</v>
      </c>
      <c r="AH842" s="6">
        <v>1655.76</v>
      </c>
      <c r="AI842" s="6">
        <f t="shared" si="219"/>
        <v>1655.7599999999993</v>
      </c>
      <c r="AJ842" s="11">
        <f t="shared" si="220"/>
        <v>0.26130761121386764</v>
      </c>
      <c r="AK842" s="11" t="str">
        <f t="shared" si="221"/>
        <v>September</v>
      </c>
      <c r="AL842" s="12">
        <f t="shared" si="222"/>
        <v>2025</v>
      </c>
      <c r="AM842" s="6" t="s">
        <v>54</v>
      </c>
      <c r="AN842" s="6" t="s">
        <v>55</v>
      </c>
      <c r="AO842" s="6" t="str">
        <f t="shared" si="214"/>
        <v>Completed</v>
      </c>
    </row>
    <row r="843" spans="1:41">
      <c r="A843" s="6" t="s">
        <v>3873</v>
      </c>
      <c r="B843" s="7" t="s">
        <v>3874</v>
      </c>
      <c r="C843" s="8">
        <v>45694</v>
      </c>
      <c r="D843" s="7" t="s">
        <v>3875</v>
      </c>
      <c r="E843" s="9">
        <v>45700</v>
      </c>
      <c r="F843" s="9" t="str">
        <f t="shared" si="207"/>
        <v>Valid</v>
      </c>
      <c r="G843" s="10">
        <f t="shared" si="208"/>
        <v>6</v>
      </c>
      <c r="H843" s="10" t="str">
        <f t="shared" si="209"/>
        <v>Valid</v>
      </c>
      <c r="I843" s="6" t="s">
        <v>3876</v>
      </c>
      <c r="J843" s="6" t="s">
        <v>92</v>
      </c>
      <c r="K843" s="6" t="s">
        <v>92</v>
      </c>
      <c r="L843" s="6" t="s">
        <v>61</v>
      </c>
      <c r="M843" s="7" t="str">
        <f t="shared" si="210"/>
        <v>Small Business</v>
      </c>
      <c r="N843" s="6" t="s">
        <v>62</v>
      </c>
      <c r="O843" s="7" t="str">
        <f t="shared" si="211"/>
        <v>East</v>
      </c>
      <c r="P843" s="6" t="s">
        <v>206</v>
      </c>
      <c r="Q843" s="6" t="s">
        <v>207</v>
      </c>
      <c r="R843" s="6" t="s">
        <v>50</v>
      </c>
      <c r="S843" s="7" t="str">
        <f t="shared" si="212"/>
        <v>Office Supplies</v>
      </c>
      <c r="T843" s="6" t="s">
        <v>74</v>
      </c>
      <c r="U843" s="6" t="s">
        <v>3877</v>
      </c>
      <c r="V843" s="6" t="s">
        <v>87</v>
      </c>
      <c r="W843" s="7" t="str">
        <f t="shared" si="213"/>
        <v>Standard Class</v>
      </c>
      <c r="X843" s="6">
        <v>9</v>
      </c>
      <c r="Y843" s="6">
        <v>3237.16</v>
      </c>
      <c r="Z843" s="6">
        <v>0.25</v>
      </c>
      <c r="AA843" s="6">
        <f t="shared" si="215"/>
        <v>0.25</v>
      </c>
      <c r="AB843" s="6" t="str">
        <f t="shared" si="216"/>
        <v>Valid</v>
      </c>
      <c r="AC843" s="6">
        <v>21850.83</v>
      </c>
      <c r="AD843" s="6" t="str">
        <f>IF(OR(AO843="Cancelled",AM843="Failed"),"Exclude from Completed Sales","Include in Completed Sales")</f>
        <v>Include in Completed Sales</v>
      </c>
      <c r="AE843" s="6">
        <f t="shared" si="217"/>
        <v>21850.829999999998</v>
      </c>
      <c r="AF843" s="6" t="str">
        <f t="shared" si="218"/>
        <v/>
      </c>
      <c r="AG843" s="6">
        <v>16600.13</v>
      </c>
      <c r="AH843" s="6">
        <v>5250.7</v>
      </c>
      <c r="AI843" s="6">
        <f t="shared" si="219"/>
        <v>5250.6999999999971</v>
      </c>
      <c r="AJ843" s="11">
        <f t="shared" si="220"/>
        <v>0.2402975081495759</v>
      </c>
      <c r="AK843" s="11" t="str">
        <f t="shared" si="221"/>
        <v>February</v>
      </c>
      <c r="AL843" s="12">
        <f t="shared" si="222"/>
        <v>2025</v>
      </c>
      <c r="AM843" s="6" t="s">
        <v>54</v>
      </c>
      <c r="AN843" s="6" t="s">
        <v>55</v>
      </c>
      <c r="AO843" s="6" t="str">
        <f t="shared" si="214"/>
        <v>Completed</v>
      </c>
    </row>
    <row r="844" spans="1:41">
      <c r="A844" s="6" t="s">
        <v>3878</v>
      </c>
      <c r="B844" s="7" t="s">
        <v>3879</v>
      </c>
      <c r="C844" s="8">
        <v>45382</v>
      </c>
      <c r="D844" s="7" t="s">
        <v>3880</v>
      </c>
      <c r="E844" s="9">
        <v>45381</v>
      </c>
      <c r="F844" s="9" t="str">
        <f t="shared" si="207"/>
        <v>Invalid Shipping Record</v>
      </c>
      <c r="G844" s="10">
        <f t="shared" si="208"/>
        <v>-1</v>
      </c>
      <c r="H844" s="10" t="str">
        <f t="shared" si="209"/>
        <v>Invalid Shipping Record</v>
      </c>
      <c r="I844" s="6" t="s">
        <v>3881</v>
      </c>
      <c r="J844" s="6" t="s">
        <v>3882</v>
      </c>
      <c r="K844" s="6" t="s">
        <v>3882</v>
      </c>
      <c r="L844" s="6" t="s">
        <v>46</v>
      </c>
      <c r="M844" s="7" t="str">
        <f t="shared" si="210"/>
        <v>Consumer</v>
      </c>
      <c r="N844" s="6" t="s">
        <v>47</v>
      </c>
      <c r="O844" s="7" t="str">
        <f t="shared" si="211"/>
        <v>North</v>
      </c>
      <c r="P844" s="6" t="s">
        <v>343</v>
      </c>
      <c r="Q844" s="6" t="s">
        <v>344</v>
      </c>
      <c r="R844" s="6" t="s">
        <v>106</v>
      </c>
      <c r="S844" s="7" t="str">
        <f t="shared" si="212"/>
        <v>Technology</v>
      </c>
      <c r="T844" s="6" t="s">
        <v>402</v>
      </c>
      <c r="U844" s="6" t="s">
        <v>3883</v>
      </c>
      <c r="V844" s="6" t="s">
        <v>76</v>
      </c>
      <c r="W844" s="7" t="str">
        <f t="shared" si="213"/>
        <v>First Class</v>
      </c>
      <c r="X844" s="6">
        <v>4</v>
      </c>
      <c r="Y844" s="6">
        <v>2192.08</v>
      </c>
      <c r="Z844" s="6">
        <v>0.15</v>
      </c>
      <c r="AA844" s="6">
        <f t="shared" si="215"/>
        <v>0.15</v>
      </c>
      <c r="AB844" s="6" t="str">
        <f t="shared" si="216"/>
        <v>Valid</v>
      </c>
      <c r="AC844" s="6">
        <v>7453.07</v>
      </c>
      <c r="AD844" s="6" t="str">
        <f>IF(OR(AO844="Cancelled",AM844="Failed"),"Exclude from Completed Sales","Include in Completed Sales")</f>
        <v>Include in Completed Sales</v>
      </c>
      <c r="AE844" s="6">
        <f t="shared" si="217"/>
        <v>7453.0719999999992</v>
      </c>
      <c r="AF844" s="6" t="str">
        <f t="shared" si="218"/>
        <v/>
      </c>
      <c r="AG844" s="6">
        <v>5133.78</v>
      </c>
      <c r="AH844" s="6">
        <v>2319.29</v>
      </c>
      <c r="AI844" s="6">
        <f t="shared" si="219"/>
        <v>2319.2919999999995</v>
      </c>
      <c r="AJ844" s="11">
        <f t="shared" si="220"/>
        <v>0.31118604516365866</v>
      </c>
      <c r="AK844" s="11" t="str">
        <f t="shared" si="221"/>
        <v>March</v>
      </c>
      <c r="AL844" s="12">
        <f t="shared" si="222"/>
        <v>2024</v>
      </c>
      <c r="AM844" s="6" t="s">
        <v>54</v>
      </c>
      <c r="AN844" s="6" t="s">
        <v>145</v>
      </c>
      <c r="AO844" s="6" t="str">
        <f t="shared" si="214"/>
        <v>Returned</v>
      </c>
    </row>
    <row r="845" spans="1:41">
      <c r="A845" s="6" t="s">
        <v>3884</v>
      </c>
      <c r="B845" s="7" t="s">
        <v>2720</v>
      </c>
      <c r="C845" s="8">
        <v>45856</v>
      </c>
      <c r="D845" s="7" t="s">
        <v>3885</v>
      </c>
      <c r="E845" s="9">
        <v>45863</v>
      </c>
      <c r="F845" s="9" t="str">
        <f t="shared" si="207"/>
        <v>Valid</v>
      </c>
      <c r="G845" s="10">
        <f t="shared" si="208"/>
        <v>7</v>
      </c>
      <c r="H845" s="10" t="str">
        <f t="shared" si="209"/>
        <v>Valid</v>
      </c>
      <c r="I845" s="6" t="s">
        <v>3886</v>
      </c>
      <c r="J845" s="6" t="s">
        <v>162</v>
      </c>
      <c r="K845" s="6" t="s">
        <v>162</v>
      </c>
      <c r="L845" s="6" t="s">
        <v>61</v>
      </c>
      <c r="M845" s="7" t="str">
        <f t="shared" si="210"/>
        <v>Small Business</v>
      </c>
      <c r="N845" s="6" t="s">
        <v>47</v>
      </c>
      <c r="O845" s="7" t="str">
        <f t="shared" si="211"/>
        <v>North</v>
      </c>
      <c r="P845" s="6" t="s">
        <v>194</v>
      </c>
      <c r="Q845" s="6" t="s">
        <v>195</v>
      </c>
      <c r="R845" s="6" t="s">
        <v>106</v>
      </c>
      <c r="S845" s="7" t="str">
        <f t="shared" si="212"/>
        <v>Technology</v>
      </c>
      <c r="T845" s="6" t="s">
        <v>243</v>
      </c>
      <c r="U845" s="6" t="s">
        <v>3887</v>
      </c>
      <c r="V845" s="6" t="s">
        <v>76</v>
      </c>
      <c r="W845" s="7" t="str">
        <f t="shared" si="213"/>
        <v>First Class</v>
      </c>
      <c r="X845" s="6">
        <v>9</v>
      </c>
      <c r="Y845" s="6">
        <v>3989.52</v>
      </c>
      <c r="Z845" s="6">
        <v>-0.02</v>
      </c>
      <c r="AA845" s="6">
        <f t="shared" si="215"/>
        <v>-0.02</v>
      </c>
      <c r="AB845" s="6" t="str">
        <f t="shared" si="216"/>
        <v>Invalid - Negative Discount</v>
      </c>
      <c r="AC845" s="6">
        <v>35905.68</v>
      </c>
      <c r="AD845" s="6" t="str">
        <f>IF(OR(AO845="Cancelled",AM845="Failed"),"Exclude from Completed Sales","Include in Completed Sales")</f>
        <v>Include in Completed Sales</v>
      </c>
      <c r="AE845" s="6">
        <f t="shared" si="217"/>
        <v>36623.793600000005</v>
      </c>
      <c r="AF845" s="6" t="str">
        <f t="shared" si="218"/>
        <v/>
      </c>
      <c r="AG845" s="6">
        <v>23916.1</v>
      </c>
      <c r="AH845" s="6">
        <v>11989.58</v>
      </c>
      <c r="AI845" s="6">
        <f t="shared" si="219"/>
        <v>12707.693600000006</v>
      </c>
      <c r="AJ845" s="11">
        <f t="shared" si="220"/>
        <v>0.34697917257812433</v>
      </c>
      <c r="AK845" s="11" t="str">
        <f t="shared" si="221"/>
        <v>July</v>
      </c>
      <c r="AL845" s="12">
        <f t="shared" si="222"/>
        <v>2025</v>
      </c>
      <c r="AM845" s="6" t="s">
        <v>54</v>
      </c>
      <c r="AN845" s="6" t="s">
        <v>55</v>
      </c>
      <c r="AO845" s="6" t="str">
        <f t="shared" si="214"/>
        <v>Completed</v>
      </c>
    </row>
    <row r="846" spans="1:41">
      <c r="A846" s="6" t="s">
        <v>3888</v>
      </c>
      <c r="B846" s="7" t="s">
        <v>3889</v>
      </c>
      <c r="C846" s="8">
        <v>45677</v>
      </c>
      <c r="D846" s="7" t="s">
        <v>3890</v>
      </c>
      <c r="E846" s="9">
        <v>45682</v>
      </c>
      <c r="F846" s="9" t="str">
        <f t="shared" si="207"/>
        <v>Valid</v>
      </c>
      <c r="G846" s="10">
        <f t="shared" si="208"/>
        <v>5</v>
      </c>
      <c r="H846" s="10" t="str">
        <f t="shared" si="209"/>
        <v>Valid</v>
      </c>
      <c r="I846" s="6" t="s">
        <v>3891</v>
      </c>
      <c r="J846" s="6" t="s">
        <v>127</v>
      </c>
      <c r="K846" s="6" t="s">
        <v>127</v>
      </c>
      <c r="L846" s="6" t="s">
        <v>135</v>
      </c>
      <c r="M846" s="7" t="str">
        <f t="shared" si="210"/>
        <v>Home Office</v>
      </c>
      <c r="N846" s="6" t="s">
        <v>93</v>
      </c>
      <c r="O846" s="7" t="str">
        <f t="shared" si="211"/>
        <v>West</v>
      </c>
      <c r="P846" s="6" t="s">
        <v>269</v>
      </c>
      <c r="Q846" s="6" t="s">
        <v>270</v>
      </c>
      <c r="R846" s="6" t="s">
        <v>50</v>
      </c>
      <c r="S846" s="7" t="str">
        <f t="shared" si="212"/>
        <v>Office Supplies</v>
      </c>
      <c r="T846" s="6" t="s">
        <v>74</v>
      </c>
      <c r="U846" s="6" t="s">
        <v>3892</v>
      </c>
      <c r="V846" s="6" t="s">
        <v>76</v>
      </c>
      <c r="W846" s="7" t="str">
        <f t="shared" si="213"/>
        <v>First Class</v>
      </c>
      <c r="X846" s="6">
        <v>1</v>
      </c>
      <c r="Y846" s="6">
        <v>3515.15</v>
      </c>
      <c r="Z846" s="6">
        <v>0</v>
      </c>
      <c r="AA846" s="6">
        <f t="shared" si="215"/>
        <v>0</v>
      </c>
      <c r="AB846" s="6" t="str">
        <f t="shared" si="216"/>
        <v>Valid</v>
      </c>
      <c r="AC846" s="6">
        <v>3515.15</v>
      </c>
      <c r="AD846" s="6" t="str">
        <f>IF(OR(AO846="Cancelled",AM846="Failed"),"Exclude from Completed Sales","Include in Completed Sales")</f>
        <v>Include in Completed Sales</v>
      </c>
      <c r="AE846" s="6">
        <f t="shared" si="217"/>
        <v>3515.15</v>
      </c>
      <c r="AF846" s="6" t="str">
        <f t="shared" si="218"/>
        <v/>
      </c>
      <c r="AG846" s="6">
        <v>2216.34</v>
      </c>
      <c r="AH846" s="6">
        <v>1298.81</v>
      </c>
      <c r="AI846" s="6">
        <f t="shared" si="219"/>
        <v>1298.81</v>
      </c>
      <c r="AJ846" s="11">
        <f t="shared" si="220"/>
        <v>0.36948921098672882</v>
      </c>
      <c r="AK846" s="11" t="str">
        <f t="shared" si="221"/>
        <v>January</v>
      </c>
      <c r="AL846" s="12">
        <f t="shared" si="222"/>
        <v>2025</v>
      </c>
      <c r="AM846" s="6" t="s">
        <v>54</v>
      </c>
      <c r="AN846" s="6" t="s">
        <v>55</v>
      </c>
      <c r="AO846" s="6" t="str">
        <f t="shared" si="214"/>
        <v>Completed</v>
      </c>
    </row>
    <row r="847" spans="1:41">
      <c r="A847" s="6" t="s">
        <v>3893</v>
      </c>
      <c r="B847" s="7" t="s">
        <v>2792</v>
      </c>
      <c r="C847" s="8">
        <v>45345</v>
      </c>
      <c r="D847" s="7" t="s">
        <v>3894</v>
      </c>
      <c r="E847" s="9">
        <v>45349</v>
      </c>
      <c r="F847" s="9" t="str">
        <f t="shared" si="207"/>
        <v>Valid</v>
      </c>
      <c r="G847" s="10">
        <f t="shared" si="208"/>
        <v>4</v>
      </c>
      <c r="H847" s="10" t="str">
        <f t="shared" si="209"/>
        <v>Valid</v>
      </c>
      <c r="I847" s="6" t="s">
        <v>913</v>
      </c>
      <c r="J847" s="6" t="s">
        <v>45</v>
      </c>
      <c r="K847" s="6" t="s">
        <v>45</v>
      </c>
      <c r="L847" s="6" t="s">
        <v>46</v>
      </c>
      <c r="M847" s="7" t="str">
        <f t="shared" si="210"/>
        <v>Consumer</v>
      </c>
      <c r="N847" s="6" t="s">
        <v>62</v>
      </c>
      <c r="O847" s="7" t="str">
        <f t="shared" si="211"/>
        <v>East</v>
      </c>
      <c r="P847" s="6" t="s">
        <v>63</v>
      </c>
      <c r="Q847" s="6" t="s">
        <v>64</v>
      </c>
      <c r="R847" s="6" t="s">
        <v>65</v>
      </c>
      <c r="S847" s="7" t="str">
        <f t="shared" si="212"/>
        <v>Furniture</v>
      </c>
      <c r="T847" s="6" t="s">
        <v>66</v>
      </c>
      <c r="U847" s="6" t="s">
        <v>3895</v>
      </c>
      <c r="V847" s="6" t="s">
        <v>76</v>
      </c>
      <c r="W847" s="7" t="str">
        <f t="shared" si="213"/>
        <v>First Class</v>
      </c>
      <c r="X847" s="6">
        <v>9</v>
      </c>
      <c r="Y847" s="6">
        <v>3616.23</v>
      </c>
      <c r="Z847" s="6">
        <v>0.25</v>
      </c>
      <c r="AA847" s="6">
        <f t="shared" si="215"/>
        <v>0.25</v>
      </c>
      <c r="AB847" s="6" t="str">
        <f t="shared" si="216"/>
        <v>Valid</v>
      </c>
      <c r="AC847" s="6">
        <v>24409.55</v>
      </c>
      <c r="AD847" s="6" t="str">
        <f>IF(OR(AO847="Cancelled",AM847="Failed"),"Exclude from Completed Sales","Include in Completed Sales")</f>
        <v>Include in Completed Sales</v>
      </c>
      <c r="AE847" s="6">
        <f t="shared" si="217"/>
        <v>24409.552499999998</v>
      </c>
      <c r="AF847" s="6" t="str">
        <f t="shared" si="218"/>
        <v/>
      </c>
      <c r="AG847" s="6">
        <v>17157.580000000002</v>
      </c>
      <c r="AH847" s="6">
        <v>7251.97</v>
      </c>
      <c r="AI847" s="6">
        <f t="shared" si="219"/>
        <v>7251.9724999999962</v>
      </c>
      <c r="AJ847" s="11">
        <f t="shared" si="220"/>
        <v>0.29709567596538267</v>
      </c>
      <c r="AK847" s="11" t="str">
        <f t="shared" si="221"/>
        <v>February</v>
      </c>
      <c r="AL847" s="12">
        <f t="shared" si="222"/>
        <v>2024</v>
      </c>
      <c r="AM847" s="6" t="s">
        <v>157</v>
      </c>
      <c r="AN847" s="6" t="s">
        <v>145</v>
      </c>
      <c r="AO847" s="6" t="str">
        <f t="shared" si="214"/>
        <v>Returned</v>
      </c>
    </row>
    <row r="848" spans="1:41">
      <c r="A848" s="6" t="s">
        <v>3896</v>
      </c>
      <c r="B848" s="7" t="s">
        <v>3897</v>
      </c>
      <c r="C848" s="8">
        <v>45396</v>
      </c>
      <c r="D848" s="7" t="s">
        <v>3898</v>
      </c>
      <c r="E848" s="9">
        <v>45404</v>
      </c>
      <c r="F848" s="9" t="str">
        <f t="shared" si="207"/>
        <v>Valid</v>
      </c>
      <c r="G848" s="10">
        <f t="shared" si="208"/>
        <v>8</v>
      </c>
      <c r="H848" s="10" t="str">
        <f t="shared" si="209"/>
        <v>Valid</v>
      </c>
      <c r="I848" s="6" t="s">
        <v>3899</v>
      </c>
      <c r="J848" s="6" t="s">
        <v>162</v>
      </c>
      <c r="K848" s="6" t="s">
        <v>162</v>
      </c>
      <c r="L848" s="6" t="s">
        <v>61</v>
      </c>
      <c r="M848" s="7" t="str">
        <f t="shared" si="210"/>
        <v>Small Business</v>
      </c>
      <c r="N848" s="6" t="s">
        <v>93</v>
      </c>
      <c r="O848" s="7" t="str">
        <f t="shared" si="211"/>
        <v>West</v>
      </c>
      <c r="P848" s="6" t="s">
        <v>255</v>
      </c>
      <c r="Q848" s="6" t="s">
        <v>256</v>
      </c>
      <c r="R848" s="6" t="s">
        <v>65</v>
      </c>
      <c r="S848" s="7" t="str">
        <f t="shared" si="212"/>
        <v>Furniture</v>
      </c>
      <c r="T848" s="6" t="s">
        <v>224</v>
      </c>
      <c r="U848" s="6" t="s">
        <v>3900</v>
      </c>
      <c r="V848" s="6" t="s">
        <v>87</v>
      </c>
      <c r="W848" s="7" t="str">
        <f t="shared" si="213"/>
        <v>Standard Class</v>
      </c>
      <c r="X848" s="6">
        <v>2</v>
      </c>
      <c r="Y848" s="6">
        <v>3977.52</v>
      </c>
      <c r="Z848" s="6">
        <v>0</v>
      </c>
      <c r="AA848" s="6">
        <f t="shared" si="215"/>
        <v>0</v>
      </c>
      <c r="AB848" s="6" t="str">
        <f t="shared" si="216"/>
        <v>Valid</v>
      </c>
      <c r="AC848" s="6">
        <v>7955.04</v>
      </c>
      <c r="AD848" s="6" t="str">
        <f>IF(OR(AO848="Cancelled",AM848="Failed"),"Exclude from Completed Sales","Include in Completed Sales")</f>
        <v>Include in Completed Sales</v>
      </c>
      <c r="AE848" s="6">
        <f t="shared" si="217"/>
        <v>7955.04</v>
      </c>
      <c r="AF848" s="6" t="str">
        <f t="shared" si="218"/>
        <v/>
      </c>
      <c r="AG848" s="6">
        <v>5580.68</v>
      </c>
      <c r="AH848" s="6">
        <v>2374.36</v>
      </c>
      <c r="AI848" s="6">
        <f t="shared" si="219"/>
        <v>2374.3599999999997</v>
      </c>
      <c r="AJ848" s="11">
        <f t="shared" si="220"/>
        <v>0.29847241497214339</v>
      </c>
      <c r="AK848" s="11" t="str">
        <f t="shared" si="221"/>
        <v>April</v>
      </c>
      <c r="AL848" s="12">
        <f t="shared" si="222"/>
        <v>2024</v>
      </c>
      <c r="AM848" s="6" t="s">
        <v>157</v>
      </c>
      <c r="AN848" s="6" t="s">
        <v>145</v>
      </c>
      <c r="AO848" s="6" t="str">
        <f t="shared" si="214"/>
        <v>Returned</v>
      </c>
    </row>
    <row r="849" spans="1:41">
      <c r="A849" s="6" t="s">
        <v>3901</v>
      </c>
      <c r="B849" s="7" t="s">
        <v>3902</v>
      </c>
      <c r="C849" s="8">
        <v>45797</v>
      </c>
      <c r="D849" s="7" t="s">
        <v>3903</v>
      </c>
      <c r="E849" s="9">
        <v>45799</v>
      </c>
      <c r="F849" s="9" t="str">
        <f t="shared" si="207"/>
        <v>Valid</v>
      </c>
      <c r="G849" s="10">
        <f t="shared" si="208"/>
        <v>2</v>
      </c>
      <c r="H849" s="10" t="str">
        <f t="shared" si="209"/>
        <v>Valid</v>
      </c>
      <c r="I849" s="6" t="s">
        <v>3904</v>
      </c>
      <c r="J849" s="6" t="s">
        <v>230</v>
      </c>
      <c r="K849" s="6" t="s">
        <v>230</v>
      </c>
      <c r="L849" s="6" t="s">
        <v>135</v>
      </c>
      <c r="M849" s="7" t="str">
        <f t="shared" si="210"/>
        <v>Home Office</v>
      </c>
      <c r="N849" s="6" t="s">
        <v>62</v>
      </c>
      <c r="O849" s="7" t="str">
        <f t="shared" si="211"/>
        <v>East</v>
      </c>
      <c r="P849" s="6" t="s">
        <v>63</v>
      </c>
      <c r="Q849" s="6" t="s">
        <v>64</v>
      </c>
      <c r="R849" s="6" t="s">
        <v>65</v>
      </c>
      <c r="S849" s="7" t="str">
        <f t="shared" si="212"/>
        <v>Furniture</v>
      </c>
      <c r="T849" s="6" t="s">
        <v>66</v>
      </c>
      <c r="U849" s="6" t="s">
        <v>3905</v>
      </c>
      <c r="V849" s="6" t="s">
        <v>53</v>
      </c>
      <c r="W849" s="7" t="str">
        <f t="shared" si="213"/>
        <v>Second Class</v>
      </c>
      <c r="X849" s="6">
        <v>2</v>
      </c>
      <c r="Y849" s="6">
        <v>210.08</v>
      </c>
      <c r="Z849" s="6">
        <v>0.2</v>
      </c>
      <c r="AA849" s="6">
        <f t="shared" si="215"/>
        <v>0.2</v>
      </c>
      <c r="AB849" s="6" t="str">
        <f t="shared" si="216"/>
        <v>Valid</v>
      </c>
      <c r="AC849" s="6">
        <v>336.13</v>
      </c>
      <c r="AD849" s="6" t="str">
        <f>IF(OR(AO849="Cancelled",AM849="Failed"),"Exclude from Completed Sales","Include in Completed Sales")</f>
        <v>Include in Completed Sales</v>
      </c>
      <c r="AE849" s="6">
        <f t="shared" si="217"/>
        <v>336.12800000000004</v>
      </c>
      <c r="AF849" s="6" t="str">
        <f t="shared" si="218"/>
        <v/>
      </c>
      <c r="AG849" s="6">
        <v>242.19</v>
      </c>
      <c r="AH849" s="6">
        <v>93.94</v>
      </c>
      <c r="AI849" s="6">
        <f t="shared" si="219"/>
        <v>93.938000000000045</v>
      </c>
      <c r="AJ849" s="11">
        <f t="shared" si="220"/>
        <v>0.27947091584158423</v>
      </c>
      <c r="AK849" s="11" t="str">
        <f t="shared" si="221"/>
        <v>May</v>
      </c>
      <c r="AL849" s="12">
        <f t="shared" si="222"/>
        <v>2025</v>
      </c>
      <c r="AM849" s="6" t="s">
        <v>54</v>
      </c>
      <c r="AN849" s="6" t="s">
        <v>55</v>
      </c>
      <c r="AO849" s="6" t="str">
        <f t="shared" si="214"/>
        <v>Completed</v>
      </c>
    </row>
    <row r="850" spans="1:41">
      <c r="A850" s="6" t="s">
        <v>3906</v>
      </c>
      <c r="B850" s="7" t="s">
        <v>3165</v>
      </c>
      <c r="C850" s="8">
        <v>45804</v>
      </c>
      <c r="D850" s="7" t="s">
        <v>3907</v>
      </c>
      <c r="E850" s="9">
        <v>45806</v>
      </c>
      <c r="F850" s="9" t="str">
        <f t="shared" si="207"/>
        <v>Valid</v>
      </c>
      <c r="G850" s="10">
        <f t="shared" si="208"/>
        <v>2</v>
      </c>
      <c r="H850" s="10" t="str">
        <f t="shared" si="209"/>
        <v>Valid</v>
      </c>
      <c r="I850" s="6" t="s">
        <v>3908</v>
      </c>
      <c r="J850" s="6" t="s">
        <v>168</v>
      </c>
      <c r="K850" s="6" t="s">
        <v>168</v>
      </c>
      <c r="L850" s="6" t="s">
        <v>135</v>
      </c>
      <c r="M850" s="7" t="str">
        <f t="shared" si="210"/>
        <v>Home Office</v>
      </c>
      <c r="N850" s="6" t="s">
        <v>82</v>
      </c>
      <c r="O850" s="7" t="str">
        <f t="shared" si="211"/>
        <v>South</v>
      </c>
      <c r="P850" s="6" t="s">
        <v>359</v>
      </c>
      <c r="Q850" s="6" t="s">
        <v>360</v>
      </c>
      <c r="R850" s="6" t="s">
        <v>65</v>
      </c>
      <c r="S850" s="7" t="str">
        <f t="shared" si="212"/>
        <v>Furniture</v>
      </c>
      <c r="T850" s="6" t="s">
        <v>85</v>
      </c>
      <c r="U850" s="6" t="s">
        <v>3909</v>
      </c>
      <c r="V850" s="6" t="s">
        <v>53</v>
      </c>
      <c r="W850" s="7" t="str">
        <f t="shared" si="213"/>
        <v>Second Class</v>
      </c>
      <c r="X850" s="6">
        <v>1</v>
      </c>
      <c r="Y850" s="6">
        <v>1744.35</v>
      </c>
      <c r="Z850" s="6">
        <v>0.25</v>
      </c>
      <c r="AA850" s="6">
        <f t="shared" si="215"/>
        <v>0.25</v>
      </c>
      <c r="AB850" s="6" t="str">
        <f t="shared" si="216"/>
        <v>Valid</v>
      </c>
      <c r="AC850" s="6">
        <v>1308.26</v>
      </c>
      <c r="AD850" s="6" t="str">
        <f>IF(OR(AO850="Cancelled",AM850="Failed"),"Exclude from Completed Sales","Include in Completed Sales")</f>
        <v>Include in Completed Sales</v>
      </c>
      <c r="AE850" s="6">
        <f t="shared" si="217"/>
        <v>1308.2624999999998</v>
      </c>
      <c r="AF850" s="6" t="str">
        <f t="shared" si="218"/>
        <v/>
      </c>
      <c r="AG850" s="6">
        <v>1083.56</v>
      </c>
      <c r="AH850" s="6">
        <v>224.7</v>
      </c>
      <c r="AI850" s="6">
        <f t="shared" si="219"/>
        <v>224.70249999999987</v>
      </c>
      <c r="AJ850" s="11">
        <f t="shared" si="220"/>
        <v>0.17175643267310645</v>
      </c>
      <c r="AK850" s="11" t="str">
        <f t="shared" si="221"/>
        <v>May</v>
      </c>
      <c r="AL850" s="12">
        <f t="shared" si="222"/>
        <v>2025</v>
      </c>
      <c r="AM850" s="6" t="s">
        <v>54</v>
      </c>
      <c r="AN850" s="6" t="s">
        <v>55</v>
      </c>
      <c r="AO850" s="6" t="str">
        <f t="shared" si="214"/>
        <v>Completed</v>
      </c>
    </row>
    <row r="851" spans="1:41">
      <c r="A851" s="6" t="s">
        <v>3910</v>
      </c>
      <c r="B851" s="7" t="s">
        <v>3911</v>
      </c>
      <c r="C851" s="8">
        <v>45357</v>
      </c>
      <c r="D851" s="7" t="s">
        <v>1091</v>
      </c>
      <c r="E851" s="9">
        <v>45363</v>
      </c>
      <c r="F851" s="9" t="str">
        <f t="shared" si="207"/>
        <v>Valid</v>
      </c>
      <c r="G851" s="10">
        <f t="shared" si="208"/>
        <v>6</v>
      </c>
      <c r="H851" s="10" t="str">
        <f t="shared" si="209"/>
        <v>Valid</v>
      </c>
      <c r="I851" s="6" t="s">
        <v>3912</v>
      </c>
      <c r="J851" s="6" t="s">
        <v>73</v>
      </c>
      <c r="K851" s="6" t="s">
        <v>73</v>
      </c>
      <c r="L851" s="6" t="s">
        <v>135</v>
      </c>
      <c r="M851" s="7" t="str">
        <f t="shared" si="210"/>
        <v>Home Office</v>
      </c>
      <c r="N851" s="6" t="s">
        <v>93</v>
      </c>
      <c r="O851" s="7" t="str">
        <f t="shared" si="211"/>
        <v>West</v>
      </c>
      <c r="P851" s="6" t="s">
        <v>255</v>
      </c>
      <c r="Q851" s="6" t="s">
        <v>256</v>
      </c>
      <c r="R851" s="6" t="s">
        <v>65</v>
      </c>
      <c r="S851" s="7" t="str">
        <f t="shared" si="212"/>
        <v>Furniture</v>
      </c>
      <c r="T851" s="6" t="s">
        <v>224</v>
      </c>
      <c r="U851" s="6" t="s">
        <v>3913</v>
      </c>
      <c r="V851" s="6" t="s">
        <v>87</v>
      </c>
      <c r="W851" s="7" t="str">
        <f t="shared" si="213"/>
        <v>Standard Class</v>
      </c>
      <c r="X851" s="6">
        <v>3</v>
      </c>
      <c r="Y851" s="6">
        <v>679.63</v>
      </c>
      <c r="Z851" s="6">
        <v>0.2</v>
      </c>
      <c r="AA851" s="6">
        <f t="shared" si="215"/>
        <v>0.2</v>
      </c>
      <c r="AB851" s="6" t="str">
        <f t="shared" si="216"/>
        <v>Valid</v>
      </c>
      <c r="AC851" s="6">
        <v>1631.11</v>
      </c>
      <c r="AD851" s="6" t="str">
        <f>IF(OR(AO851="Cancelled",AM851="Failed"),"Exclude from Completed Sales","Include in Completed Sales")</f>
        <v>Include in Completed Sales</v>
      </c>
      <c r="AE851" s="6">
        <f t="shared" si="217"/>
        <v>1631.1120000000001</v>
      </c>
      <c r="AF851" s="6" t="str">
        <f t="shared" si="218"/>
        <v/>
      </c>
      <c r="AG851" s="6">
        <v>898.73</v>
      </c>
      <c r="AH851" s="6">
        <v>396.58</v>
      </c>
      <c r="AI851" s="6">
        <f t="shared" si="219"/>
        <v>732.38200000000006</v>
      </c>
      <c r="AJ851" s="11">
        <f t="shared" si="220"/>
        <v>0.44900779345624336</v>
      </c>
      <c r="AK851" s="11" t="str">
        <f t="shared" si="221"/>
        <v>March</v>
      </c>
      <c r="AL851" s="12">
        <f t="shared" si="222"/>
        <v>2024</v>
      </c>
      <c r="AM851" s="6" t="s">
        <v>54</v>
      </c>
      <c r="AN851" s="6" t="s">
        <v>55</v>
      </c>
      <c r="AO851" s="6" t="str">
        <f t="shared" si="214"/>
        <v>Completed</v>
      </c>
    </row>
    <row r="852" spans="1:41">
      <c r="A852" s="6" t="s">
        <v>3914</v>
      </c>
      <c r="B852" s="7" t="s">
        <v>2124</v>
      </c>
      <c r="C852" s="8">
        <v>45473</v>
      </c>
      <c r="D852" s="7" t="s">
        <v>3791</v>
      </c>
      <c r="E852" s="9">
        <v>45476</v>
      </c>
      <c r="F852" s="9" t="str">
        <f t="shared" si="207"/>
        <v>Valid</v>
      </c>
      <c r="G852" s="10">
        <f t="shared" si="208"/>
        <v>3</v>
      </c>
      <c r="H852" s="10" t="str">
        <f t="shared" si="209"/>
        <v>Valid</v>
      </c>
      <c r="I852" s="6" t="s">
        <v>3915</v>
      </c>
      <c r="J852" s="6" t="s">
        <v>162</v>
      </c>
      <c r="K852" s="6" t="s">
        <v>162</v>
      </c>
      <c r="L852" s="6" t="s">
        <v>135</v>
      </c>
      <c r="M852" s="7" t="str">
        <f t="shared" si="210"/>
        <v>Home Office</v>
      </c>
      <c r="N852" s="6" t="s">
        <v>62</v>
      </c>
      <c r="O852" s="7" t="str">
        <f t="shared" si="211"/>
        <v>East</v>
      </c>
      <c r="P852" s="6" t="s">
        <v>141</v>
      </c>
      <c r="Q852" s="6" t="s">
        <v>142</v>
      </c>
      <c r="R852" s="6" t="s">
        <v>50</v>
      </c>
      <c r="S852" s="7" t="str">
        <f t="shared" si="212"/>
        <v>Office Supplies</v>
      </c>
      <c r="T852" s="6" t="s">
        <v>51</v>
      </c>
      <c r="U852" s="6" t="s">
        <v>3916</v>
      </c>
      <c r="V852" s="6" t="s">
        <v>76</v>
      </c>
      <c r="W852" s="7" t="str">
        <f t="shared" si="213"/>
        <v>First Class</v>
      </c>
      <c r="X852" s="6">
        <v>6</v>
      </c>
      <c r="Y852" s="6">
        <v>1211.01</v>
      </c>
      <c r="Z852" s="6">
        <v>0</v>
      </c>
      <c r="AA852" s="6">
        <f t="shared" si="215"/>
        <v>0</v>
      </c>
      <c r="AB852" s="6" t="str">
        <f t="shared" si="216"/>
        <v>Valid</v>
      </c>
      <c r="AC852" s="6">
        <v>7266.06</v>
      </c>
      <c r="AD852" s="6" t="str">
        <f>IF(OR(AO852="Cancelled",AM852="Failed"),"Exclude from Completed Sales","Include in Completed Sales")</f>
        <v>Include in Completed Sales</v>
      </c>
      <c r="AE852" s="6">
        <f t="shared" si="217"/>
        <v>7266.0599999999995</v>
      </c>
      <c r="AF852" s="6" t="str">
        <f t="shared" si="218"/>
        <v/>
      </c>
      <c r="AG852" s="6">
        <v>6216.89</v>
      </c>
      <c r="AH852" s="6">
        <v>1049.17</v>
      </c>
      <c r="AI852" s="6">
        <f t="shared" si="219"/>
        <v>1049.1699999999992</v>
      </c>
      <c r="AJ852" s="11">
        <f t="shared" si="220"/>
        <v>0.14439324750965438</v>
      </c>
      <c r="AK852" s="11" t="str">
        <f t="shared" si="221"/>
        <v>June</v>
      </c>
      <c r="AL852" s="12">
        <f t="shared" si="222"/>
        <v>2024</v>
      </c>
      <c r="AM852" s="6" t="s">
        <v>54</v>
      </c>
      <c r="AN852" s="6" t="s">
        <v>55</v>
      </c>
      <c r="AO852" s="6" t="str">
        <f t="shared" si="214"/>
        <v>Completed</v>
      </c>
    </row>
    <row r="853" spans="1:41">
      <c r="A853" s="6" t="s">
        <v>3917</v>
      </c>
      <c r="B853" s="7" t="s">
        <v>826</v>
      </c>
      <c r="C853" s="8">
        <v>45377</v>
      </c>
      <c r="D853" s="7" t="s">
        <v>3174</v>
      </c>
      <c r="E853" s="9">
        <v>45383</v>
      </c>
      <c r="F853" s="9" t="str">
        <f t="shared" si="207"/>
        <v>Valid</v>
      </c>
      <c r="G853" s="10">
        <f t="shared" si="208"/>
        <v>6</v>
      </c>
      <c r="H853" s="10" t="str">
        <f t="shared" si="209"/>
        <v>Valid</v>
      </c>
      <c r="I853" s="6" t="s">
        <v>3918</v>
      </c>
      <c r="J853" s="6" t="s">
        <v>45</v>
      </c>
      <c r="K853" s="6" t="s">
        <v>45</v>
      </c>
      <c r="L853" s="6" t="s">
        <v>61</v>
      </c>
      <c r="M853" s="7" t="str">
        <f t="shared" si="210"/>
        <v>Small Business</v>
      </c>
      <c r="N853" s="6" t="s">
        <v>93</v>
      </c>
      <c r="O853" s="7" t="str">
        <f t="shared" si="211"/>
        <v>West</v>
      </c>
      <c r="P853" s="6" t="s">
        <v>255</v>
      </c>
      <c r="Q853" s="6" t="s">
        <v>256</v>
      </c>
      <c r="R853" s="6" t="s">
        <v>106</v>
      </c>
      <c r="S853" s="7" t="str">
        <f t="shared" si="212"/>
        <v>Technology</v>
      </c>
      <c r="T853" s="6" t="s">
        <v>107</v>
      </c>
      <c r="U853" s="6" t="s">
        <v>3919</v>
      </c>
      <c r="V853" s="6" t="s">
        <v>76</v>
      </c>
      <c r="W853" s="7" t="str">
        <f t="shared" si="213"/>
        <v>First Class</v>
      </c>
      <c r="X853" s="6">
        <v>2</v>
      </c>
      <c r="Y853" s="6">
        <v>1161.3</v>
      </c>
      <c r="Z853" s="6">
        <v>0.2</v>
      </c>
      <c r="AA853" s="6">
        <f t="shared" si="215"/>
        <v>0.2</v>
      </c>
      <c r="AB853" s="6" t="str">
        <f t="shared" si="216"/>
        <v>Valid</v>
      </c>
      <c r="AC853" s="6">
        <v>1858.08</v>
      </c>
      <c r="AD853" s="6" t="str">
        <f>IF(OR(AO853="Cancelled",AM853="Failed"),"Exclude from Completed Sales","Include in Completed Sales")</f>
        <v>Include in Completed Sales</v>
      </c>
      <c r="AE853" s="6">
        <f t="shared" si="217"/>
        <v>1858.08</v>
      </c>
      <c r="AF853" s="6" t="str">
        <f t="shared" si="218"/>
        <v/>
      </c>
      <c r="AG853" s="6">
        <v>1590.75</v>
      </c>
      <c r="AH853" s="6">
        <v>267.33</v>
      </c>
      <c r="AI853" s="6">
        <f t="shared" si="219"/>
        <v>267.32999999999993</v>
      </c>
      <c r="AJ853" s="11">
        <f t="shared" si="220"/>
        <v>0.14387432188065097</v>
      </c>
      <c r="AK853" s="11" t="str">
        <f t="shared" si="221"/>
        <v>March</v>
      </c>
      <c r="AL853" s="12">
        <f t="shared" si="222"/>
        <v>2024</v>
      </c>
      <c r="AM853" s="6" t="s">
        <v>54</v>
      </c>
      <c r="AN853" s="6" t="s">
        <v>55</v>
      </c>
      <c r="AO853" s="6" t="str">
        <f t="shared" si="214"/>
        <v>Completed</v>
      </c>
    </row>
    <row r="854" spans="1:41">
      <c r="A854" s="6" t="s">
        <v>3920</v>
      </c>
      <c r="B854" s="7" t="s">
        <v>3921</v>
      </c>
      <c r="C854" s="8">
        <v>45383</v>
      </c>
      <c r="D854" s="7" t="s">
        <v>3744</v>
      </c>
      <c r="E854" s="9">
        <v>45390</v>
      </c>
      <c r="F854" s="9" t="str">
        <f t="shared" si="207"/>
        <v>Valid</v>
      </c>
      <c r="G854" s="10">
        <f t="shared" si="208"/>
        <v>7</v>
      </c>
      <c r="H854" s="10" t="str">
        <f t="shared" si="209"/>
        <v>Valid</v>
      </c>
      <c r="I854" s="6" t="s">
        <v>3922</v>
      </c>
      <c r="J854" s="6" t="s">
        <v>92</v>
      </c>
      <c r="K854" s="6" t="s">
        <v>92</v>
      </c>
      <c r="L854" s="6" t="s">
        <v>46</v>
      </c>
      <c r="M854" s="7" t="str">
        <f t="shared" si="210"/>
        <v>Consumer</v>
      </c>
      <c r="N854" s="6" t="s">
        <v>62</v>
      </c>
      <c r="O854" s="7" t="str">
        <f t="shared" si="211"/>
        <v>East</v>
      </c>
      <c r="P854" s="6" t="s">
        <v>236</v>
      </c>
      <c r="Q854" s="6" t="s">
        <v>237</v>
      </c>
      <c r="R854" s="6" t="s">
        <v>65</v>
      </c>
      <c r="S854" s="7" t="str">
        <f t="shared" si="212"/>
        <v>Furniture</v>
      </c>
      <c r="T854" s="6" t="s">
        <v>66</v>
      </c>
      <c r="U854" s="6" t="s">
        <v>3923</v>
      </c>
      <c r="V854" s="6" t="s">
        <v>53</v>
      </c>
      <c r="W854" s="7" t="str">
        <f t="shared" si="213"/>
        <v>Second Class</v>
      </c>
      <c r="X854" s="6">
        <v>7</v>
      </c>
      <c r="Y854" s="6">
        <v>4205.3500000000004</v>
      </c>
      <c r="Z854" s="6">
        <v>0.15</v>
      </c>
      <c r="AA854" s="6">
        <f t="shared" si="215"/>
        <v>0.15</v>
      </c>
      <c r="AB854" s="6" t="str">
        <f t="shared" si="216"/>
        <v>Valid</v>
      </c>
      <c r="AC854" s="6">
        <v>25021.83</v>
      </c>
      <c r="AD854" s="6" t="str">
        <f>IF(OR(AO854="Cancelled",AM854="Failed"),"Exclude from Completed Sales","Include in Completed Sales")</f>
        <v>Exclude from Completed Sales</v>
      </c>
      <c r="AE854" s="6">
        <f t="shared" si="217"/>
        <v>25021.832500000004</v>
      </c>
      <c r="AF854" s="6" t="str">
        <f t="shared" si="218"/>
        <v/>
      </c>
      <c r="AG854" s="6">
        <v>15544.44</v>
      </c>
      <c r="AH854" s="6">
        <v>9477.39</v>
      </c>
      <c r="AI854" s="6">
        <f t="shared" si="219"/>
        <v>9477.3925000000036</v>
      </c>
      <c r="AJ854" s="11">
        <f t="shared" si="220"/>
        <v>0.37876492459135447</v>
      </c>
      <c r="AK854" s="11" t="str">
        <f t="shared" si="221"/>
        <v>April</v>
      </c>
      <c r="AL854" s="12">
        <f t="shared" si="222"/>
        <v>2024</v>
      </c>
      <c r="AM854" s="6" t="s">
        <v>157</v>
      </c>
      <c r="AN854" s="6" t="s">
        <v>98</v>
      </c>
      <c r="AO854" s="6" t="str">
        <f t="shared" si="214"/>
        <v>Cancelled</v>
      </c>
    </row>
    <row r="855" spans="1:41">
      <c r="A855" s="6" t="s">
        <v>3924</v>
      </c>
      <c r="B855" s="7" t="s">
        <v>3925</v>
      </c>
      <c r="C855" s="8">
        <v>45793</v>
      </c>
      <c r="D855" s="7" t="s">
        <v>3903</v>
      </c>
      <c r="E855" s="9">
        <v>45799</v>
      </c>
      <c r="F855" s="9" t="str">
        <f t="shared" si="207"/>
        <v>Valid</v>
      </c>
      <c r="G855" s="10">
        <f t="shared" si="208"/>
        <v>6</v>
      </c>
      <c r="H855" s="10" t="str">
        <f t="shared" si="209"/>
        <v>Valid</v>
      </c>
      <c r="I855" s="6" t="s">
        <v>3926</v>
      </c>
      <c r="J855" s="6" t="s">
        <v>81</v>
      </c>
      <c r="K855" s="6" t="s">
        <v>81</v>
      </c>
      <c r="L855" s="6" t="s">
        <v>128</v>
      </c>
      <c r="M855" s="7" t="str">
        <f t="shared" si="210"/>
        <v>Corporate</v>
      </c>
      <c r="N855" s="6" t="s">
        <v>82</v>
      </c>
      <c r="O855" s="7" t="str">
        <f t="shared" si="211"/>
        <v>South</v>
      </c>
      <c r="P855" s="6" t="s">
        <v>359</v>
      </c>
      <c r="Q855" s="6" t="s">
        <v>360</v>
      </c>
      <c r="R855" s="6" t="s">
        <v>106</v>
      </c>
      <c r="S855" s="7" t="str">
        <f t="shared" si="212"/>
        <v>Technology</v>
      </c>
      <c r="T855" s="6" t="s">
        <v>107</v>
      </c>
      <c r="U855" s="6" t="s">
        <v>3927</v>
      </c>
      <c r="V855" s="6" t="s">
        <v>68</v>
      </c>
      <c r="W855" s="7" t="str">
        <f t="shared" si="213"/>
        <v>Same Day</v>
      </c>
      <c r="X855" s="6">
        <v>8</v>
      </c>
      <c r="Y855" s="6">
        <v>579.79999999999995</v>
      </c>
      <c r="Z855" s="6">
        <v>0.2</v>
      </c>
      <c r="AA855" s="6">
        <f t="shared" si="215"/>
        <v>0.2</v>
      </c>
      <c r="AB855" s="6" t="str">
        <f t="shared" si="216"/>
        <v>Valid</v>
      </c>
      <c r="AC855" s="6">
        <v>3710.72</v>
      </c>
      <c r="AD855" s="6" t="str">
        <f>IF(OR(AO855="Cancelled",AM855="Failed"),"Exclude from Completed Sales","Include in Completed Sales")</f>
        <v>Include in Completed Sales</v>
      </c>
      <c r="AE855" s="6">
        <f t="shared" si="217"/>
        <v>3710.72</v>
      </c>
      <c r="AF855" s="6" t="str">
        <f t="shared" si="218"/>
        <v/>
      </c>
      <c r="AG855" s="6">
        <v>3115.29</v>
      </c>
      <c r="AH855" s="6">
        <v>595.42999999999995</v>
      </c>
      <c r="AI855" s="6">
        <f t="shared" si="219"/>
        <v>595.42999999999984</v>
      </c>
      <c r="AJ855" s="11">
        <f t="shared" si="220"/>
        <v>0.16046212055881334</v>
      </c>
      <c r="AK855" s="11" t="str">
        <f t="shared" si="221"/>
        <v>May</v>
      </c>
      <c r="AL855" s="12">
        <f t="shared" si="222"/>
        <v>2025</v>
      </c>
      <c r="AM855" s="6" t="s">
        <v>54</v>
      </c>
      <c r="AN855" s="6" t="s">
        <v>55</v>
      </c>
      <c r="AO855" s="6" t="str">
        <f t="shared" si="214"/>
        <v>Completed</v>
      </c>
    </row>
    <row r="856" spans="1:41">
      <c r="A856" s="6" t="s">
        <v>3928</v>
      </c>
      <c r="B856" s="7" t="s">
        <v>3929</v>
      </c>
      <c r="C856" s="8">
        <v>45741</v>
      </c>
      <c r="D856" s="7" t="s">
        <v>3930</v>
      </c>
      <c r="E856" s="9">
        <v>45749</v>
      </c>
      <c r="F856" s="9" t="str">
        <f t="shared" si="207"/>
        <v>Valid</v>
      </c>
      <c r="G856" s="10">
        <f t="shared" si="208"/>
        <v>8</v>
      </c>
      <c r="H856" s="10" t="str">
        <f t="shared" si="209"/>
        <v>Valid</v>
      </c>
      <c r="I856" s="6" t="s">
        <v>3931</v>
      </c>
      <c r="J856" s="6" t="s">
        <v>162</v>
      </c>
      <c r="K856" s="6" t="s">
        <v>162</v>
      </c>
      <c r="L856" s="6" t="s">
        <v>46</v>
      </c>
      <c r="M856" s="7" t="str">
        <f t="shared" si="210"/>
        <v>Consumer</v>
      </c>
      <c r="N856" s="6" t="s">
        <v>82</v>
      </c>
      <c r="O856" s="7" t="str">
        <f t="shared" si="211"/>
        <v>South</v>
      </c>
      <c r="P856" s="6" t="s">
        <v>249</v>
      </c>
      <c r="Q856" s="6" t="s">
        <v>250</v>
      </c>
      <c r="R856" s="6" t="s">
        <v>65</v>
      </c>
      <c r="S856" s="7" t="str">
        <f t="shared" si="212"/>
        <v>Furniture</v>
      </c>
      <c r="T856" s="6" t="s">
        <v>224</v>
      </c>
      <c r="U856" s="6" t="s">
        <v>3932</v>
      </c>
      <c r="V856" s="6" t="s">
        <v>53</v>
      </c>
      <c r="W856" s="7" t="str">
        <f t="shared" si="213"/>
        <v>Second Class</v>
      </c>
      <c r="X856" s="6">
        <v>4</v>
      </c>
      <c r="Y856" s="6">
        <v>2233.64</v>
      </c>
      <c r="Z856" s="6">
        <v>0.05</v>
      </c>
      <c r="AA856" s="6">
        <f t="shared" si="215"/>
        <v>0.05</v>
      </c>
      <c r="AB856" s="6" t="str">
        <f t="shared" si="216"/>
        <v>Valid</v>
      </c>
      <c r="AC856" s="6">
        <v>8487.83</v>
      </c>
      <c r="AD856" s="6" t="str">
        <f>IF(OR(AO856="Cancelled",AM856="Failed"),"Exclude from Completed Sales","Include in Completed Sales")</f>
        <v>Include in Completed Sales</v>
      </c>
      <c r="AE856" s="6">
        <f t="shared" si="217"/>
        <v>8487.8319999999985</v>
      </c>
      <c r="AF856" s="6" t="str">
        <f t="shared" si="218"/>
        <v/>
      </c>
      <c r="AG856" s="6">
        <v>5245.72</v>
      </c>
      <c r="AH856" s="6">
        <v>3242.11</v>
      </c>
      <c r="AI856" s="6">
        <f t="shared" si="219"/>
        <v>3242.1119999999983</v>
      </c>
      <c r="AJ856" s="11">
        <f t="shared" si="220"/>
        <v>0.38197174496384928</v>
      </c>
      <c r="AK856" s="11" t="str">
        <f t="shared" si="221"/>
        <v>March</v>
      </c>
      <c r="AL856" s="12">
        <f t="shared" si="222"/>
        <v>2025</v>
      </c>
      <c r="AM856" s="6" t="s">
        <v>54</v>
      </c>
      <c r="AN856" s="6" t="s">
        <v>55</v>
      </c>
      <c r="AO856" s="6" t="str">
        <f t="shared" si="214"/>
        <v>Completed</v>
      </c>
    </row>
    <row r="857" spans="1:41">
      <c r="A857" s="6" t="s">
        <v>3933</v>
      </c>
      <c r="B857" s="7" t="s">
        <v>758</v>
      </c>
      <c r="C857" s="8">
        <v>45498</v>
      </c>
      <c r="D857" s="7" t="s">
        <v>3934</v>
      </c>
      <c r="E857" s="9">
        <v>45506</v>
      </c>
      <c r="F857" s="9" t="str">
        <f t="shared" si="207"/>
        <v>Valid</v>
      </c>
      <c r="G857" s="10">
        <f t="shared" si="208"/>
        <v>8</v>
      </c>
      <c r="H857" s="10" t="str">
        <f t="shared" si="209"/>
        <v>Valid</v>
      </c>
      <c r="I857" s="6" t="s">
        <v>1736</v>
      </c>
      <c r="J857" s="6" t="s">
        <v>168</v>
      </c>
      <c r="K857" s="6" t="s">
        <v>168</v>
      </c>
      <c r="L857" s="6" t="s">
        <v>46</v>
      </c>
      <c r="M857" s="7" t="str">
        <f t="shared" si="210"/>
        <v>Consumer</v>
      </c>
      <c r="N857" s="6" t="s">
        <v>47</v>
      </c>
      <c r="O857" s="7" t="str">
        <f t="shared" si="211"/>
        <v>North</v>
      </c>
      <c r="P857" s="6" t="s">
        <v>48</v>
      </c>
      <c r="Q857" s="6" t="s">
        <v>49</v>
      </c>
      <c r="R857" s="6" t="s">
        <v>50</v>
      </c>
      <c r="S857" s="7" t="str">
        <f t="shared" si="212"/>
        <v>Office Supplies</v>
      </c>
      <c r="T857" s="6" t="s">
        <v>3935</v>
      </c>
      <c r="U857" s="6" t="s">
        <v>3936</v>
      </c>
      <c r="V857" s="6" t="s">
        <v>53</v>
      </c>
      <c r="W857" s="7" t="str">
        <f t="shared" si="213"/>
        <v>Second Class</v>
      </c>
      <c r="X857" s="6">
        <v>2</v>
      </c>
      <c r="Y857" s="6">
        <v>2073.5300000000002</v>
      </c>
      <c r="Z857" s="6">
        <v>0.25</v>
      </c>
      <c r="AA857" s="6">
        <f t="shared" si="215"/>
        <v>0.25</v>
      </c>
      <c r="AB857" s="6" t="str">
        <f t="shared" si="216"/>
        <v>Valid</v>
      </c>
      <c r="AC857" s="6">
        <v>3110.3</v>
      </c>
      <c r="AD857" s="6" t="str">
        <f>IF(OR(AO857="Cancelled",AM857="Failed"),"Exclude from Completed Sales","Include in Completed Sales")</f>
        <v>Include in Completed Sales</v>
      </c>
      <c r="AE857" s="6">
        <f t="shared" si="217"/>
        <v>3110.2950000000001</v>
      </c>
      <c r="AF857" s="6" t="str">
        <f t="shared" si="218"/>
        <v/>
      </c>
      <c r="AG857" s="6">
        <v>2101.0300000000002</v>
      </c>
      <c r="AH857" s="6">
        <v>1009.27</v>
      </c>
      <c r="AI857" s="6">
        <f t="shared" si="219"/>
        <v>1009.2649999999999</v>
      </c>
      <c r="AJ857" s="11">
        <f t="shared" si="220"/>
        <v>0.32449172827657824</v>
      </c>
      <c r="AK857" s="11" t="str">
        <f t="shared" si="221"/>
        <v>July</v>
      </c>
      <c r="AL857" s="12">
        <f t="shared" si="222"/>
        <v>2024</v>
      </c>
      <c r="AM857" s="6" t="s">
        <v>54</v>
      </c>
      <c r="AN857" s="6" t="s">
        <v>55</v>
      </c>
      <c r="AO857" s="6" t="str">
        <f t="shared" si="214"/>
        <v>Completed</v>
      </c>
    </row>
    <row r="858" spans="1:41">
      <c r="A858" s="6" t="s">
        <v>3937</v>
      </c>
      <c r="B858" s="7" t="s">
        <v>3938</v>
      </c>
      <c r="C858" s="8">
        <v>45455</v>
      </c>
      <c r="D858" s="7" t="s">
        <v>710</v>
      </c>
      <c r="E858" s="9">
        <v>45462</v>
      </c>
      <c r="F858" s="9" t="str">
        <f t="shared" si="207"/>
        <v>Valid</v>
      </c>
      <c r="G858" s="10">
        <f t="shared" si="208"/>
        <v>7</v>
      </c>
      <c r="H858" s="10" t="str">
        <f t="shared" si="209"/>
        <v>Valid</v>
      </c>
      <c r="I858" s="6" t="s">
        <v>1999</v>
      </c>
      <c r="J858" s="6" t="s">
        <v>200</v>
      </c>
      <c r="K858" s="6" t="s">
        <v>200</v>
      </c>
      <c r="L858" s="6" t="s">
        <v>135</v>
      </c>
      <c r="M858" s="7" t="str">
        <f t="shared" si="210"/>
        <v>Home Office</v>
      </c>
      <c r="N858" s="6" t="s">
        <v>82</v>
      </c>
      <c r="O858" s="7" t="str">
        <f t="shared" si="211"/>
        <v>South</v>
      </c>
      <c r="P858" s="6" t="s">
        <v>359</v>
      </c>
      <c r="Q858" s="6" t="s">
        <v>360</v>
      </c>
      <c r="R858" s="6" t="s">
        <v>50</v>
      </c>
      <c r="S858" s="7" t="str">
        <f t="shared" si="212"/>
        <v>Office Supplies</v>
      </c>
      <c r="T858" s="6" t="s">
        <v>176</v>
      </c>
      <c r="U858" s="6" t="s">
        <v>3939</v>
      </c>
      <c r="V858" s="6" t="s">
        <v>87</v>
      </c>
      <c r="W858" s="7" t="str">
        <f t="shared" si="213"/>
        <v>Standard Class</v>
      </c>
      <c r="X858" s="6">
        <v>4</v>
      </c>
      <c r="Y858" s="6">
        <v>395.1</v>
      </c>
      <c r="Z858" s="6">
        <v>-0.16</v>
      </c>
      <c r="AA858" s="6">
        <f t="shared" si="215"/>
        <v>-0.16</v>
      </c>
      <c r="AB858" s="6" t="str">
        <f t="shared" si="216"/>
        <v>Invalid - Negative Discount</v>
      </c>
      <c r="AC858" s="6">
        <v>1185.3</v>
      </c>
      <c r="AD858" s="6" t="str">
        <f>IF(OR(AO858="Cancelled",AM858="Failed"),"Exclude from Completed Sales","Include in Completed Sales")</f>
        <v>Exclude from Completed Sales</v>
      </c>
      <c r="AE858" s="6">
        <f t="shared" si="217"/>
        <v>1833.2639999999999</v>
      </c>
      <c r="AF858" s="6" t="str">
        <f t="shared" si="218"/>
        <v/>
      </c>
      <c r="AG858" s="6">
        <v>966.55</v>
      </c>
      <c r="AH858" s="6">
        <v>218.75</v>
      </c>
      <c r="AI858" s="6">
        <f t="shared" si="219"/>
        <v>866.71399999999994</v>
      </c>
      <c r="AJ858" s="11">
        <f t="shared" si="220"/>
        <v>0.47277097024760206</v>
      </c>
      <c r="AK858" s="11" t="str">
        <f t="shared" si="221"/>
        <v>June</v>
      </c>
      <c r="AL858" s="12">
        <f t="shared" si="222"/>
        <v>2024</v>
      </c>
      <c r="AM858" s="6" t="s">
        <v>220</v>
      </c>
      <c r="AN858" s="6" t="s">
        <v>98</v>
      </c>
      <c r="AO858" s="6" t="str">
        <f t="shared" si="214"/>
        <v>Cancelled</v>
      </c>
    </row>
    <row r="859" spans="1:41">
      <c r="A859" s="6" t="s">
        <v>3940</v>
      </c>
      <c r="B859" s="7" t="s">
        <v>3941</v>
      </c>
      <c r="C859" s="8">
        <v>45447</v>
      </c>
      <c r="D859" s="7" t="s">
        <v>3942</v>
      </c>
      <c r="E859" s="9">
        <v>45447</v>
      </c>
      <c r="F859" s="9" t="str">
        <f t="shared" si="207"/>
        <v>Valid</v>
      </c>
      <c r="G859" s="10">
        <f t="shared" si="208"/>
        <v>0</v>
      </c>
      <c r="H859" s="10" t="str">
        <f t="shared" si="209"/>
        <v>Valid</v>
      </c>
      <c r="I859" s="6" t="s">
        <v>3255</v>
      </c>
      <c r="J859" s="6" t="s">
        <v>188</v>
      </c>
      <c r="K859" s="6" t="s">
        <v>188</v>
      </c>
      <c r="L859" s="6" t="s">
        <v>135</v>
      </c>
      <c r="M859" s="7" t="str">
        <f t="shared" si="210"/>
        <v>Home Office</v>
      </c>
      <c r="N859" s="6" t="s">
        <v>82</v>
      </c>
      <c r="O859" s="7" t="str">
        <f t="shared" si="211"/>
        <v>South</v>
      </c>
      <c r="P859" s="6" t="s">
        <v>262</v>
      </c>
      <c r="Q859" s="6" t="s">
        <v>263</v>
      </c>
      <c r="R859" s="6" t="s">
        <v>50</v>
      </c>
      <c r="S859" s="7" t="str">
        <f t="shared" si="212"/>
        <v>Office Supplies</v>
      </c>
      <c r="T859" s="6" t="s">
        <v>176</v>
      </c>
      <c r="U859" s="6" t="s">
        <v>3943</v>
      </c>
      <c r="V859" s="6" t="s">
        <v>76</v>
      </c>
      <c r="W859" s="7" t="str">
        <f t="shared" si="213"/>
        <v>First Class</v>
      </c>
      <c r="X859" s="6">
        <v>6</v>
      </c>
      <c r="Y859" s="6">
        <v>2708.97</v>
      </c>
      <c r="Z859" s="6">
        <v>0.25</v>
      </c>
      <c r="AA859" s="6">
        <f t="shared" si="215"/>
        <v>0.25</v>
      </c>
      <c r="AB859" s="6" t="str">
        <f t="shared" si="216"/>
        <v>Valid</v>
      </c>
      <c r="AC859" s="6">
        <v>12190.36</v>
      </c>
      <c r="AD859" s="6" t="str">
        <f>IF(OR(AO859="Cancelled",AM859="Failed"),"Exclude from Completed Sales","Include in Completed Sales")</f>
        <v>Include in Completed Sales</v>
      </c>
      <c r="AE859" s="6">
        <f t="shared" si="217"/>
        <v>12190.365</v>
      </c>
      <c r="AF859" s="6" t="str">
        <f t="shared" si="218"/>
        <v/>
      </c>
      <c r="AG859" s="6">
        <v>10176.99</v>
      </c>
      <c r="AH859" s="6">
        <v>2013.37</v>
      </c>
      <c r="AI859" s="6">
        <f t="shared" si="219"/>
        <v>2013.375</v>
      </c>
      <c r="AJ859" s="11">
        <f t="shared" si="220"/>
        <v>0.16516117441930575</v>
      </c>
      <c r="AK859" s="11" t="str">
        <f t="shared" si="221"/>
        <v>June</v>
      </c>
      <c r="AL859" s="12">
        <f t="shared" si="222"/>
        <v>2024</v>
      </c>
      <c r="AM859" s="6" t="s">
        <v>54</v>
      </c>
      <c r="AN859" s="6" t="s">
        <v>55</v>
      </c>
      <c r="AO859" s="6" t="str">
        <f t="shared" si="214"/>
        <v>Completed</v>
      </c>
    </row>
    <row r="860" spans="1:41">
      <c r="A860" s="6" t="s">
        <v>3944</v>
      </c>
      <c r="B860" s="7" t="s">
        <v>1245</v>
      </c>
      <c r="C860" s="8">
        <v>45414</v>
      </c>
      <c r="D860" s="7" t="s">
        <v>1314</v>
      </c>
      <c r="E860" s="9">
        <v>45421</v>
      </c>
      <c r="F860" s="9" t="str">
        <f t="shared" si="207"/>
        <v>Valid</v>
      </c>
      <c r="G860" s="10">
        <f t="shared" si="208"/>
        <v>7</v>
      </c>
      <c r="H860" s="10" t="str">
        <f t="shared" si="209"/>
        <v>Valid</v>
      </c>
      <c r="I860" s="6" t="s">
        <v>3945</v>
      </c>
      <c r="J860" s="6" t="s">
        <v>81</v>
      </c>
      <c r="K860" s="6" t="s">
        <v>81</v>
      </c>
      <c r="L860" s="6" t="s">
        <v>46</v>
      </c>
      <c r="M860" s="7" t="str">
        <f t="shared" si="210"/>
        <v>Consumer</v>
      </c>
      <c r="N860" s="6" t="s">
        <v>62</v>
      </c>
      <c r="O860" s="7" t="str">
        <f t="shared" si="211"/>
        <v>East</v>
      </c>
      <c r="P860" s="6" t="s">
        <v>63</v>
      </c>
      <c r="Q860" s="6" t="s">
        <v>64</v>
      </c>
      <c r="R860" s="6" t="s">
        <v>106</v>
      </c>
      <c r="S860" s="7" t="str">
        <f t="shared" si="212"/>
        <v>Technology</v>
      </c>
      <c r="T860" s="6" t="s">
        <v>107</v>
      </c>
      <c r="U860" s="6" t="s">
        <v>3946</v>
      </c>
      <c r="V860" s="6" t="s">
        <v>53</v>
      </c>
      <c r="W860" s="7" t="str">
        <f t="shared" si="213"/>
        <v>Second Class</v>
      </c>
      <c r="X860" s="6">
        <v>4</v>
      </c>
      <c r="Y860" s="6">
        <v>2904.86</v>
      </c>
      <c r="Z860" s="6">
        <v>0</v>
      </c>
      <c r="AA860" s="6">
        <f t="shared" si="215"/>
        <v>0</v>
      </c>
      <c r="AB860" s="6" t="str">
        <f t="shared" si="216"/>
        <v>Valid</v>
      </c>
      <c r="AC860" s="6">
        <v>11619.44</v>
      </c>
      <c r="AD860" s="6" t="str">
        <f>IF(OR(AO860="Cancelled",AM860="Failed"),"Exclude from Completed Sales","Include in Completed Sales")</f>
        <v>Include in Completed Sales</v>
      </c>
      <c r="AE860" s="6">
        <f t="shared" si="217"/>
        <v>11619.44</v>
      </c>
      <c r="AF860" s="6" t="str">
        <f t="shared" si="218"/>
        <v/>
      </c>
      <c r="AG860" s="6">
        <v>7184.32</v>
      </c>
      <c r="AH860" s="6">
        <v>4494.6400000000003</v>
      </c>
      <c r="AI860" s="6">
        <f t="shared" si="219"/>
        <v>4435.1200000000008</v>
      </c>
      <c r="AJ860" s="11">
        <f t="shared" si="220"/>
        <v>0.3816982574031107</v>
      </c>
      <c r="AK860" s="11" t="str">
        <f t="shared" si="221"/>
        <v>May</v>
      </c>
      <c r="AL860" s="12">
        <f t="shared" si="222"/>
        <v>2024</v>
      </c>
      <c r="AM860" s="6" t="s">
        <v>54</v>
      </c>
      <c r="AN860" s="6" t="s">
        <v>55</v>
      </c>
      <c r="AO860" s="6" t="str">
        <f t="shared" si="214"/>
        <v>Completed</v>
      </c>
    </row>
    <row r="861" spans="1:41">
      <c r="A861" s="6" t="s">
        <v>3947</v>
      </c>
      <c r="B861" s="7" t="s">
        <v>3525</v>
      </c>
      <c r="C861" s="8">
        <v>45592</v>
      </c>
      <c r="D861" s="7" t="s">
        <v>3948</v>
      </c>
      <c r="E861" s="9">
        <v>45597</v>
      </c>
      <c r="F861" s="9" t="str">
        <f t="shared" si="207"/>
        <v>Valid</v>
      </c>
      <c r="G861" s="10">
        <f t="shared" si="208"/>
        <v>5</v>
      </c>
      <c r="H861" s="10" t="str">
        <f t="shared" si="209"/>
        <v>Valid</v>
      </c>
      <c r="I861" s="6" t="s">
        <v>3949</v>
      </c>
      <c r="J861" s="6" t="s">
        <v>127</v>
      </c>
      <c r="K861" s="6" t="s">
        <v>127</v>
      </c>
      <c r="L861" s="6" t="s">
        <v>128</v>
      </c>
      <c r="M861" s="7" t="str">
        <f t="shared" si="210"/>
        <v>Corporate</v>
      </c>
      <c r="N861" s="6" t="s">
        <v>82</v>
      </c>
      <c r="O861" s="7" t="str">
        <f t="shared" si="211"/>
        <v>South</v>
      </c>
      <c r="P861" s="6" t="s">
        <v>359</v>
      </c>
      <c r="Q861" s="6" t="s">
        <v>360</v>
      </c>
      <c r="R861" s="6" t="s">
        <v>106</v>
      </c>
      <c r="S861" s="7" t="str">
        <f t="shared" si="212"/>
        <v>Technology</v>
      </c>
      <c r="T861" s="6" t="s">
        <v>243</v>
      </c>
      <c r="U861" s="6" t="s">
        <v>3950</v>
      </c>
      <c r="V861" s="6" t="s">
        <v>87</v>
      </c>
      <c r="W861" s="7" t="str">
        <f t="shared" si="213"/>
        <v>Standard Class</v>
      </c>
      <c r="X861" s="6">
        <v>6</v>
      </c>
      <c r="Y861" s="6">
        <v>4399.2</v>
      </c>
      <c r="Z861" s="6">
        <v>0.05</v>
      </c>
      <c r="AA861" s="6">
        <f t="shared" si="215"/>
        <v>0.05</v>
      </c>
      <c r="AB861" s="6" t="str">
        <f t="shared" si="216"/>
        <v>Valid</v>
      </c>
      <c r="AC861" s="6">
        <v>25075.439999999999</v>
      </c>
      <c r="AD861" s="6" t="str">
        <f>IF(OR(AO861="Cancelled",AM861="Failed"),"Exclude from Completed Sales","Include in Completed Sales")</f>
        <v>Include in Completed Sales</v>
      </c>
      <c r="AE861" s="6">
        <f t="shared" si="217"/>
        <v>25075.439999999995</v>
      </c>
      <c r="AF861" s="6" t="str">
        <f t="shared" si="218"/>
        <v/>
      </c>
      <c r="AG861" s="6">
        <v>16282.74</v>
      </c>
      <c r="AH861" s="6">
        <v>8792.7000000000007</v>
      </c>
      <c r="AI861" s="6">
        <f t="shared" si="219"/>
        <v>8792.6999999999953</v>
      </c>
      <c r="AJ861" s="11">
        <f t="shared" si="220"/>
        <v>0.35064987892535471</v>
      </c>
      <c r="AK861" s="11" t="str">
        <f t="shared" si="221"/>
        <v>October</v>
      </c>
      <c r="AL861" s="12">
        <f t="shared" si="222"/>
        <v>2024</v>
      </c>
      <c r="AM861" s="6" t="s">
        <v>54</v>
      </c>
      <c r="AN861" s="6" t="s">
        <v>55</v>
      </c>
      <c r="AO861" s="6" t="str">
        <f t="shared" si="214"/>
        <v>Completed</v>
      </c>
    </row>
    <row r="862" spans="1:41">
      <c r="A862" s="6" t="s">
        <v>3951</v>
      </c>
      <c r="B862" s="7" t="s">
        <v>763</v>
      </c>
      <c r="C862" s="8">
        <v>45324</v>
      </c>
      <c r="D862" s="7" t="s">
        <v>3952</v>
      </c>
      <c r="E862" s="9">
        <v>45326</v>
      </c>
      <c r="F862" s="9" t="str">
        <f t="shared" si="207"/>
        <v>Valid</v>
      </c>
      <c r="G862" s="10">
        <f t="shared" si="208"/>
        <v>2</v>
      </c>
      <c r="H862" s="10" t="str">
        <f t="shared" si="209"/>
        <v>Valid</v>
      </c>
      <c r="I862" s="6" t="s">
        <v>3953</v>
      </c>
      <c r="J862" s="6" t="s">
        <v>103</v>
      </c>
      <c r="K862" s="6" t="s">
        <v>103</v>
      </c>
      <c r="L862" s="6" t="s">
        <v>135</v>
      </c>
      <c r="M862" s="7" t="str">
        <f t="shared" si="210"/>
        <v>Home Office</v>
      </c>
      <c r="N862" s="6" t="s">
        <v>47</v>
      </c>
      <c r="O862" s="7" t="str">
        <f t="shared" si="211"/>
        <v>North</v>
      </c>
      <c r="P862" s="6" t="s">
        <v>194</v>
      </c>
      <c r="Q862" s="6" t="s">
        <v>195</v>
      </c>
      <c r="R862" s="6" t="s">
        <v>50</v>
      </c>
      <c r="S862" s="7" t="str">
        <f t="shared" si="212"/>
        <v>Office Supplies</v>
      </c>
      <c r="T862" s="6" t="s">
        <v>176</v>
      </c>
      <c r="U862" s="6" t="s">
        <v>3954</v>
      </c>
      <c r="V862" s="6" t="s">
        <v>53</v>
      </c>
      <c r="W862" s="7" t="str">
        <f t="shared" si="213"/>
        <v>Second Class</v>
      </c>
      <c r="X862" s="6">
        <v>1</v>
      </c>
      <c r="Y862" s="6">
        <v>4397.32</v>
      </c>
      <c r="Z862" s="6">
        <v>0.05</v>
      </c>
      <c r="AA862" s="6">
        <f t="shared" si="215"/>
        <v>0.05</v>
      </c>
      <c r="AB862" s="6" t="str">
        <f t="shared" si="216"/>
        <v>Valid</v>
      </c>
      <c r="AC862" s="6">
        <v>4177.45</v>
      </c>
      <c r="AD862" s="6" t="str">
        <f>IF(OR(AO862="Cancelled",AM862="Failed"),"Exclude from Completed Sales","Include in Completed Sales")</f>
        <v>Include in Completed Sales</v>
      </c>
      <c r="AE862" s="6">
        <f t="shared" si="217"/>
        <v>4177.4539999999997</v>
      </c>
      <c r="AF862" s="6" t="str">
        <f t="shared" si="218"/>
        <v/>
      </c>
      <c r="AG862" s="6">
        <v>2299.5</v>
      </c>
      <c r="AH862" s="6">
        <v>1877.95</v>
      </c>
      <c r="AI862" s="6">
        <f t="shared" si="219"/>
        <v>1877.9539999999997</v>
      </c>
      <c r="AJ862" s="11">
        <f t="shared" si="220"/>
        <v>0.44954510570313877</v>
      </c>
      <c r="AK862" s="11" t="str">
        <f t="shared" si="221"/>
        <v>February</v>
      </c>
      <c r="AL862" s="12">
        <f t="shared" si="222"/>
        <v>2024</v>
      </c>
      <c r="AM862" s="6" t="s">
        <v>54</v>
      </c>
      <c r="AN862" s="6" t="s">
        <v>55</v>
      </c>
      <c r="AO862" s="6" t="str">
        <f t="shared" si="214"/>
        <v>Completed</v>
      </c>
    </row>
    <row r="863" spans="1:41">
      <c r="A863" s="6" t="s">
        <v>3955</v>
      </c>
      <c r="B863" s="7" t="s">
        <v>3956</v>
      </c>
      <c r="C863" s="8">
        <v>45724</v>
      </c>
      <c r="D863" s="7" t="s">
        <v>3957</v>
      </c>
      <c r="E863" s="9">
        <v>45725</v>
      </c>
      <c r="F863" s="9" t="str">
        <f t="shared" si="207"/>
        <v>Valid</v>
      </c>
      <c r="G863" s="10">
        <f t="shared" si="208"/>
        <v>1</v>
      </c>
      <c r="H863" s="10" t="str">
        <f t="shared" si="209"/>
        <v>Valid</v>
      </c>
      <c r="I863" s="6" t="s">
        <v>3958</v>
      </c>
      <c r="J863" s="6" t="s">
        <v>162</v>
      </c>
      <c r="K863" s="6" t="s">
        <v>162</v>
      </c>
      <c r="L863" s="6" t="s">
        <v>135</v>
      </c>
      <c r="M863" s="7" t="str">
        <f t="shared" si="210"/>
        <v>Home Office</v>
      </c>
      <c r="N863" s="6" t="s">
        <v>47</v>
      </c>
      <c r="O863" s="7" t="str">
        <f t="shared" si="211"/>
        <v>North</v>
      </c>
      <c r="P863" s="6" t="s">
        <v>526</v>
      </c>
      <c r="Q863" s="6" t="s">
        <v>527</v>
      </c>
      <c r="R863" s="6" t="s">
        <v>65</v>
      </c>
      <c r="S863" s="7" t="str">
        <f t="shared" si="212"/>
        <v>Furniture</v>
      </c>
      <c r="T863" s="6" t="s">
        <v>85</v>
      </c>
      <c r="U863" s="6" t="s">
        <v>3959</v>
      </c>
      <c r="V863" s="6" t="s">
        <v>68</v>
      </c>
      <c r="W863" s="7" t="str">
        <f t="shared" si="213"/>
        <v>Same Day</v>
      </c>
      <c r="X863" s="6">
        <v>4</v>
      </c>
      <c r="Y863" s="6">
        <v>3405.68</v>
      </c>
      <c r="Z863" s="6">
        <v>0.2</v>
      </c>
      <c r="AA863" s="6">
        <f t="shared" si="215"/>
        <v>0.2</v>
      </c>
      <c r="AB863" s="6" t="str">
        <f t="shared" si="216"/>
        <v>Valid</v>
      </c>
      <c r="AC863" s="6">
        <v>10898.18</v>
      </c>
      <c r="AD863" s="6" t="str">
        <f>IF(OR(AO863="Cancelled",AM863="Failed"),"Exclude from Completed Sales","Include in Completed Sales")</f>
        <v>Include in Completed Sales</v>
      </c>
      <c r="AE863" s="6">
        <f t="shared" si="217"/>
        <v>10898.175999999999</v>
      </c>
      <c r="AF863" s="6" t="str">
        <f t="shared" si="218"/>
        <v/>
      </c>
      <c r="AG863" s="6">
        <v>6231.41</v>
      </c>
      <c r="AH863" s="6">
        <v>4666.7700000000004</v>
      </c>
      <c r="AI863" s="6">
        <f t="shared" si="219"/>
        <v>4666.7659999999996</v>
      </c>
      <c r="AJ863" s="11">
        <f t="shared" si="220"/>
        <v>0.42821532704188298</v>
      </c>
      <c r="AK863" s="11" t="str">
        <f t="shared" si="221"/>
        <v>March</v>
      </c>
      <c r="AL863" s="12">
        <f t="shared" si="222"/>
        <v>2025</v>
      </c>
      <c r="AM863" s="6" t="s">
        <v>54</v>
      </c>
      <c r="AN863" s="6" t="s">
        <v>55</v>
      </c>
      <c r="AO863" s="6" t="str">
        <f t="shared" si="214"/>
        <v>Completed</v>
      </c>
    </row>
    <row r="864" spans="1:41">
      <c r="A864" s="6" t="s">
        <v>3960</v>
      </c>
      <c r="B864" s="7" t="s">
        <v>3335</v>
      </c>
      <c r="C864" s="8">
        <v>45742</v>
      </c>
      <c r="D864" s="7" t="s">
        <v>3961</v>
      </c>
      <c r="E864" s="9">
        <v>45747</v>
      </c>
      <c r="F864" s="9" t="str">
        <f t="shared" si="207"/>
        <v>Valid</v>
      </c>
      <c r="G864" s="10">
        <f t="shared" si="208"/>
        <v>5</v>
      </c>
      <c r="H864" s="10" t="str">
        <f t="shared" si="209"/>
        <v>Valid</v>
      </c>
      <c r="I864" s="6" t="s">
        <v>3962</v>
      </c>
      <c r="J864" s="6" t="s">
        <v>162</v>
      </c>
      <c r="K864" s="6" t="s">
        <v>162</v>
      </c>
      <c r="L864" s="6" t="s">
        <v>61</v>
      </c>
      <c r="M864" s="7" t="str">
        <f t="shared" si="210"/>
        <v>Small Business</v>
      </c>
      <c r="N864" s="6" t="s">
        <v>62</v>
      </c>
      <c r="O864" s="7" t="str">
        <f t="shared" si="211"/>
        <v>East</v>
      </c>
      <c r="P864" s="6" t="s">
        <v>331</v>
      </c>
      <c r="Q864" s="6" t="s">
        <v>332</v>
      </c>
      <c r="R864" s="6" t="s">
        <v>50</v>
      </c>
      <c r="S864" s="7" t="str">
        <f t="shared" si="212"/>
        <v>Office Supplies</v>
      </c>
      <c r="T864" s="6" t="s">
        <v>218</v>
      </c>
      <c r="U864" s="6" t="s">
        <v>3963</v>
      </c>
      <c r="V864" s="6" t="s">
        <v>76</v>
      </c>
      <c r="W864" s="7" t="str">
        <f t="shared" si="213"/>
        <v>First Class</v>
      </c>
      <c r="X864" s="6">
        <v>5</v>
      </c>
      <c r="Y864" s="6">
        <v>1395.14</v>
      </c>
      <c r="Z864" s="6">
        <v>0</v>
      </c>
      <c r="AA864" s="6">
        <f t="shared" si="215"/>
        <v>0</v>
      </c>
      <c r="AB864" s="6" t="str">
        <f t="shared" si="216"/>
        <v>Valid</v>
      </c>
      <c r="AC864" s="6">
        <v>6975.7</v>
      </c>
      <c r="AD864" s="6" t="str">
        <f>IF(OR(AO864="Cancelled",AM864="Failed"),"Exclude from Completed Sales","Include in Completed Sales")</f>
        <v>Exclude from Completed Sales</v>
      </c>
      <c r="AE864" s="6">
        <f t="shared" si="217"/>
        <v>6975.7000000000007</v>
      </c>
      <c r="AF864" s="6" t="str">
        <f t="shared" si="218"/>
        <v/>
      </c>
      <c r="AG864" s="6">
        <v>4797.88</v>
      </c>
      <c r="AH864" s="6">
        <v>2177.8200000000002</v>
      </c>
      <c r="AI864" s="6">
        <f t="shared" si="219"/>
        <v>2177.8200000000006</v>
      </c>
      <c r="AJ864" s="11">
        <f t="shared" si="220"/>
        <v>0.3122009260719355</v>
      </c>
      <c r="AK864" s="11" t="str">
        <f t="shared" si="221"/>
        <v>March</v>
      </c>
      <c r="AL864" s="12">
        <f t="shared" si="222"/>
        <v>2025</v>
      </c>
      <c r="AM864" s="6" t="s">
        <v>54</v>
      </c>
      <c r="AN864" s="6" t="s">
        <v>98</v>
      </c>
      <c r="AO864" s="6" t="str">
        <f t="shared" si="214"/>
        <v>Cancelled</v>
      </c>
    </row>
    <row r="865" spans="1:41">
      <c r="A865" s="6" t="s">
        <v>3964</v>
      </c>
      <c r="B865" s="7" t="s">
        <v>3965</v>
      </c>
      <c r="C865" s="8">
        <v>45906</v>
      </c>
      <c r="D865" s="7" t="s">
        <v>2752</v>
      </c>
      <c r="E865" s="9">
        <v>45908</v>
      </c>
      <c r="F865" s="9" t="str">
        <f t="shared" si="207"/>
        <v>Valid</v>
      </c>
      <c r="G865" s="10">
        <f t="shared" si="208"/>
        <v>2</v>
      </c>
      <c r="H865" s="10" t="str">
        <f t="shared" si="209"/>
        <v>Valid</v>
      </c>
      <c r="I865" s="6" t="s">
        <v>3966</v>
      </c>
      <c r="J865" s="6" t="s">
        <v>182</v>
      </c>
      <c r="K865" s="6" t="s">
        <v>182</v>
      </c>
      <c r="L865" s="6" t="s">
        <v>135</v>
      </c>
      <c r="M865" s="7" t="str">
        <f t="shared" si="210"/>
        <v>Home Office</v>
      </c>
      <c r="N865" s="6" t="s">
        <v>93</v>
      </c>
      <c r="O865" s="7" t="str">
        <f t="shared" si="211"/>
        <v>West</v>
      </c>
      <c r="P865" s="6" t="s">
        <v>104</v>
      </c>
      <c r="Q865" s="6" t="s">
        <v>105</v>
      </c>
      <c r="R865" s="6" t="s">
        <v>65</v>
      </c>
      <c r="S865" s="7" t="str">
        <f t="shared" si="212"/>
        <v>Furniture</v>
      </c>
      <c r="T865" s="6" t="s">
        <v>85</v>
      </c>
      <c r="U865" s="6" t="s">
        <v>3967</v>
      </c>
      <c r="V865" s="6" t="s">
        <v>68</v>
      </c>
      <c r="W865" s="7" t="str">
        <f t="shared" si="213"/>
        <v>Same Day</v>
      </c>
      <c r="X865" s="6">
        <v>3</v>
      </c>
      <c r="Y865" s="6">
        <v>2937.23</v>
      </c>
      <c r="Z865" s="6">
        <v>0</v>
      </c>
      <c r="AA865" s="6">
        <f t="shared" si="215"/>
        <v>0</v>
      </c>
      <c r="AB865" s="6" t="str">
        <f t="shared" si="216"/>
        <v>Valid</v>
      </c>
      <c r="AC865" s="6">
        <v>8811.69</v>
      </c>
      <c r="AD865" s="6" t="str">
        <f>IF(OR(AO865="Cancelled",AM865="Failed"),"Exclude from Completed Sales","Include in Completed Sales")</f>
        <v>Include in Completed Sales</v>
      </c>
      <c r="AE865" s="6">
        <f t="shared" si="217"/>
        <v>8811.69</v>
      </c>
      <c r="AF865" s="6" t="str">
        <f t="shared" si="218"/>
        <v/>
      </c>
      <c r="AG865" s="6">
        <v>6765.91</v>
      </c>
      <c r="AH865" s="6">
        <v>2045.78</v>
      </c>
      <c r="AI865" s="6">
        <f t="shared" si="219"/>
        <v>2045.7800000000007</v>
      </c>
      <c r="AJ865" s="11">
        <f t="shared" si="220"/>
        <v>0.23216658779416893</v>
      </c>
      <c r="AK865" s="11" t="str">
        <f t="shared" si="221"/>
        <v>September</v>
      </c>
      <c r="AL865" s="12">
        <f t="shared" si="222"/>
        <v>2025</v>
      </c>
      <c r="AM865" s="6" t="s">
        <v>54</v>
      </c>
      <c r="AN865" s="6" t="s">
        <v>55</v>
      </c>
      <c r="AO865" s="6" t="str">
        <f t="shared" si="214"/>
        <v>Completed</v>
      </c>
    </row>
    <row r="866" spans="1:41">
      <c r="A866" s="6" t="s">
        <v>3968</v>
      </c>
      <c r="B866" s="7" t="s">
        <v>3969</v>
      </c>
      <c r="C866" s="8">
        <v>45902</v>
      </c>
      <c r="D866" s="7" t="s">
        <v>592</v>
      </c>
      <c r="E866" s="9">
        <v>45905</v>
      </c>
      <c r="F866" s="9" t="str">
        <f t="shared" si="207"/>
        <v>Valid</v>
      </c>
      <c r="G866" s="10">
        <f t="shared" si="208"/>
        <v>3</v>
      </c>
      <c r="H866" s="10" t="str">
        <f t="shared" si="209"/>
        <v>Valid</v>
      </c>
      <c r="I866" s="6" t="s">
        <v>3970</v>
      </c>
      <c r="J866" s="6" t="s">
        <v>103</v>
      </c>
      <c r="K866" s="6" t="s">
        <v>103</v>
      </c>
      <c r="L866" s="6" t="s">
        <v>46</v>
      </c>
      <c r="M866" s="7" t="str">
        <f t="shared" si="210"/>
        <v>Consumer</v>
      </c>
      <c r="N866" s="6" t="s">
        <v>82</v>
      </c>
      <c r="O866" s="7" t="str">
        <f t="shared" si="211"/>
        <v>South</v>
      </c>
      <c r="P866" s="6" t="s">
        <v>359</v>
      </c>
      <c r="Q866" s="6" t="s">
        <v>360</v>
      </c>
      <c r="R866" s="6" t="s">
        <v>106</v>
      </c>
      <c r="S866" s="7" t="str">
        <f t="shared" si="212"/>
        <v>Technology</v>
      </c>
      <c r="T866" s="6" t="s">
        <v>243</v>
      </c>
      <c r="U866" s="6" t="s">
        <v>3971</v>
      </c>
      <c r="V866" s="6" t="s">
        <v>76</v>
      </c>
      <c r="W866" s="7" t="str">
        <f t="shared" si="213"/>
        <v>First Class</v>
      </c>
      <c r="X866" s="6">
        <v>5</v>
      </c>
      <c r="Y866" s="6">
        <v>3406.87</v>
      </c>
      <c r="Z866" s="6">
        <v>0</v>
      </c>
      <c r="AA866" s="6">
        <f t="shared" si="215"/>
        <v>0</v>
      </c>
      <c r="AB866" s="6" t="str">
        <f t="shared" si="216"/>
        <v>Valid</v>
      </c>
      <c r="AC866" s="6">
        <v>17034.349999999999</v>
      </c>
      <c r="AD866" s="6" t="str">
        <f>IF(OR(AO866="Cancelled",AM866="Failed"),"Exclude from Completed Sales","Include in Completed Sales")</f>
        <v>Include in Completed Sales</v>
      </c>
      <c r="AE866" s="6">
        <f t="shared" si="217"/>
        <v>17034.349999999999</v>
      </c>
      <c r="AF866" s="6" t="str">
        <f t="shared" si="218"/>
        <v/>
      </c>
      <c r="AG866" s="6">
        <v>14631.36</v>
      </c>
      <c r="AH866" s="6">
        <v>2402.9899999999998</v>
      </c>
      <c r="AI866" s="6">
        <f t="shared" si="219"/>
        <v>2402.989999999998</v>
      </c>
      <c r="AJ866" s="11">
        <f t="shared" si="220"/>
        <v>0.14106731398615141</v>
      </c>
      <c r="AK866" s="11" t="str">
        <f t="shared" si="221"/>
        <v>September</v>
      </c>
      <c r="AL866" s="12">
        <f t="shared" si="222"/>
        <v>2025</v>
      </c>
      <c r="AM866" s="6" t="s">
        <v>54</v>
      </c>
      <c r="AN866" s="6" t="s">
        <v>55</v>
      </c>
      <c r="AO866" s="6" t="str">
        <f t="shared" si="214"/>
        <v>Completed</v>
      </c>
    </row>
    <row r="867" spans="1:41">
      <c r="A867" s="6" t="s">
        <v>3972</v>
      </c>
      <c r="B867" s="7" t="s">
        <v>3786</v>
      </c>
      <c r="C867" s="8">
        <v>45694</v>
      </c>
      <c r="D867" s="7" t="s">
        <v>1940</v>
      </c>
      <c r="E867" s="9">
        <v>45702</v>
      </c>
      <c r="F867" s="9" t="str">
        <f t="shared" si="207"/>
        <v>Valid</v>
      </c>
      <c r="G867" s="10">
        <f t="shared" si="208"/>
        <v>8</v>
      </c>
      <c r="H867" s="10" t="str">
        <f t="shared" si="209"/>
        <v>Valid</v>
      </c>
      <c r="I867" s="6" t="s">
        <v>3973</v>
      </c>
      <c r="J867" s="6" t="s">
        <v>386</v>
      </c>
      <c r="K867" s="6" t="s">
        <v>386</v>
      </c>
      <c r="L867" s="6" t="s">
        <v>46</v>
      </c>
      <c r="M867" s="7" t="str">
        <f t="shared" si="210"/>
        <v>Consumer</v>
      </c>
      <c r="N867" s="6" t="s">
        <v>93</v>
      </c>
      <c r="O867" s="7" t="str">
        <f t="shared" si="211"/>
        <v>West</v>
      </c>
      <c r="P867" s="6" t="s">
        <v>94</v>
      </c>
      <c r="Q867" s="6" t="s">
        <v>95</v>
      </c>
      <c r="R867" s="6" t="s">
        <v>50</v>
      </c>
      <c r="S867" s="7" t="str">
        <f t="shared" si="212"/>
        <v>Office Supplies</v>
      </c>
      <c r="T867" s="6" t="s">
        <v>129</v>
      </c>
      <c r="U867" s="6" t="s">
        <v>3974</v>
      </c>
      <c r="V867" s="6" t="s">
        <v>53</v>
      </c>
      <c r="W867" s="7" t="str">
        <f t="shared" si="213"/>
        <v>Second Class</v>
      </c>
      <c r="X867" s="6">
        <v>2</v>
      </c>
      <c r="Y867" s="6">
        <v>3992.04</v>
      </c>
      <c r="Z867" s="6">
        <v>0</v>
      </c>
      <c r="AA867" s="6">
        <f t="shared" si="215"/>
        <v>0</v>
      </c>
      <c r="AB867" s="6" t="str">
        <f t="shared" si="216"/>
        <v>Valid</v>
      </c>
      <c r="AC867" s="6">
        <v>7984.08</v>
      </c>
      <c r="AD867" s="6" t="str">
        <f>IF(OR(AO867="Cancelled",AM867="Failed"),"Exclude from Completed Sales","Include in Completed Sales")</f>
        <v>Include in Completed Sales</v>
      </c>
      <c r="AE867" s="6">
        <f t="shared" si="217"/>
        <v>7984.08</v>
      </c>
      <c r="AF867" s="6" t="str">
        <f t="shared" si="218"/>
        <v/>
      </c>
      <c r="AG867" s="6">
        <v>5658.05</v>
      </c>
      <c r="AH867" s="6">
        <v>2326.0300000000002</v>
      </c>
      <c r="AI867" s="6">
        <f t="shared" si="219"/>
        <v>2326.0299999999997</v>
      </c>
      <c r="AJ867" s="11">
        <f t="shared" si="220"/>
        <v>0.29133350367230787</v>
      </c>
      <c r="AK867" s="11" t="str">
        <f t="shared" si="221"/>
        <v>February</v>
      </c>
      <c r="AL867" s="12">
        <f t="shared" si="222"/>
        <v>2025</v>
      </c>
      <c r="AM867" s="6" t="s">
        <v>54</v>
      </c>
      <c r="AN867" s="6" t="s">
        <v>55</v>
      </c>
      <c r="AO867" s="6" t="str">
        <f t="shared" si="214"/>
        <v>Completed</v>
      </c>
    </row>
    <row r="868" spans="1:41">
      <c r="A868" s="6" t="s">
        <v>3975</v>
      </c>
      <c r="B868" s="7" t="s">
        <v>1206</v>
      </c>
      <c r="C868" s="8">
        <v>45714</v>
      </c>
      <c r="D868" s="7" t="s">
        <v>3976</v>
      </c>
      <c r="E868" s="9">
        <v>45722</v>
      </c>
      <c r="F868" s="9" t="str">
        <f t="shared" si="207"/>
        <v>Valid</v>
      </c>
      <c r="G868" s="10">
        <f t="shared" si="208"/>
        <v>8</v>
      </c>
      <c r="H868" s="10" t="str">
        <f t="shared" si="209"/>
        <v>Valid</v>
      </c>
      <c r="I868" s="6" t="s">
        <v>3977</v>
      </c>
      <c r="J868" s="6" t="s">
        <v>162</v>
      </c>
      <c r="K868" s="6" t="s">
        <v>162</v>
      </c>
      <c r="L868" s="6" t="s">
        <v>46</v>
      </c>
      <c r="M868" s="7" t="str">
        <f t="shared" si="210"/>
        <v>Consumer</v>
      </c>
      <c r="N868" s="6" t="s">
        <v>62</v>
      </c>
      <c r="O868" s="7" t="str">
        <f t="shared" si="211"/>
        <v>East</v>
      </c>
      <c r="P868" s="6" t="s">
        <v>206</v>
      </c>
      <c r="Q868" s="6" t="s">
        <v>207</v>
      </c>
      <c r="R868" s="6" t="s">
        <v>65</v>
      </c>
      <c r="S868" s="7" t="str">
        <f t="shared" si="212"/>
        <v>Furniture</v>
      </c>
      <c r="T868" s="6" t="s">
        <v>224</v>
      </c>
      <c r="U868" s="6" t="s">
        <v>3978</v>
      </c>
      <c r="V868" s="6" t="s">
        <v>76</v>
      </c>
      <c r="W868" s="7" t="str">
        <f t="shared" si="213"/>
        <v>First Class</v>
      </c>
      <c r="X868" s="6">
        <v>9</v>
      </c>
      <c r="Y868" s="6">
        <v>3043.37</v>
      </c>
      <c r="Z868" s="6">
        <v>0.2</v>
      </c>
      <c r="AA868" s="6">
        <f t="shared" si="215"/>
        <v>0.2</v>
      </c>
      <c r="AB868" s="6" t="str">
        <f t="shared" si="216"/>
        <v>Valid</v>
      </c>
      <c r="AC868" s="6">
        <v>21912.26</v>
      </c>
      <c r="AD868" s="6" t="str">
        <f>IF(OR(AO868="Cancelled",AM868="Failed"),"Exclude from Completed Sales","Include in Completed Sales")</f>
        <v>Exclude from Completed Sales</v>
      </c>
      <c r="AE868" s="6">
        <f t="shared" si="217"/>
        <v>21912.263999999999</v>
      </c>
      <c r="AF868" s="6" t="str">
        <f t="shared" si="218"/>
        <v/>
      </c>
      <c r="AG868" s="6">
        <v>16367.78</v>
      </c>
      <c r="AH868" s="6">
        <v>5544.48</v>
      </c>
      <c r="AI868" s="6">
        <f t="shared" si="219"/>
        <v>5544.4839999999986</v>
      </c>
      <c r="AJ868" s="11">
        <f t="shared" si="220"/>
        <v>0.25303108797885965</v>
      </c>
      <c r="AK868" s="11" t="str">
        <f t="shared" si="221"/>
        <v>February</v>
      </c>
      <c r="AL868" s="12">
        <f t="shared" si="222"/>
        <v>2025</v>
      </c>
      <c r="AM868" s="6" t="s">
        <v>157</v>
      </c>
      <c r="AN868" s="6" t="s">
        <v>98</v>
      </c>
      <c r="AO868" s="6" t="str">
        <f t="shared" si="214"/>
        <v>Cancelled</v>
      </c>
    </row>
    <row r="869" spans="1:41">
      <c r="A869" s="6" t="s">
        <v>3979</v>
      </c>
      <c r="B869" s="7" t="s">
        <v>3980</v>
      </c>
      <c r="C869" s="8">
        <v>45617</v>
      </c>
      <c r="D869" s="7" t="s">
        <v>3981</v>
      </c>
      <c r="E869" s="9">
        <v>45618</v>
      </c>
      <c r="F869" s="9" t="str">
        <f t="shared" si="207"/>
        <v>Valid</v>
      </c>
      <c r="G869" s="10">
        <f t="shared" si="208"/>
        <v>1</v>
      </c>
      <c r="H869" s="10" t="str">
        <f t="shared" si="209"/>
        <v>Valid</v>
      </c>
      <c r="I869" s="6" t="s">
        <v>3982</v>
      </c>
      <c r="J869" s="6" t="s">
        <v>168</v>
      </c>
      <c r="K869" s="6" t="s">
        <v>168</v>
      </c>
      <c r="L869" s="6" t="s">
        <v>135</v>
      </c>
      <c r="M869" s="7" t="str">
        <f t="shared" si="210"/>
        <v>Home Office</v>
      </c>
      <c r="N869" s="6" t="s">
        <v>82</v>
      </c>
      <c r="O869" s="7" t="str">
        <f t="shared" si="211"/>
        <v>South</v>
      </c>
      <c r="P869" s="6" t="s">
        <v>120</v>
      </c>
      <c r="Q869" s="6" t="s">
        <v>121</v>
      </c>
      <c r="R869" s="6" t="s">
        <v>106</v>
      </c>
      <c r="S869" s="7" t="str">
        <f t="shared" si="212"/>
        <v>Technology</v>
      </c>
      <c r="T869" s="6" t="s">
        <v>107</v>
      </c>
      <c r="U869" s="6" t="s">
        <v>3983</v>
      </c>
      <c r="V869" s="6" t="s">
        <v>68</v>
      </c>
      <c r="W869" s="7" t="str">
        <f t="shared" si="213"/>
        <v>Same Day</v>
      </c>
      <c r="X869" s="6">
        <v>6</v>
      </c>
      <c r="Y869" s="6">
        <v>1043.49</v>
      </c>
      <c r="Z869" s="6">
        <v>0.25</v>
      </c>
      <c r="AA869" s="6">
        <f t="shared" si="215"/>
        <v>0.25</v>
      </c>
      <c r="AB869" s="6" t="str">
        <f t="shared" si="216"/>
        <v>Valid</v>
      </c>
      <c r="AC869" s="6">
        <v>4695.7</v>
      </c>
      <c r="AD869" s="6" t="str">
        <f>IF(OR(AO869="Cancelled",AM869="Failed"),"Exclude from Completed Sales","Include in Completed Sales")</f>
        <v>Exclude from Completed Sales</v>
      </c>
      <c r="AE869" s="6">
        <f t="shared" si="217"/>
        <v>4695.7049999999999</v>
      </c>
      <c r="AF869" s="6" t="str">
        <f t="shared" si="218"/>
        <v/>
      </c>
      <c r="AG869" s="6">
        <v>3871.69</v>
      </c>
      <c r="AH869" s="6">
        <v>824.01</v>
      </c>
      <c r="AI869" s="6">
        <f t="shared" si="219"/>
        <v>824.01499999999987</v>
      </c>
      <c r="AJ869" s="11">
        <f t="shared" si="220"/>
        <v>0.17548270174553127</v>
      </c>
      <c r="AK869" s="11" t="str">
        <f t="shared" si="221"/>
        <v>November</v>
      </c>
      <c r="AL869" s="12">
        <f t="shared" si="222"/>
        <v>2024</v>
      </c>
      <c r="AM869" s="6" t="s">
        <v>220</v>
      </c>
      <c r="AN869" s="6" t="s">
        <v>98</v>
      </c>
      <c r="AO869" s="6" t="str">
        <f t="shared" si="214"/>
        <v>Cancelled</v>
      </c>
    </row>
    <row r="870" spans="1:41">
      <c r="A870" s="6" t="s">
        <v>3984</v>
      </c>
      <c r="B870" s="7" t="s">
        <v>834</v>
      </c>
      <c r="C870" s="8">
        <v>45758</v>
      </c>
      <c r="D870" s="7" t="s">
        <v>2163</v>
      </c>
      <c r="E870" s="9">
        <v>45762</v>
      </c>
      <c r="F870" s="9" t="str">
        <f t="shared" si="207"/>
        <v>Valid</v>
      </c>
      <c r="G870" s="10">
        <f t="shared" si="208"/>
        <v>4</v>
      </c>
      <c r="H870" s="10" t="str">
        <f t="shared" si="209"/>
        <v>Valid</v>
      </c>
      <c r="I870" s="6" t="s">
        <v>3985</v>
      </c>
      <c r="J870" s="6" t="s">
        <v>103</v>
      </c>
      <c r="K870" s="6" t="s">
        <v>103</v>
      </c>
      <c r="L870" s="6" t="s">
        <v>135</v>
      </c>
      <c r="M870" s="7" t="str">
        <f t="shared" si="210"/>
        <v>Home Office</v>
      </c>
      <c r="N870" s="6" t="s">
        <v>82</v>
      </c>
      <c r="O870" s="7" t="str">
        <f t="shared" si="211"/>
        <v>South</v>
      </c>
      <c r="P870" s="6" t="s">
        <v>249</v>
      </c>
      <c r="Q870" s="6" t="s">
        <v>250</v>
      </c>
      <c r="R870" s="6" t="s">
        <v>50</v>
      </c>
      <c r="S870" s="7" t="str">
        <f t="shared" si="212"/>
        <v>Office Supplies</v>
      </c>
      <c r="T870" s="6" t="s">
        <v>176</v>
      </c>
      <c r="U870" s="6" t="s">
        <v>3986</v>
      </c>
      <c r="V870" s="6" t="s">
        <v>68</v>
      </c>
      <c r="W870" s="7" t="str">
        <f t="shared" si="213"/>
        <v>Same Day</v>
      </c>
      <c r="X870" s="6">
        <v>9</v>
      </c>
      <c r="Y870" s="6">
        <v>224.94</v>
      </c>
      <c r="Z870" s="6">
        <v>0.05</v>
      </c>
      <c r="AA870" s="6">
        <f t="shared" si="215"/>
        <v>0.05</v>
      </c>
      <c r="AB870" s="6" t="str">
        <f t="shared" si="216"/>
        <v>Valid</v>
      </c>
      <c r="AC870" s="6">
        <v>1923.24</v>
      </c>
      <c r="AD870" s="6" t="str">
        <f>IF(OR(AO870="Cancelled",AM870="Failed"),"Exclude from Completed Sales","Include in Completed Sales")</f>
        <v>Include in Completed Sales</v>
      </c>
      <c r="AE870" s="6">
        <f t="shared" si="217"/>
        <v>1923.2369999999999</v>
      </c>
      <c r="AF870" s="6" t="str">
        <f t="shared" si="218"/>
        <v/>
      </c>
      <c r="AG870" s="6">
        <v>1093.6600000000001</v>
      </c>
      <c r="AH870" s="6">
        <v>829.58</v>
      </c>
      <c r="AI870" s="6">
        <f t="shared" si="219"/>
        <v>829.57699999999977</v>
      </c>
      <c r="AJ870" s="11">
        <f t="shared" si="220"/>
        <v>0.43134413491420964</v>
      </c>
      <c r="AK870" s="11" t="str">
        <f t="shared" si="221"/>
        <v>April</v>
      </c>
      <c r="AL870" s="12">
        <f t="shared" si="222"/>
        <v>2025</v>
      </c>
      <c r="AM870" s="6" t="s">
        <v>54</v>
      </c>
      <c r="AN870" s="6" t="s">
        <v>55</v>
      </c>
      <c r="AO870" s="6" t="str">
        <f t="shared" si="214"/>
        <v>Completed</v>
      </c>
    </row>
    <row r="871" spans="1:41">
      <c r="A871" s="6" t="s">
        <v>3987</v>
      </c>
      <c r="B871" s="7" t="s">
        <v>3988</v>
      </c>
      <c r="C871" s="8">
        <v>45722</v>
      </c>
      <c r="D871" s="7" t="s">
        <v>807</v>
      </c>
      <c r="E871" s="9">
        <v>45723</v>
      </c>
      <c r="F871" s="9" t="str">
        <f t="shared" si="207"/>
        <v>Valid</v>
      </c>
      <c r="G871" s="10">
        <f t="shared" si="208"/>
        <v>1</v>
      </c>
      <c r="H871" s="10" t="str">
        <f t="shared" si="209"/>
        <v>Valid</v>
      </c>
      <c r="I871" s="6" t="s">
        <v>3989</v>
      </c>
      <c r="J871" s="6" t="s">
        <v>200</v>
      </c>
      <c r="K871" s="6" t="s">
        <v>200</v>
      </c>
      <c r="L871" s="6" t="s">
        <v>135</v>
      </c>
      <c r="M871" s="7" t="str">
        <f t="shared" si="210"/>
        <v>Home Office</v>
      </c>
      <c r="N871" s="6"/>
      <c r="O871" s="7" t="str">
        <f t="shared" si="211"/>
        <v>Unknown</v>
      </c>
      <c r="P871" s="6" t="s">
        <v>526</v>
      </c>
      <c r="Q871" s="6" t="s">
        <v>527</v>
      </c>
      <c r="R871" s="6" t="s">
        <v>65</v>
      </c>
      <c r="S871" s="7" t="str">
        <f t="shared" si="212"/>
        <v>Furniture</v>
      </c>
      <c r="T871" s="6" t="s">
        <v>96</v>
      </c>
      <c r="U871" s="6" t="s">
        <v>1772</v>
      </c>
      <c r="V871" s="6" t="s">
        <v>68</v>
      </c>
      <c r="W871" s="7" t="str">
        <f t="shared" si="213"/>
        <v>Same Day</v>
      </c>
      <c r="X871" s="6">
        <v>6</v>
      </c>
      <c r="Y871" s="6">
        <v>796.65</v>
      </c>
      <c r="Z871" s="6">
        <v>0.1</v>
      </c>
      <c r="AA871" s="6">
        <f t="shared" si="215"/>
        <v>0.1</v>
      </c>
      <c r="AB871" s="6" t="str">
        <f t="shared" si="216"/>
        <v>Valid</v>
      </c>
      <c r="AC871" s="6">
        <v>4301.91</v>
      </c>
      <c r="AD871" s="6" t="str">
        <f>IF(OR(AO871="Cancelled",AM871="Failed"),"Exclude from Completed Sales","Include in Completed Sales")</f>
        <v>Include in Completed Sales</v>
      </c>
      <c r="AE871" s="6">
        <f t="shared" si="217"/>
        <v>4301.91</v>
      </c>
      <c r="AF871" s="6" t="str">
        <f t="shared" si="218"/>
        <v/>
      </c>
      <c r="AG871" s="6">
        <v>2374.4</v>
      </c>
      <c r="AH871" s="6">
        <v>1927.51</v>
      </c>
      <c r="AI871" s="6">
        <f t="shared" si="219"/>
        <v>1927.5099999999998</v>
      </c>
      <c r="AJ871" s="11">
        <f t="shared" si="220"/>
        <v>0.44805911792668834</v>
      </c>
      <c r="AK871" s="11" t="str">
        <f t="shared" si="221"/>
        <v>March</v>
      </c>
      <c r="AL871" s="12">
        <f t="shared" si="222"/>
        <v>2025</v>
      </c>
      <c r="AM871" s="6" t="s">
        <v>54</v>
      </c>
      <c r="AN871" s="6" t="s">
        <v>55</v>
      </c>
      <c r="AO871" s="6" t="str">
        <f t="shared" si="214"/>
        <v>Completed</v>
      </c>
    </row>
    <row r="872" spans="1:41">
      <c r="A872" s="6" t="s">
        <v>3990</v>
      </c>
      <c r="B872" s="7" t="s">
        <v>3991</v>
      </c>
      <c r="C872" s="8">
        <v>45814</v>
      </c>
      <c r="D872" s="7" t="s">
        <v>3992</v>
      </c>
      <c r="E872" s="9">
        <v>45815</v>
      </c>
      <c r="F872" s="9" t="str">
        <f t="shared" si="207"/>
        <v>Valid</v>
      </c>
      <c r="G872" s="10">
        <f t="shared" si="208"/>
        <v>1</v>
      </c>
      <c r="H872" s="10" t="str">
        <f t="shared" si="209"/>
        <v>Valid</v>
      </c>
      <c r="I872" s="6" t="s">
        <v>3993</v>
      </c>
      <c r="J872" s="6" t="s">
        <v>103</v>
      </c>
      <c r="K872" s="6" t="s">
        <v>103</v>
      </c>
      <c r="L872" s="6" t="s">
        <v>128</v>
      </c>
      <c r="M872" s="7" t="str">
        <f t="shared" si="210"/>
        <v>Corporate</v>
      </c>
      <c r="N872" s="6" t="s">
        <v>93</v>
      </c>
      <c r="O872" s="7" t="str">
        <f t="shared" si="211"/>
        <v>West</v>
      </c>
      <c r="P872" s="6" t="s">
        <v>269</v>
      </c>
      <c r="Q872" s="6" t="s">
        <v>270</v>
      </c>
      <c r="R872" s="6" t="s">
        <v>65</v>
      </c>
      <c r="S872" s="7" t="str">
        <f t="shared" si="212"/>
        <v>Furniture</v>
      </c>
      <c r="T872" s="6" t="s">
        <v>66</v>
      </c>
      <c r="U872" s="6" t="s">
        <v>3994</v>
      </c>
      <c r="V872" s="6" t="s">
        <v>87</v>
      </c>
      <c r="W872" s="7" t="str">
        <f t="shared" si="213"/>
        <v>Standard Class</v>
      </c>
      <c r="X872" s="6">
        <v>9</v>
      </c>
      <c r="Y872" s="6">
        <v>2932.92</v>
      </c>
      <c r="Z872" s="6">
        <v>0.15</v>
      </c>
      <c r="AA872" s="6">
        <f t="shared" si="215"/>
        <v>0.15</v>
      </c>
      <c r="AB872" s="6" t="str">
        <f t="shared" si="216"/>
        <v>Valid</v>
      </c>
      <c r="AC872" s="6">
        <v>22436.84</v>
      </c>
      <c r="AD872" s="6" t="str">
        <f>IF(OR(AO872="Cancelled",AM872="Failed"),"Exclude from Completed Sales","Include in Completed Sales")</f>
        <v>Exclude from Completed Sales</v>
      </c>
      <c r="AE872" s="6">
        <f t="shared" si="217"/>
        <v>22436.838</v>
      </c>
      <c r="AF872" s="6" t="str">
        <f t="shared" si="218"/>
        <v/>
      </c>
      <c r="AG872" s="6">
        <v>17454.669999999998</v>
      </c>
      <c r="AH872" s="6">
        <v>4982.17</v>
      </c>
      <c r="AI872" s="6">
        <f t="shared" si="219"/>
        <v>4982.1680000000015</v>
      </c>
      <c r="AJ872" s="11">
        <f t="shared" si="220"/>
        <v>0.22205303617203109</v>
      </c>
      <c r="AK872" s="11" t="str">
        <f t="shared" si="221"/>
        <v>June</v>
      </c>
      <c r="AL872" s="12">
        <f t="shared" si="222"/>
        <v>2025</v>
      </c>
      <c r="AM872" s="6" t="s">
        <v>54</v>
      </c>
      <c r="AN872" s="6" t="s">
        <v>98</v>
      </c>
      <c r="AO872" s="6" t="str">
        <f t="shared" si="214"/>
        <v>Cancelled</v>
      </c>
    </row>
    <row r="873" spans="1:41">
      <c r="A873" s="6" t="s">
        <v>3995</v>
      </c>
      <c r="B873" s="7" t="s">
        <v>3996</v>
      </c>
      <c r="C873" s="8">
        <v>45342</v>
      </c>
      <c r="D873" s="7" t="s">
        <v>2850</v>
      </c>
      <c r="E873" s="9">
        <v>45344</v>
      </c>
      <c r="F873" s="9" t="str">
        <f t="shared" si="207"/>
        <v>Valid</v>
      </c>
      <c r="G873" s="10">
        <f t="shared" si="208"/>
        <v>2</v>
      </c>
      <c r="H873" s="10" t="str">
        <f t="shared" si="209"/>
        <v>Valid</v>
      </c>
      <c r="I873" s="6" t="s">
        <v>3815</v>
      </c>
      <c r="J873" s="6" t="s">
        <v>113</v>
      </c>
      <c r="K873" s="6" t="s">
        <v>113</v>
      </c>
      <c r="L873" s="6" t="s">
        <v>61</v>
      </c>
      <c r="M873" s="7" t="str">
        <f t="shared" si="210"/>
        <v>Small Business</v>
      </c>
      <c r="N873" s="6" t="s">
        <v>82</v>
      </c>
      <c r="O873" s="7" t="str">
        <f t="shared" si="211"/>
        <v>South</v>
      </c>
      <c r="P873" s="6" t="s">
        <v>83</v>
      </c>
      <c r="Q873" s="6" t="s">
        <v>84</v>
      </c>
      <c r="R873" s="6" t="s">
        <v>106</v>
      </c>
      <c r="S873" s="7" t="str">
        <f t="shared" si="212"/>
        <v>Technology</v>
      </c>
      <c r="T873" s="6" t="s">
        <v>107</v>
      </c>
      <c r="U873" s="6" t="s">
        <v>3997</v>
      </c>
      <c r="V873" s="6" t="s">
        <v>76</v>
      </c>
      <c r="W873" s="7" t="str">
        <f t="shared" si="213"/>
        <v>First Class</v>
      </c>
      <c r="X873" s="6">
        <v>9</v>
      </c>
      <c r="Y873" s="6">
        <v>2186.23</v>
      </c>
      <c r="Z873" s="6">
        <v>0</v>
      </c>
      <c r="AA873" s="6">
        <f t="shared" si="215"/>
        <v>0</v>
      </c>
      <c r="AB873" s="6" t="str">
        <f t="shared" si="216"/>
        <v>Valid</v>
      </c>
      <c r="AC873" s="6">
        <v>19676.07</v>
      </c>
      <c r="AD873" s="6" t="str">
        <f>IF(OR(AO873="Cancelled",AM873="Failed"),"Exclude from Completed Sales","Include in Completed Sales")</f>
        <v>Exclude from Completed Sales</v>
      </c>
      <c r="AE873" s="6">
        <f t="shared" si="217"/>
        <v>19676.07</v>
      </c>
      <c r="AF873" s="6" t="str">
        <f t="shared" si="218"/>
        <v>Refunded</v>
      </c>
      <c r="AG873" s="6">
        <v>12458.62</v>
      </c>
      <c r="AH873" s="6">
        <v>7217.45</v>
      </c>
      <c r="AI873" s="6">
        <f t="shared" si="219"/>
        <v>7217.4499999999989</v>
      </c>
      <c r="AJ873" s="11">
        <f t="shared" si="220"/>
        <v>0.36681359641432454</v>
      </c>
      <c r="AK873" s="11" t="str">
        <f t="shared" si="221"/>
        <v>February</v>
      </c>
      <c r="AL873" s="12">
        <f t="shared" si="222"/>
        <v>2024</v>
      </c>
      <c r="AM873" s="6" t="s">
        <v>144</v>
      </c>
      <c r="AN873" s="6" t="s">
        <v>98</v>
      </c>
      <c r="AO873" s="6" t="str">
        <f t="shared" si="214"/>
        <v>Cancelled</v>
      </c>
    </row>
    <row r="874" spans="1:41">
      <c r="A874" s="6" t="s">
        <v>3998</v>
      </c>
      <c r="B874" s="7" t="s">
        <v>3526</v>
      </c>
      <c r="C874" s="8">
        <v>45597</v>
      </c>
      <c r="D874" s="7" t="s">
        <v>3999</v>
      </c>
      <c r="E874" s="9">
        <v>45598</v>
      </c>
      <c r="F874" s="9" t="str">
        <f t="shared" si="207"/>
        <v>Valid</v>
      </c>
      <c r="G874" s="10">
        <f t="shared" si="208"/>
        <v>1</v>
      </c>
      <c r="H874" s="10" t="str">
        <f t="shared" si="209"/>
        <v>Valid</v>
      </c>
      <c r="I874" s="6" t="s">
        <v>2982</v>
      </c>
      <c r="J874" s="6" t="s">
        <v>45</v>
      </c>
      <c r="K874" s="6" t="s">
        <v>45</v>
      </c>
      <c r="L874" s="6" t="s">
        <v>128</v>
      </c>
      <c r="M874" s="7" t="str">
        <f t="shared" si="210"/>
        <v>Corporate</v>
      </c>
      <c r="N874" s="6" t="s">
        <v>62</v>
      </c>
      <c r="O874" s="7" t="str">
        <f t="shared" si="211"/>
        <v>East</v>
      </c>
      <c r="P874" s="6" t="s">
        <v>141</v>
      </c>
      <c r="Q874" s="6" t="s">
        <v>142</v>
      </c>
      <c r="R874" s="6" t="s">
        <v>65</v>
      </c>
      <c r="S874" s="7" t="str">
        <f t="shared" si="212"/>
        <v>Furniture</v>
      </c>
      <c r="T874" s="6" t="s">
        <v>85</v>
      </c>
      <c r="U874" s="6" t="s">
        <v>4000</v>
      </c>
      <c r="V874" s="6" t="s">
        <v>87</v>
      </c>
      <c r="W874" s="7" t="str">
        <f t="shared" si="213"/>
        <v>Standard Class</v>
      </c>
      <c r="X874" s="6">
        <v>5</v>
      </c>
      <c r="Y874" s="6">
        <v>2212.02</v>
      </c>
      <c r="Z874" s="6">
        <v>0.2</v>
      </c>
      <c r="AA874" s="6">
        <f t="shared" si="215"/>
        <v>0.2</v>
      </c>
      <c r="AB874" s="6" t="str">
        <f t="shared" si="216"/>
        <v>Valid</v>
      </c>
      <c r="AC874" s="6">
        <v>8848.08</v>
      </c>
      <c r="AD874" s="6" t="str">
        <f>IF(OR(AO874="Cancelled",AM874="Failed"),"Exclude from Completed Sales","Include in Completed Sales")</f>
        <v>Include in Completed Sales</v>
      </c>
      <c r="AE874" s="6">
        <f t="shared" si="217"/>
        <v>8848.08</v>
      </c>
      <c r="AF874" s="6" t="str">
        <f t="shared" si="218"/>
        <v/>
      </c>
      <c r="AG874" s="6">
        <v>5691.56</v>
      </c>
      <c r="AH874" s="6">
        <v>3156.52</v>
      </c>
      <c r="AI874" s="6">
        <f t="shared" si="219"/>
        <v>3156.5199999999995</v>
      </c>
      <c r="AJ874" s="11">
        <f t="shared" si="220"/>
        <v>0.35674632236598219</v>
      </c>
      <c r="AK874" s="11" t="str">
        <f t="shared" si="221"/>
        <v>November</v>
      </c>
      <c r="AL874" s="12">
        <f t="shared" si="222"/>
        <v>2024</v>
      </c>
      <c r="AM874" s="6" t="s">
        <v>54</v>
      </c>
      <c r="AN874" s="6" t="s">
        <v>55</v>
      </c>
      <c r="AO874" s="6" t="str">
        <f t="shared" si="214"/>
        <v>Completed</v>
      </c>
    </row>
    <row r="875" spans="1:41">
      <c r="A875" s="6" t="s">
        <v>4001</v>
      </c>
      <c r="B875" s="7" t="s">
        <v>4002</v>
      </c>
      <c r="C875" s="8">
        <v>45689</v>
      </c>
      <c r="D875" s="7" t="s">
        <v>4003</v>
      </c>
      <c r="E875" s="9">
        <v>45696</v>
      </c>
      <c r="F875" s="9" t="str">
        <f t="shared" si="207"/>
        <v>Valid</v>
      </c>
      <c r="G875" s="10">
        <f t="shared" si="208"/>
        <v>7</v>
      </c>
      <c r="H875" s="10" t="str">
        <f t="shared" si="209"/>
        <v>Valid</v>
      </c>
      <c r="I875" s="6" t="s">
        <v>4004</v>
      </c>
      <c r="J875" s="6" t="s">
        <v>127</v>
      </c>
      <c r="K875" s="6" t="s">
        <v>127</v>
      </c>
      <c r="L875" s="6" t="s">
        <v>135</v>
      </c>
      <c r="M875" s="7" t="str">
        <f t="shared" si="210"/>
        <v>Home Office</v>
      </c>
      <c r="N875" s="6" t="s">
        <v>93</v>
      </c>
      <c r="O875" s="7" t="str">
        <f t="shared" si="211"/>
        <v>West</v>
      </c>
      <c r="P875" s="6" t="s">
        <v>255</v>
      </c>
      <c r="Q875" s="6" t="s">
        <v>256</v>
      </c>
      <c r="R875" s="6" t="s">
        <v>50</v>
      </c>
      <c r="S875" s="7" t="str">
        <f t="shared" si="212"/>
        <v>Office Supplies</v>
      </c>
      <c r="T875" s="6" t="s">
        <v>176</v>
      </c>
      <c r="U875" s="6" t="s">
        <v>4005</v>
      </c>
      <c r="V875" s="6" t="s">
        <v>53</v>
      </c>
      <c r="W875" s="7" t="str">
        <f t="shared" si="213"/>
        <v>Second Class</v>
      </c>
      <c r="X875" s="6">
        <v>8</v>
      </c>
      <c r="Y875" s="6">
        <v>623.30999999999995</v>
      </c>
      <c r="Z875" s="6">
        <v>0.1</v>
      </c>
      <c r="AA875" s="6">
        <f t="shared" si="215"/>
        <v>0.1</v>
      </c>
      <c r="AB875" s="6" t="str">
        <f t="shared" si="216"/>
        <v>Valid</v>
      </c>
      <c r="AC875" s="6">
        <v>4487.83</v>
      </c>
      <c r="AD875" s="6" t="str">
        <f>IF(OR(AO875="Cancelled",AM875="Failed"),"Exclude from Completed Sales","Include in Completed Sales")</f>
        <v>Include in Completed Sales</v>
      </c>
      <c r="AE875" s="6">
        <f t="shared" si="217"/>
        <v>4487.8319999999994</v>
      </c>
      <c r="AF875" s="6" t="str">
        <f t="shared" si="218"/>
        <v/>
      </c>
      <c r="AG875" s="6">
        <v>2633.78</v>
      </c>
      <c r="AH875" s="6">
        <v>1854.05</v>
      </c>
      <c r="AI875" s="6">
        <f t="shared" si="219"/>
        <v>1854.0519999999992</v>
      </c>
      <c r="AJ875" s="11">
        <f t="shared" si="220"/>
        <v>0.41312865543986482</v>
      </c>
      <c r="AK875" s="11" t="str">
        <f t="shared" si="221"/>
        <v>February</v>
      </c>
      <c r="AL875" s="12">
        <f t="shared" si="222"/>
        <v>2025</v>
      </c>
      <c r="AM875" s="6" t="s">
        <v>54</v>
      </c>
      <c r="AN875" s="6" t="s">
        <v>55</v>
      </c>
      <c r="AO875" s="6" t="str">
        <f t="shared" si="214"/>
        <v>Completed</v>
      </c>
    </row>
    <row r="876" spans="1:41">
      <c r="A876" s="6" t="s">
        <v>4006</v>
      </c>
      <c r="B876" s="7" t="s">
        <v>2928</v>
      </c>
      <c r="C876" s="8">
        <v>45853</v>
      </c>
      <c r="D876" s="7" t="s">
        <v>1531</v>
      </c>
      <c r="E876" s="9">
        <v>45854</v>
      </c>
      <c r="F876" s="9" t="str">
        <f t="shared" si="207"/>
        <v>Valid</v>
      </c>
      <c r="G876" s="10">
        <f t="shared" si="208"/>
        <v>1</v>
      </c>
      <c r="H876" s="10" t="str">
        <f t="shared" si="209"/>
        <v>Valid</v>
      </c>
      <c r="I876" s="6" t="s">
        <v>4007</v>
      </c>
      <c r="J876" s="6" t="s">
        <v>103</v>
      </c>
      <c r="K876" s="6" t="s">
        <v>103</v>
      </c>
      <c r="L876" s="6" t="s">
        <v>61</v>
      </c>
      <c r="M876" s="7" t="str">
        <f t="shared" si="210"/>
        <v>Small Business</v>
      </c>
      <c r="N876" s="6" t="s">
        <v>93</v>
      </c>
      <c r="O876" s="7" t="str">
        <f t="shared" si="211"/>
        <v>West</v>
      </c>
      <c r="P876" s="6" t="s">
        <v>94</v>
      </c>
      <c r="Q876" s="6" t="s">
        <v>95</v>
      </c>
      <c r="R876" s="6" t="s">
        <v>50</v>
      </c>
      <c r="S876" s="7" t="str">
        <f t="shared" si="212"/>
        <v>Office Supplies</v>
      </c>
      <c r="T876" s="6" t="s">
        <v>51</v>
      </c>
      <c r="U876" s="6" t="s">
        <v>4008</v>
      </c>
      <c r="V876" s="6" t="s">
        <v>87</v>
      </c>
      <c r="W876" s="7" t="str">
        <f t="shared" si="213"/>
        <v>Standard Class</v>
      </c>
      <c r="X876" s="6">
        <v>8</v>
      </c>
      <c r="Y876" s="6">
        <v>3924.88</v>
      </c>
      <c r="Z876" s="6">
        <v>0.05</v>
      </c>
      <c r="AA876" s="6">
        <f t="shared" si="215"/>
        <v>0.05</v>
      </c>
      <c r="AB876" s="6" t="str">
        <f t="shared" si="216"/>
        <v>Valid</v>
      </c>
      <c r="AC876" s="6">
        <v>29829.09</v>
      </c>
      <c r="AD876" s="6" t="str">
        <f>IF(OR(AO876="Cancelled",AM876="Failed"),"Exclude from Completed Sales","Include in Completed Sales")</f>
        <v>Include in Completed Sales</v>
      </c>
      <c r="AE876" s="6">
        <f t="shared" si="217"/>
        <v>29829.088</v>
      </c>
      <c r="AF876" s="6" t="str">
        <f t="shared" si="218"/>
        <v/>
      </c>
      <c r="AG876" s="6">
        <v>20710.18</v>
      </c>
      <c r="AH876" s="6">
        <v>9118.91</v>
      </c>
      <c r="AI876" s="6">
        <f t="shared" si="219"/>
        <v>9118.9079999999994</v>
      </c>
      <c r="AJ876" s="11">
        <f t="shared" si="220"/>
        <v>0.30570522303598419</v>
      </c>
      <c r="AK876" s="11" t="str">
        <f t="shared" si="221"/>
        <v>July</v>
      </c>
      <c r="AL876" s="12">
        <f t="shared" si="222"/>
        <v>2025</v>
      </c>
      <c r="AM876" s="6" t="s">
        <v>54</v>
      </c>
      <c r="AN876" s="6" t="s">
        <v>55</v>
      </c>
      <c r="AO876" s="6" t="str">
        <f t="shared" si="214"/>
        <v>Completed</v>
      </c>
    </row>
    <row r="877" spans="1:41">
      <c r="A877" s="6" t="s">
        <v>4009</v>
      </c>
      <c r="B877" s="7" t="s">
        <v>4010</v>
      </c>
      <c r="C877" s="8">
        <v>45514</v>
      </c>
      <c r="D877" s="7" t="s">
        <v>4011</v>
      </c>
      <c r="E877" s="9">
        <v>45515</v>
      </c>
      <c r="F877" s="9" t="str">
        <f t="shared" si="207"/>
        <v>Valid</v>
      </c>
      <c r="G877" s="10">
        <f t="shared" si="208"/>
        <v>1</v>
      </c>
      <c r="H877" s="10" t="str">
        <f t="shared" si="209"/>
        <v>Valid</v>
      </c>
      <c r="I877" s="6" t="s">
        <v>4012</v>
      </c>
      <c r="J877" s="6" t="s">
        <v>60</v>
      </c>
      <c r="K877" s="6" t="s">
        <v>60</v>
      </c>
      <c r="L877" s="6" t="s">
        <v>128</v>
      </c>
      <c r="M877" s="7" t="str">
        <f t="shared" si="210"/>
        <v>Corporate</v>
      </c>
      <c r="N877" s="6" t="s">
        <v>93</v>
      </c>
      <c r="O877" s="7" t="str">
        <f t="shared" si="211"/>
        <v>West</v>
      </c>
      <c r="P877" s="6" t="s">
        <v>94</v>
      </c>
      <c r="Q877" s="6" t="s">
        <v>95</v>
      </c>
      <c r="R877" s="6" t="s">
        <v>106</v>
      </c>
      <c r="S877" s="7" t="str">
        <f t="shared" si="212"/>
        <v>Technology</v>
      </c>
      <c r="T877" s="6" t="s">
        <v>114</v>
      </c>
      <c r="U877" s="6" t="s">
        <v>4013</v>
      </c>
      <c r="V877" s="6" t="s">
        <v>76</v>
      </c>
      <c r="W877" s="7" t="str">
        <f t="shared" si="213"/>
        <v>First Class</v>
      </c>
      <c r="X877" s="6">
        <v>7</v>
      </c>
      <c r="Y877" s="6">
        <v>3852.62</v>
      </c>
      <c r="Z877" s="6">
        <v>0.2</v>
      </c>
      <c r="AA877" s="6">
        <f t="shared" si="215"/>
        <v>0.2</v>
      </c>
      <c r="AB877" s="6" t="str">
        <f t="shared" si="216"/>
        <v>Valid</v>
      </c>
      <c r="AC877" s="6">
        <v>21574.67</v>
      </c>
      <c r="AD877" s="6" t="str">
        <f>IF(OR(AO877="Cancelled",AM877="Failed"),"Exclude from Completed Sales","Include in Completed Sales")</f>
        <v>Include in Completed Sales</v>
      </c>
      <c r="AE877" s="6">
        <f t="shared" si="217"/>
        <v>21574.672000000002</v>
      </c>
      <c r="AF877" s="6" t="str">
        <f t="shared" si="218"/>
        <v/>
      </c>
      <c r="AG877" s="6">
        <v>14672.83</v>
      </c>
      <c r="AH877" s="6">
        <v>6901.84</v>
      </c>
      <c r="AI877" s="6">
        <f t="shared" si="219"/>
        <v>6901.8420000000024</v>
      </c>
      <c r="AJ877" s="11">
        <f t="shared" si="220"/>
        <v>0.31990484026825539</v>
      </c>
      <c r="AK877" s="11" t="str">
        <f t="shared" si="221"/>
        <v>August</v>
      </c>
      <c r="AL877" s="12">
        <f t="shared" si="222"/>
        <v>2024</v>
      </c>
      <c r="AM877" s="6" t="s">
        <v>54</v>
      </c>
      <c r="AN877" s="6" t="s">
        <v>55</v>
      </c>
      <c r="AO877" s="6" t="str">
        <f t="shared" si="214"/>
        <v>Completed</v>
      </c>
    </row>
    <row r="878" spans="1:41">
      <c r="A878" s="6" t="s">
        <v>4014</v>
      </c>
      <c r="B878" s="7" t="s">
        <v>4015</v>
      </c>
      <c r="C878" s="8">
        <v>45614</v>
      </c>
      <c r="D878" s="7" t="s">
        <v>4016</v>
      </c>
      <c r="E878" s="9">
        <v>45616</v>
      </c>
      <c r="F878" s="9" t="str">
        <f t="shared" si="207"/>
        <v>Valid</v>
      </c>
      <c r="G878" s="10">
        <f t="shared" si="208"/>
        <v>2</v>
      </c>
      <c r="H878" s="10" t="str">
        <f t="shared" si="209"/>
        <v>Valid</v>
      </c>
      <c r="I878" s="6" t="s">
        <v>4017</v>
      </c>
      <c r="J878" s="6" t="s">
        <v>162</v>
      </c>
      <c r="K878" s="6" t="s">
        <v>162</v>
      </c>
      <c r="L878" s="6" t="s">
        <v>46</v>
      </c>
      <c r="M878" s="7" t="str">
        <f t="shared" si="210"/>
        <v>Consumer</v>
      </c>
      <c r="N878" s="6" t="s">
        <v>93</v>
      </c>
      <c r="O878" s="7" t="str">
        <f t="shared" si="211"/>
        <v>West</v>
      </c>
      <c r="P878" s="6" t="s">
        <v>48</v>
      </c>
      <c r="Q878" s="6" t="s">
        <v>155</v>
      </c>
      <c r="R878" s="6" t="s">
        <v>65</v>
      </c>
      <c r="S878" s="7" t="str">
        <f t="shared" si="212"/>
        <v>Furniture</v>
      </c>
      <c r="T878" s="6" t="s">
        <v>96</v>
      </c>
      <c r="U878" s="6" t="s">
        <v>1311</v>
      </c>
      <c r="V878" s="6" t="s">
        <v>76</v>
      </c>
      <c r="W878" s="7" t="str">
        <f t="shared" si="213"/>
        <v>First Class</v>
      </c>
      <c r="X878" s="6">
        <v>6</v>
      </c>
      <c r="Y878" s="6">
        <v>3790.22</v>
      </c>
      <c r="Z878" s="6">
        <v>0</v>
      </c>
      <c r="AA878" s="6">
        <f t="shared" si="215"/>
        <v>0</v>
      </c>
      <c r="AB878" s="6" t="str">
        <f t="shared" si="216"/>
        <v>Valid</v>
      </c>
      <c r="AC878" s="6">
        <v>22741.32</v>
      </c>
      <c r="AD878" s="6" t="str">
        <f>IF(OR(AO878="Cancelled",AM878="Failed"),"Exclude from Completed Sales","Include in Completed Sales")</f>
        <v>Include in Completed Sales</v>
      </c>
      <c r="AE878" s="6">
        <f t="shared" si="217"/>
        <v>22741.32</v>
      </c>
      <c r="AF878" s="6" t="str">
        <f t="shared" si="218"/>
        <v/>
      </c>
      <c r="AG878" s="6">
        <v>16388.57</v>
      </c>
      <c r="AH878" s="6">
        <v>6352.75</v>
      </c>
      <c r="AI878" s="6">
        <f t="shared" si="219"/>
        <v>6352.75</v>
      </c>
      <c r="AJ878" s="11">
        <f t="shared" si="220"/>
        <v>0.27934834037777928</v>
      </c>
      <c r="AK878" s="11" t="str">
        <f t="shared" si="221"/>
        <v>November</v>
      </c>
      <c r="AL878" s="12">
        <f t="shared" si="222"/>
        <v>2024</v>
      </c>
      <c r="AM878" s="6" t="s">
        <v>54</v>
      </c>
      <c r="AN878" s="6" t="s">
        <v>55</v>
      </c>
      <c r="AO878" s="6" t="str">
        <f t="shared" si="214"/>
        <v>Completed</v>
      </c>
    </row>
    <row r="879" spans="1:41">
      <c r="A879" s="6" t="s">
        <v>4018</v>
      </c>
      <c r="B879" s="7" t="s">
        <v>4019</v>
      </c>
      <c r="C879" s="8">
        <v>45895</v>
      </c>
      <c r="D879" s="7" t="s">
        <v>2787</v>
      </c>
      <c r="E879" s="9">
        <v>45903</v>
      </c>
      <c r="F879" s="9" t="str">
        <f t="shared" si="207"/>
        <v>Valid</v>
      </c>
      <c r="G879" s="10">
        <f t="shared" si="208"/>
        <v>8</v>
      </c>
      <c r="H879" s="10" t="str">
        <f t="shared" si="209"/>
        <v>Valid</v>
      </c>
      <c r="I879" s="6" t="s">
        <v>4020</v>
      </c>
      <c r="J879" s="6" t="s">
        <v>182</v>
      </c>
      <c r="K879" s="6" t="s">
        <v>182</v>
      </c>
      <c r="L879" s="6" t="s">
        <v>46</v>
      </c>
      <c r="M879" s="7" t="str">
        <f t="shared" si="210"/>
        <v>Consumer</v>
      </c>
      <c r="N879" s="6" t="s">
        <v>93</v>
      </c>
      <c r="O879" s="7" t="str">
        <f t="shared" si="211"/>
        <v>West</v>
      </c>
      <c r="P879" s="6" t="s">
        <v>48</v>
      </c>
      <c r="Q879" s="6" t="s">
        <v>155</v>
      </c>
      <c r="R879" s="6" t="s">
        <v>50</v>
      </c>
      <c r="S879" s="7" t="str">
        <f t="shared" si="212"/>
        <v>Office Supplies</v>
      </c>
      <c r="T879" s="6" t="s">
        <v>176</v>
      </c>
      <c r="U879" s="6" t="s">
        <v>4021</v>
      </c>
      <c r="V879" s="6" t="s">
        <v>53</v>
      </c>
      <c r="W879" s="7" t="str">
        <f t="shared" si="213"/>
        <v>Second Class</v>
      </c>
      <c r="X879" s="6">
        <v>6</v>
      </c>
      <c r="Y879" s="6">
        <v>674.36</v>
      </c>
      <c r="Z879" s="6">
        <v>0.1</v>
      </c>
      <c r="AA879" s="6">
        <f t="shared" si="215"/>
        <v>0.1</v>
      </c>
      <c r="AB879" s="6" t="str">
        <f t="shared" si="216"/>
        <v>Valid</v>
      </c>
      <c r="AC879" s="6">
        <v>3641.54</v>
      </c>
      <c r="AD879" s="6" t="str">
        <f>IF(OR(AO879="Cancelled",AM879="Failed"),"Exclude from Completed Sales","Include in Completed Sales")</f>
        <v>Include in Completed Sales</v>
      </c>
      <c r="AE879" s="6">
        <f t="shared" si="217"/>
        <v>3641.5439999999999</v>
      </c>
      <c r="AF879" s="6" t="str">
        <f t="shared" si="218"/>
        <v/>
      </c>
      <c r="AG879" s="6">
        <v>2690.37</v>
      </c>
      <c r="AH879" s="6">
        <v>951.17</v>
      </c>
      <c r="AI879" s="6">
        <f t="shared" si="219"/>
        <v>951.17399999999998</v>
      </c>
      <c r="AJ879" s="11">
        <f t="shared" si="220"/>
        <v>0.26120074342092253</v>
      </c>
      <c r="AK879" s="11" t="str">
        <f t="shared" si="221"/>
        <v>August</v>
      </c>
      <c r="AL879" s="12">
        <f t="shared" si="222"/>
        <v>2025</v>
      </c>
      <c r="AM879" s="6" t="s">
        <v>54</v>
      </c>
      <c r="AN879" s="6" t="s">
        <v>55</v>
      </c>
      <c r="AO879" s="6" t="str">
        <f t="shared" si="214"/>
        <v>Completed</v>
      </c>
    </row>
    <row r="880" spans="1:41">
      <c r="A880" s="6" t="s">
        <v>4022</v>
      </c>
      <c r="B880" s="7" t="s">
        <v>2058</v>
      </c>
      <c r="C880" s="8">
        <v>45313</v>
      </c>
      <c r="D880" s="7" t="s">
        <v>2058</v>
      </c>
      <c r="E880" s="9">
        <v>45313</v>
      </c>
      <c r="F880" s="9" t="str">
        <f t="shared" si="207"/>
        <v>Valid</v>
      </c>
      <c r="G880" s="10">
        <f t="shared" si="208"/>
        <v>0</v>
      </c>
      <c r="H880" s="10" t="str">
        <f t="shared" si="209"/>
        <v>Valid</v>
      </c>
      <c r="I880" s="6" t="s">
        <v>4023</v>
      </c>
      <c r="J880" s="6" t="s">
        <v>45</v>
      </c>
      <c r="K880" s="6" t="s">
        <v>45</v>
      </c>
      <c r="L880" s="6" t="s">
        <v>128</v>
      </c>
      <c r="M880" s="7" t="str">
        <f t="shared" si="210"/>
        <v>Corporate</v>
      </c>
      <c r="N880" s="6" t="s">
        <v>62</v>
      </c>
      <c r="O880" s="7" t="str">
        <f t="shared" si="211"/>
        <v>East</v>
      </c>
      <c r="P880" s="6" t="s">
        <v>141</v>
      </c>
      <c r="Q880" s="6" t="s">
        <v>142</v>
      </c>
      <c r="R880" s="6" t="s">
        <v>50</v>
      </c>
      <c r="S880" s="7" t="str">
        <f t="shared" si="212"/>
        <v>Office Supplies</v>
      </c>
      <c r="T880" s="6" t="s">
        <v>51</v>
      </c>
      <c r="U880" s="6" t="s">
        <v>4024</v>
      </c>
      <c r="V880" s="6" t="s">
        <v>76</v>
      </c>
      <c r="W880" s="7" t="str">
        <f t="shared" si="213"/>
        <v>First Class</v>
      </c>
      <c r="X880" s="6">
        <v>8</v>
      </c>
      <c r="Y880" s="6">
        <v>1557.21</v>
      </c>
      <c r="Z880" s="6">
        <v>0.05</v>
      </c>
      <c r="AA880" s="6">
        <f t="shared" si="215"/>
        <v>0.05</v>
      </c>
      <c r="AB880" s="6" t="str">
        <f t="shared" si="216"/>
        <v>Valid</v>
      </c>
      <c r="AC880" s="6">
        <v>11834.8</v>
      </c>
      <c r="AD880" s="6" t="str">
        <f>IF(OR(AO880="Cancelled",AM880="Failed"),"Exclude from Completed Sales","Include in Completed Sales")</f>
        <v>Include in Completed Sales</v>
      </c>
      <c r="AE880" s="6">
        <f t="shared" si="217"/>
        <v>11834.796</v>
      </c>
      <c r="AF880" s="6" t="str">
        <f t="shared" si="218"/>
        <v/>
      </c>
      <c r="AG880" s="6">
        <v>9322.36</v>
      </c>
      <c r="AH880" s="6">
        <v>2512.44</v>
      </c>
      <c r="AI880" s="6">
        <f t="shared" si="219"/>
        <v>2512.4359999999997</v>
      </c>
      <c r="AJ880" s="11">
        <f t="shared" si="220"/>
        <v>0.21229229468763125</v>
      </c>
      <c r="AK880" s="11" t="str">
        <f t="shared" si="221"/>
        <v>January</v>
      </c>
      <c r="AL880" s="12">
        <f t="shared" si="222"/>
        <v>2024</v>
      </c>
      <c r="AM880" s="6" t="s">
        <v>54</v>
      </c>
      <c r="AN880" s="6" t="s">
        <v>55</v>
      </c>
      <c r="AO880" s="6" t="str">
        <f t="shared" si="214"/>
        <v>Completed</v>
      </c>
    </row>
    <row r="881" spans="1:41">
      <c r="A881" s="6" t="s">
        <v>4025</v>
      </c>
      <c r="B881" s="7" t="s">
        <v>4026</v>
      </c>
      <c r="C881" s="8">
        <v>45896</v>
      </c>
      <c r="D881" s="7" t="s">
        <v>455</v>
      </c>
      <c r="E881" s="9">
        <v>45897</v>
      </c>
      <c r="F881" s="9" t="str">
        <f t="shared" si="207"/>
        <v>Valid</v>
      </c>
      <c r="G881" s="10">
        <f t="shared" si="208"/>
        <v>1</v>
      </c>
      <c r="H881" s="10" t="str">
        <f t="shared" si="209"/>
        <v>Valid</v>
      </c>
      <c r="I881" s="6" t="s">
        <v>4027</v>
      </c>
      <c r="J881" s="6" t="s">
        <v>92</v>
      </c>
      <c r="K881" s="6" t="s">
        <v>92</v>
      </c>
      <c r="L881" s="6" t="s">
        <v>135</v>
      </c>
      <c r="M881" s="7" t="str">
        <f t="shared" si="210"/>
        <v>Home Office</v>
      </c>
      <c r="N881" s="6" t="s">
        <v>47</v>
      </c>
      <c r="O881" s="7" t="str">
        <f t="shared" si="211"/>
        <v>North</v>
      </c>
      <c r="P881" s="6" t="s">
        <v>194</v>
      </c>
      <c r="Q881" s="6" t="s">
        <v>195</v>
      </c>
      <c r="R881" s="6" t="s">
        <v>50</v>
      </c>
      <c r="S881" s="7" t="str">
        <f t="shared" si="212"/>
        <v>Office Supplies</v>
      </c>
      <c r="T881" s="6" t="s">
        <v>74</v>
      </c>
      <c r="U881" s="6" t="s">
        <v>4028</v>
      </c>
      <c r="V881" s="6" t="s">
        <v>87</v>
      </c>
      <c r="W881" s="7" t="str">
        <f t="shared" si="213"/>
        <v>Standard Class</v>
      </c>
      <c r="X881" s="6">
        <v>6</v>
      </c>
      <c r="Y881" s="6">
        <v>1182.03</v>
      </c>
      <c r="Z881" s="6">
        <v>0.15</v>
      </c>
      <c r="AA881" s="6">
        <f t="shared" si="215"/>
        <v>0.15</v>
      </c>
      <c r="AB881" s="6" t="str">
        <f t="shared" si="216"/>
        <v>Valid</v>
      </c>
      <c r="AC881" s="6">
        <v>6028.35</v>
      </c>
      <c r="AD881" s="6" t="str">
        <f>IF(OR(AO881="Cancelled",AM881="Failed"),"Exclude from Completed Sales","Include in Completed Sales")</f>
        <v>Include in Completed Sales</v>
      </c>
      <c r="AE881" s="6">
        <f t="shared" si="217"/>
        <v>6028.3530000000001</v>
      </c>
      <c r="AF881" s="6" t="str">
        <f t="shared" si="218"/>
        <v/>
      </c>
      <c r="AG881" s="6">
        <v>4433.63</v>
      </c>
      <c r="AH881" s="6">
        <v>1594.72</v>
      </c>
      <c r="AI881" s="6">
        <f t="shared" si="219"/>
        <v>1594.723</v>
      </c>
      <c r="AJ881" s="11">
        <f t="shared" si="220"/>
        <v>0.26453709661660491</v>
      </c>
      <c r="AK881" s="11" t="str">
        <f t="shared" si="221"/>
        <v>August</v>
      </c>
      <c r="AL881" s="12">
        <f t="shared" si="222"/>
        <v>2025</v>
      </c>
      <c r="AM881" s="6" t="s">
        <v>54</v>
      </c>
      <c r="AN881" s="6" t="s">
        <v>55</v>
      </c>
      <c r="AO881" s="6" t="str">
        <f t="shared" si="214"/>
        <v>Completed</v>
      </c>
    </row>
    <row r="882" spans="1:41">
      <c r="A882" s="6" t="s">
        <v>4029</v>
      </c>
      <c r="B882" s="7" t="s">
        <v>4030</v>
      </c>
      <c r="C882" s="8">
        <v>45359</v>
      </c>
      <c r="D882" s="7" t="s">
        <v>1143</v>
      </c>
      <c r="E882" s="9">
        <v>45366</v>
      </c>
      <c r="F882" s="9" t="str">
        <f t="shared" si="207"/>
        <v>Valid</v>
      </c>
      <c r="G882" s="10">
        <f t="shared" si="208"/>
        <v>7</v>
      </c>
      <c r="H882" s="10" t="str">
        <f t="shared" si="209"/>
        <v>Valid</v>
      </c>
      <c r="I882" s="6" t="s">
        <v>4031</v>
      </c>
      <c r="J882" s="6" t="s">
        <v>182</v>
      </c>
      <c r="K882" s="6" t="s">
        <v>182</v>
      </c>
      <c r="L882" s="6" t="s">
        <v>61</v>
      </c>
      <c r="M882" s="7" t="str">
        <f t="shared" si="210"/>
        <v>Small Business</v>
      </c>
      <c r="N882" s="6"/>
      <c r="O882" s="7" t="str">
        <f t="shared" si="211"/>
        <v>Unknown</v>
      </c>
      <c r="P882" s="6" t="s">
        <v>174</v>
      </c>
      <c r="Q882" s="6" t="s">
        <v>175</v>
      </c>
      <c r="R882" s="6" t="s">
        <v>65</v>
      </c>
      <c r="S882" s="7" t="str">
        <f t="shared" si="212"/>
        <v>Furniture</v>
      </c>
      <c r="T882" s="6" t="s">
        <v>96</v>
      </c>
      <c r="U882" s="6" t="s">
        <v>4032</v>
      </c>
      <c r="V882" s="6" t="s">
        <v>76</v>
      </c>
      <c r="W882" s="7" t="str">
        <f t="shared" si="213"/>
        <v>First Class</v>
      </c>
      <c r="X882" s="6">
        <v>5</v>
      </c>
      <c r="Y882" s="6">
        <v>3234.77</v>
      </c>
      <c r="Z882" s="6">
        <v>0</v>
      </c>
      <c r="AA882" s="6">
        <f t="shared" si="215"/>
        <v>0</v>
      </c>
      <c r="AB882" s="6" t="str">
        <f t="shared" si="216"/>
        <v>Valid</v>
      </c>
      <c r="AC882" s="6">
        <v>16173.85</v>
      </c>
      <c r="AD882" s="6" t="str">
        <f>IF(OR(AO882="Cancelled",AM882="Failed"),"Exclude from Completed Sales","Include in Completed Sales")</f>
        <v>Include in Completed Sales</v>
      </c>
      <c r="AE882" s="6">
        <f t="shared" si="217"/>
        <v>16173.85</v>
      </c>
      <c r="AF882" s="6" t="str">
        <f t="shared" si="218"/>
        <v/>
      </c>
      <c r="AG882" s="6">
        <v>13636.34</v>
      </c>
      <c r="AH882" s="6">
        <v>2537.5100000000002</v>
      </c>
      <c r="AI882" s="6">
        <f t="shared" si="219"/>
        <v>2537.5100000000002</v>
      </c>
      <c r="AJ882" s="11">
        <f t="shared" si="220"/>
        <v>0.15688967067210344</v>
      </c>
      <c r="AK882" s="11" t="str">
        <f t="shared" si="221"/>
        <v>March</v>
      </c>
      <c r="AL882" s="12">
        <f t="shared" si="222"/>
        <v>2024</v>
      </c>
      <c r="AM882" s="6" t="s">
        <v>54</v>
      </c>
      <c r="AN882" s="6" t="s">
        <v>55</v>
      </c>
      <c r="AO882" s="6" t="str">
        <f t="shared" si="214"/>
        <v>Completed</v>
      </c>
    </row>
    <row r="883" spans="1:41">
      <c r="A883" s="6" t="s">
        <v>4033</v>
      </c>
      <c r="B883" s="7" t="s">
        <v>2558</v>
      </c>
      <c r="C883" s="8">
        <v>45627</v>
      </c>
      <c r="D883" s="7" t="s">
        <v>4034</v>
      </c>
      <c r="E883" s="9">
        <v>45631</v>
      </c>
      <c r="F883" s="9" t="str">
        <f t="shared" si="207"/>
        <v>Valid</v>
      </c>
      <c r="G883" s="10">
        <f t="shared" si="208"/>
        <v>4</v>
      </c>
      <c r="H883" s="10" t="str">
        <f t="shared" si="209"/>
        <v>Valid</v>
      </c>
      <c r="I883" s="6" t="s">
        <v>4035</v>
      </c>
      <c r="J883" s="6" t="s">
        <v>92</v>
      </c>
      <c r="K883" s="6" t="s">
        <v>92</v>
      </c>
      <c r="L883" s="6" t="s">
        <v>61</v>
      </c>
      <c r="M883" s="7" t="str">
        <f t="shared" si="210"/>
        <v>Small Business</v>
      </c>
      <c r="N883" s="6" t="s">
        <v>82</v>
      </c>
      <c r="O883" s="7" t="str">
        <f t="shared" si="211"/>
        <v>South</v>
      </c>
      <c r="P883" s="6" t="s">
        <v>120</v>
      </c>
      <c r="Q883" s="6" t="s">
        <v>121</v>
      </c>
      <c r="R883" s="6" t="s">
        <v>106</v>
      </c>
      <c r="S883" s="7" t="str">
        <f t="shared" si="212"/>
        <v>Technology</v>
      </c>
      <c r="T883" s="6" t="s">
        <v>114</v>
      </c>
      <c r="U883" s="6" t="s">
        <v>4036</v>
      </c>
      <c r="V883" s="6" t="s">
        <v>53</v>
      </c>
      <c r="W883" s="7" t="str">
        <f t="shared" si="213"/>
        <v>Second Class</v>
      </c>
      <c r="X883" s="6">
        <v>9</v>
      </c>
      <c r="Y883" s="6">
        <v>3726.75</v>
      </c>
      <c r="Z883" s="6">
        <v>0.25</v>
      </c>
      <c r="AA883" s="6">
        <f t="shared" si="215"/>
        <v>0.25</v>
      </c>
      <c r="AB883" s="6" t="str">
        <f t="shared" si="216"/>
        <v>Valid</v>
      </c>
      <c r="AC883" s="6">
        <v>25155.56</v>
      </c>
      <c r="AD883" s="6" t="str">
        <f>IF(OR(AO883="Cancelled",AM883="Failed"),"Exclude from Completed Sales","Include in Completed Sales")</f>
        <v>Include in Completed Sales</v>
      </c>
      <c r="AE883" s="6">
        <f t="shared" si="217"/>
        <v>25155.5625</v>
      </c>
      <c r="AF883" s="6" t="str">
        <f t="shared" si="218"/>
        <v/>
      </c>
      <c r="AG883" s="6">
        <v>17592.689999999999</v>
      </c>
      <c r="AH883" s="6">
        <v>7562.87</v>
      </c>
      <c r="AI883" s="6">
        <f t="shared" si="219"/>
        <v>7562.8725000000013</v>
      </c>
      <c r="AJ883" s="11">
        <f t="shared" si="220"/>
        <v>0.30064414182747856</v>
      </c>
      <c r="AK883" s="11" t="str">
        <f t="shared" si="221"/>
        <v>December</v>
      </c>
      <c r="AL883" s="12">
        <f t="shared" si="222"/>
        <v>2024</v>
      </c>
      <c r="AM883" s="6" t="s">
        <v>54</v>
      </c>
      <c r="AN883" s="6" t="s">
        <v>55</v>
      </c>
      <c r="AO883" s="6" t="str">
        <f t="shared" si="214"/>
        <v>Completed</v>
      </c>
    </row>
    <row r="884" spans="1:41">
      <c r="A884" s="6" t="s">
        <v>4037</v>
      </c>
      <c r="B884" s="7" t="s">
        <v>4038</v>
      </c>
      <c r="C884" s="8">
        <v>45690</v>
      </c>
      <c r="D884" s="7" t="s">
        <v>1355</v>
      </c>
      <c r="E884" s="9">
        <v>45698</v>
      </c>
      <c r="F884" s="9" t="str">
        <f t="shared" si="207"/>
        <v>Valid</v>
      </c>
      <c r="G884" s="10">
        <f t="shared" si="208"/>
        <v>8</v>
      </c>
      <c r="H884" s="10" t="str">
        <f t="shared" si="209"/>
        <v>Valid</v>
      </c>
      <c r="I884" s="6" t="s">
        <v>4039</v>
      </c>
      <c r="J884" s="6" t="s">
        <v>188</v>
      </c>
      <c r="K884" s="6" t="s">
        <v>188</v>
      </c>
      <c r="L884" s="6" t="s">
        <v>128</v>
      </c>
      <c r="M884" s="7" t="str">
        <f t="shared" si="210"/>
        <v>Corporate</v>
      </c>
      <c r="N884" s="6" t="s">
        <v>62</v>
      </c>
      <c r="O884" s="7" t="str">
        <f t="shared" si="211"/>
        <v>East</v>
      </c>
      <c r="P884" s="6" t="s">
        <v>206</v>
      </c>
      <c r="Q884" s="6" t="s">
        <v>207</v>
      </c>
      <c r="R884" s="6" t="s">
        <v>106</v>
      </c>
      <c r="S884" s="7" t="str">
        <f t="shared" si="212"/>
        <v>Technology</v>
      </c>
      <c r="T884" s="6" t="s">
        <v>107</v>
      </c>
      <c r="U884" s="6" t="s">
        <v>4040</v>
      </c>
      <c r="V884" s="6" t="s">
        <v>87</v>
      </c>
      <c r="W884" s="7" t="str">
        <f t="shared" si="213"/>
        <v>Standard Class</v>
      </c>
      <c r="X884" s="6">
        <v>4</v>
      </c>
      <c r="Y884" s="6">
        <v>1912.45</v>
      </c>
      <c r="Z884" s="6">
        <v>0</v>
      </c>
      <c r="AA884" s="6">
        <f t="shared" si="215"/>
        <v>0</v>
      </c>
      <c r="AB884" s="6" t="str">
        <f t="shared" si="216"/>
        <v>Valid</v>
      </c>
      <c r="AC884" s="6">
        <v>7649.8</v>
      </c>
      <c r="AD884" s="6" t="str">
        <f>IF(OR(AO884="Cancelled",AM884="Failed"),"Exclude from Completed Sales","Include in Completed Sales")</f>
        <v>Include in Completed Sales</v>
      </c>
      <c r="AE884" s="6">
        <f t="shared" si="217"/>
        <v>7649.8</v>
      </c>
      <c r="AF884" s="6" t="str">
        <f t="shared" si="218"/>
        <v/>
      </c>
      <c r="AG884" s="6">
        <v>4894.53</v>
      </c>
      <c r="AH884" s="6">
        <v>2755.27</v>
      </c>
      <c r="AI884" s="6">
        <f t="shared" si="219"/>
        <v>2755.2700000000004</v>
      </c>
      <c r="AJ884" s="11">
        <f t="shared" si="220"/>
        <v>0.36017542942299152</v>
      </c>
      <c r="AK884" s="11" t="str">
        <f t="shared" si="221"/>
        <v>February</v>
      </c>
      <c r="AL884" s="12">
        <f t="shared" si="222"/>
        <v>2025</v>
      </c>
      <c r="AM884" s="6" t="s">
        <v>157</v>
      </c>
      <c r="AN884" s="6" t="s">
        <v>145</v>
      </c>
      <c r="AO884" s="6" t="str">
        <f t="shared" si="214"/>
        <v>Returned</v>
      </c>
    </row>
    <row r="885" spans="1:41">
      <c r="A885" s="6" t="s">
        <v>4041</v>
      </c>
      <c r="B885" s="7" t="s">
        <v>4042</v>
      </c>
      <c r="C885" s="8">
        <v>45775</v>
      </c>
      <c r="D885" s="7" t="s">
        <v>4043</v>
      </c>
      <c r="E885" s="9">
        <v>45778</v>
      </c>
      <c r="F885" s="9" t="str">
        <f t="shared" si="207"/>
        <v>Valid</v>
      </c>
      <c r="G885" s="10">
        <f t="shared" si="208"/>
        <v>3</v>
      </c>
      <c r="H885" s="10" t="str">
        <f t="shared" si="209"/>
        <v>Valid</v>
      </c>
      <c r="I885" s="6" t="s">
        <v>4044</v>
      </c>
      <c r="J885" s="6" t="s">
        <v>182</v>
      </c>
      <c r="K885" s="6" t="s">
        <v>182</v>
      </c>
      <c r="L885" s="6" t="s">
        <v>61</v>
      </c>
      <c r="M885" s="7" t="str">
        <f t="shared" si="210"/>
        <v>Small Business</v>
      </c>
      <c r="N885" s="6" t="s">
        <v>93</v>
      </c>
      <c r="O885" s="7" t="str">
        <f t="shared" si="211"/>
        <v>West</v>
      </c>
      <c r="P885" s="6" t="s">
        <v>269</v>
      </c>
      <c r="Q885" s="6" t="s">
        <v>270</v>
      </c>
      <c r="R885" s="6" t="s">
        <v>50</v>
      </c>
      <c r="S885" s="7" t="str">
        <f t="shared" si="212"/>
        <v>Office Supplies</v>
      </c>
      <c r="T885" s="6" t="s">
        <v>176</v>
      </c>
      <c r="U885" s="6" t="s">
        <v>4045</v>
      </c>
      <c r="V885" s="6" t="s">
        <v>68</v>
      </c>
      <c r="W885" s="7" t="str">
        <f t="shared" si="213"/>
        <v>Same Day</v>
      </c>
      <c r="X885" s="6">
        <v>1</v>
      </c>
      <c r="Y885" s="6">
        <v>1620.87</v>
      </c>
      <c r="Z885" s="6">
        <v>0</v>
      </c>
      <c r="AA885" s="6">
        <f t="shared" si="215"/>
        <v>0</v>
      </c>
      <c r="AB885" s="6" t="str">
        <f t="shared" si="216"/>
        <v>Valid</v>
      </c>
      <c r="AC885" s="6">
        <v>1620.87</v>
      </c>
      <c r="AD885" s="6" t="str">
        <f>IF(OR(AO885="Cancelled",AM885="Failed"),"Exclude from Completed Sales","Include in Completed Sales")</f>
        <v>Include in Completed Sales</v>
      </c>
      <c r="AE885" s="6">
        <f t="shared" si="217"/>
        <v>1620.87</v>
      </c>
      <c r="AF885" s="6" t="str">
        <f t="shared" si="218"/>
        <v/>
      </c>
      <c r="AG885" s="6">
        <v>1103.6099999999999</v>
      </c>
      <c r="AH885" s="6">
        <v>517.26</v>
      </c>
      <c r="AI885" s="6">
        <f t="shared" si="219"/>
        <v>517.26</v>
      </c>
      <c r="AJ885" s="11">
        <f t="shared" si="220"/>
        <v>0.31912491439782342</v>
      </c>
      <c r="AK885" s="11" t="str">
        <f t="shared" si="221"/>
        <v>April</v>
      </c>
      <c r="AL885" s="12">
        <f t="shared" si="222"/>
        <v>2025</v>
      </c>
      <c r="AM885" s="6" t="s">
        <v>54</v>
      </c>
      <c r="AN885" s="6" t="s">
        <v>55</v>
      </c>
      <c r="AO885" s="6" t="str">
        <f t="shared" si="214"/>
        <v>Completed</v>
      </c>
    </row>
    <row r="886" spans="1:41">
      <c r="A886" s="6" t="s">
        <v>4046</v>
      </c>
      <c r="B886" s="7" t="s">
        <v>4047</v>
      </c>
      <c r="C886" s="8">
        <v>45675</v>
      </c>
      <c r="D886" s="7" t="s">
        <v>4048</v>
      </c>
      <c r="E886" s="9">
        <v>45682</v>
      </c>
      <c r="F886" s="9" t="str">
        <f t="shared" si="207"/>
        <v>Valid</v>
      </c>
      <c r="G886" s="10">
        <f t="shared" si="208"/>
        <v>7</v>
      </c>
      <c r="H886" s="10" t="str">
        <f t="shared" si="209"/>
        <v>Valid</v>
      </c>
      <c r="I886" s="6" t="s">
        <v>4049</v>
      </c>
      <c r="J886" s="6" t="s">
        <v>113</v>
      </c>
      <c r="K886" s="6" t="s">
        <v>113</v>
      </c>
      <c r="L886" s="6" t="s">
        <v>135</v>
      </c>
      <c r="M886" s="7" t="str">
        <f t="shared" si="210"/>
        <v>Home Office</v>
      </c>
      <c r="N886" s="6" t="s">
        <v>82</v>
      </c>
      <c r="O886" s="7" t="str">
        <f t="shared" si="211"/>
        <v>South</v>
      </c>
      <c r="P886" s="6" t="s">
        <v>249</v>
      </c>
      <c r="Q886" s="6" t="s">
        <v>250</v>
      </c>
      <c r="R886" s="6" t="s">
        <v>50</v>
      </c>
      <c r="S886" s="7" t="str">
        <f t="shared" si="212"/>
        <v>Office Supplies</v>
      </c>
      <c r="T886" s="6" t="s">
        <v>176</v>
      </c>
      <c r="U886" s="6" t="s">
        <v>4050</v>
      </c>
      <c r="V886" s="6" t="s">
        <v>68</v>
      </c>
      <c r="W886" s="7" t="str">
        <f t="shared" si="213"/>
        <v>Same Day</v>
      </c>
      <c r="X886" s="6">
        <v>2</v>
      </c>
      <c r="Y886" s="6">
        <v>2098.54</v>
      </c>
      <c r="Z886" s="6">
        <v>0.15</v>
      </c>
      <c r="AA886" s="6">
        <f t="shared" si="215"/>
        <v>0.15</v>
      </c>
      <c r="AB886" s="6" t="str">
        <f t="shared" si="216"/>
        <v>Valid</v>
      </c>
      <c r="AC886" s="6">
        <v>3567.52</v>
      </c>
      <c r="AD886" s="6" t="str">
        <f>IF(OR(AO886="Cancelled",AM886="Failed"),"Exclude from Completed Sales","Include in Completed Sales")</f>
        <v>Include in Completed Sales</v>
      </c>
      <c r="AE886" s="6">
        <f t="shared" si="217"/>
        <v>3567.518</v>
      </c>
      <c r="AF886" s="6" t="str">
        <f t="shared" si="218"/>
        <v/>
      </c>
      <c r="AG886" s="6">
        <v>2411.8000000000002</v>
      </c>
      <c r="AH886" s="6">
        <v>1155.72</v>
      </c>
      <c r="AI886" s="6">
        <f t="shared" si="219"/>
        <v>1155.7179999999998</v>
      </c>
      <c r="AJ886" s="11">
        <f t="shared" si="220"/>
        <v>0.32395575859743381</v>
      </c>
      <c r="AK886" s="11" t="str">
        <f t="shared" si="221"/>
        <v>January</v>
      </c>
      <c r="AL886" s="12">
        <f t="shared" si="222"/>
        <v>2025</v>
      </c>
      <c r="AM886" s="6" t="s">
        <v>54</v>
      </c>
      <c r="AN886" s="6" t="s">
        <v>55</v>
      </c>
      <c r="AO886" s="6" t="str">
        <f t="shared" si="214"/>
        <v>Completed</v>
      </c>
    </row>
    <row r="887" spans="1:41">
      <c r="A887" s="6" t="s">
        <v>4051</v>
      </c>
      <c r="B887" s="7" t="s">
        <v>4052</v>
      </c>
      <c r="C887" s="8">
        <v>45296</v>
      </c>
      <c r="D887" s="7" t="s">
        <v>4052</v>
      </c>
      <c r="E887" s="9">
        <v>45296</v>
      </c>
      <c r="F887" s="9" t="str">
        <f t="shared" si="207"/>
        <v>Valid</v>
      </c>
      <c r="G887" s="10">
        <f t="shared" si="208"/>
        <v>0</v>
      </c>
      <c r="H887" s="10" t="str">
        <f t="shared" si="209"/>
        <v>Valid</v>
      </c>
      <c r="I887" s="6" t="s">
        <v>4053</v>
      </c>
      <c r="J887" s="6" t="s">
        <v>230</v>
      </c>
      <c r="K887" s="6" t="s">
        <v>230</v>
      </c>
      <c r="L887" s="6" t="s">
        <v>46</v>
      </c>
      <c r="M887" s="7" t="str">
        <f t="shared" si="210"/>
        <v>Consumer</v>
      </c>
      <c r="N887" s="6" t="s">
        <v>47</v>
      </c>
      <c r="O887" s="7" t="str">
        <f t="shared" si="211"/>
        <v>North</v>
      </c>
      <c r="P887" s="6" t="s">
        <v>48</v>
      </c>
      <c r="Q887" s="6" t="s">
        <v>49</v>
      </c>
      <c r="R887" s="6" t="s">
        <v>65</v>
      </c>
      <c r="S887" s="7" t="str">
        <f t="shared" si="212"/>
        <v>Furniture</v>
      </c>
      <c r="T887" s="6" t="s">
        <v>66</v>
      </c>
      <c r="U887" s="6" t="s">
        <v>4054</v>
      </c>
      <c r="V887" s="6" t="s">
        <v>87</v>
      </c>
      <c r="W887" s="7" t="str">
        <f t="shared" si="213"/>
        <v>Standard Class</v>
      </c>
      <c r="X887" s="6">
        <v>1</v>
      </c>
      <c r="Y887" s="6">
        <v>2167.08</v>
      </c>
      <c r="Z887" s="6">
        <v>0.25</v>
      </c>
      <c r="AA887" s="6">
        <f t="shared" si="215"/>
        <v>0.25</v>
      </c>
      <c r="AB887" s="6" t="str">
        <f t="shared" si="216"/>
        <v>Valid</v>
      </c>
      <c r="AC887" s="6">
        <v>1625.31</v>
      </c>
      <c r="AD887" s="6" t="str">
        <f>IF(OR(AO887="Cancelled",AM887="Failed"),"Exclude from Completed Sales","Include in Completed Sales")</f>
        <v>Include in Completed Sales</v>
      </c>
      <c r="AE887" s="6">
        <f t="shared" si="217"/>
        <v>1625.31</v>
      </c>
      <c r="AF887" s="6" t="str">
        <f t="shared" si="218"/>
        <v/>
      </c>
      <c r="AG887" s="6">
        <v>1157.8900000000001</v>
      </c>
      <c r="AH887" s="6">
        <v>467.42</v>
      </c>
      <c r="AI887" s="6">
        <f t="shared" si="219"/>
        <v>467.41999999999985</v>
      </c>
      <c r="AJ887" s="11">
        <f t="shared" si="220"/>
        <v>0.28758821394072509</v>
      </c>
      <c r="AK887" s="11" t="str">
        <f t="shared" si="221"/>
        <v>January</v>
      </c>
      <c r="AL887" s="12">
        <f t="shared" si="222"/>
        <v>2024</v>
      </c>
      <c r="AM887" s="6" t="s">
        <v>54</v>
      </c>
      <c r="AN887" s="6" t="s">
        <v>55</v>
      </c>
      <c r="AO887" s="6" t="str">
        <f t="shared" si="214"/>
        <v>Completed</v>
      </c>
    </row>
    <row r="888" spans="1:41">
      <c r="A888" s="6" t="s">
        <v>4055</v>
      </c>
      <c r="B888" s="7" t="s">
        <v>4056</v>
      </c>
      <c r="C888" s="8">
        <v>45773</v>
      </c>
      <c r="D888" s="7" t="s">
        <v>4057</v>
      </c>
      <c r="E888" s="9">
        <v>45780</v>
      </c>
      <c r="F888" s="9" t="str">
        <f t="shared" si="207"/>
        <v>Valid</v>
      </c>
      <c r="G888" s="10">
        <f t="shared" si="208"/>
        <v>7</v>
      </c>
      <c r="H888" s="10" t="str">
        <f t="shared" si="209"/>
        <v>Valid</v>
      </c>
      <c r="I888" s="6" t="s">
        <v>4058</v>
      </c>
      <c r="J888" s="6" t="s">
        <v>81</v>
      </c>
      <c r="K888" s="6" t="s">
        <v>81</v>
      </c>
      <c r="L888" s="6" t="s">
        <v>135</v>
      </c>
      <c r="M888" s="7" t="str">
        <f t="shared" si="210"/>
        <v>Home Office</v>
      </c>
      <c r="N888" s="6" t="s">
        <v>82</v>
      </c>
      <c r="O888" s="7" t="str">
        <f t="shared" si="211"/>
        <v>South</v>
      </c>
      <c r="P888" s="6" t="s">
        <v>359</v>
      </c>
      <c r="Q888" s="6" t="s">
        <v>360</v>
      </c>
      <c r="R888" s="6" t="s">
        <v>106</v>
      </c>
      <c r="S888" s="7" t="str">
        <f t="shared" si="212"/>
        <v>Technology</v>
      </c>
      <c r="T888" s="6" t="s">
        <v>107</v>
      </c>
      <c r="U888" s="6" t="s">
        <v>4059</v>
      </c>
      <c r="V888" s="6" t="s">
        <v>76</v>
      </c>
      <c r="W888" s="7" t="str">
        <f t="shared" si="213"/>
        <v>First Class</v>
      </c>
      <c r="X888" s="6">
        <v>7</v>
      </c>
      <c r="Y888" s="6">
        <v>3989.9</v>
      </c>
      <c r="Z888" s="6">
        <v>0.15</v>
      </c>
      <c r="AA888" s="6">
        <f t="shared" si="215"/>
        <v>0.15</v>
      </c>
      <c r="AB888" s="6" t="str">
        <f t="shared" si="216"/>
        <v>Valid</v>
      </c>
      <c r="AC888" s="6">
        <v>23739.9</v>
      </c>
      <c r="AD888" s="6" t="str">
        <f>IF(OR(AO888="Cancelled",AM888="Failed"),"Exclude from Completed Sales","Include in Completed Sales")</f>
        <v>Exclude from Completed Sales</v>
      </c>
      <c r="AE888" s="6">
        <f t="shared" si="217"/>
        <v>23739.904999999999</v>
      </c>
      <c r="AF888" s="6" t="str">
        <f t="shared" si="218"/>
        <v/>
      </c>
      <c r="AG888" s="6">
        <v>17716.52</v>
      </c>
      <c r="AH888" s="6">
        <v>6023.38</v>
      </c>
      <c r="AI888" s="6">
        <f t="shared" si="219"/>
        <v>6023.3849999999984</v>
      </c>
      <c r="AJ888" s="11">
        <f t="shared" si="220"/>
        <v>0.25372405660427028</v>
      </c>
      <c r="AK888" s="11" t="str">
        <f t="shared" si="221"/>
        <v>April</v>
      </c>
      <c r="AL888" s="12">
        <f t="shared" si="222"/>
        <v>2025</v>
      </c>
      <c r="AM888" s="6" t="s">
        <v>54</v>
      </c>
      <c r="AN888" s="6" t="s">
        <v>98</v>
      </c>
      <c r="AO888" s="6" t="str">
        <f t="shared" si="214"/>
        <v>Cancelled</v>
      </c>
    </row>
    <row r="889" spans="1:41">
      <c r="A889" s="6" t="s">
        <v>4060</v>
      </c>
      <c r="B889" s="7" t="s">
        <v>3938</v>
      </c>
      <c r="C889" s="8">
        <v>45455</v>
      </c>
      <c r="D889" s="7" t="s">
        <v>704</v>
      </c>
      <c r="E889" s="9">
        <v>45461</v>
      </c>
      <c r="F889" s="9" t="str">
        <f t="shared" si="207"/>
        <v>Valid</v>
      </c>
      <c r="G889" s="10">
        <f t="shared" si="208"/>
        <v>6</v>
      </c>
      <c r="H889" s="10" t="str">
        <f t="shared" si="209"/>
        <v>Valid</v>
      </c>
      <c r="I889" s="6" t="s">
        <v>4061</v>
      </c>
      <c r="J889" s="6" t="s">
        <v>182</v>
      </c>
      <c r="K889" s="6" t="s">
        <v>182</v>
      </c>
      <c r="L889" s="6" t="s">
        <v>61</v>
      </c>
      <c r="M889" s="7" t="str">
        <f t="shared" si="210"/>
        <v>Small Business</v>
      </c>
      <c r="N889" s="6" t="s">
        <v>82</v>
      </c>
      <c r="O889" s="7" t="str">
        <f t="shared" si="211"/>
        <v>South</v>
      </c>
      <c r="P889" s="6" t="s">
        <v>120</v>
      </c>
      <c r="Q889" s="6" t="s">
        <v>121</v>
      </c>
      <c r="R889" s="6" t="s">
        <v>50</v>
      </c>
      <c r="S889" s="7" t="str">
        <f t="shared" si="212"/>
        <v>Office Supplies</v>
      </c>
      <c r="T889" s="6" t="s">
        <v>74</v>
      </c>
      <c r="U889" s="6" t="s">
        <v>4062</v>
      </c>
      <c r="V889" s="6" t="s">
        <v>87</v>
      </c>
      <c r="W889" s="7" t="str">
        <f t="shared" si="213"/>
        <v>Standard Class</v>
      </c>
      <c r="X889" s="6">
        <v>4</v>
      </c>
      <c r="Y889" s="6">
        <v>4176.13</v>
      </c>
      <c r="Z889" s="6">
        <v>0</v>
      </c>
      <c r="AA889" s="6">
        <f t="shared" si="215"/>
        <v>0</v>
      </c>
      <c r="AB889" s="6" t="str">
        <f t="shared" si="216"/>
        <v>Valid</v>
      </c>
      <c r="AC889" s="6">
        <v>16704.52</v>
      </c>
      <c r="AD889" s="6" t="str">
        <f>IF(OR(AO889="Cancelled",AM889="Failed"),"Exclude from Completed Sales","Include in Completed Sales")</f>
        <v>Include in Completed Sales</v>
      </c>
      <c r="AE889" s="6">
        <f t="shared" si="217"/>
        <v>16704.52</v>
      </c>
      <c r="AF889" s="6" t="str">
        <f t="shared" si="218"/>
        <v/>
      </c>
      <c r="AG889" s="6">
        <v>10158.280000000001</v>
      </c>
      <c r="AH889" s="6">
        <v>6546.24</v>
      </c>
      <c r="AI889" s="6">
        <f t="shared" si="219"/>
        <v>6546.24</v>
      </c>
      <c r="AJ889" s="11">
        <f t="shared" si="220"/>
        <v>0.39188435225914897</v>
      </c>
      <c r="AK889" s="11" t="str">
        <f t="shared" si="221"/>
        <v>June</v>
      </c>
      <c r="AL889" s="12">
        <f t="shared" si="222"/>
        <v>2024</v>
      </c>
      <c r="AM889" s="6" t="s">
        <v>54</v>
      </c>
      <c r="AN889" s="6" t="s">
        <v>55</v>
      </c>
      <c r="AO889" s="6" t="str">
        <f t="shared" si="214"/>
        <v>Completed</v>
      </c>
    </row>
    <row r="890" spans="1:41">
      <c r="A890" s="6" t="s">
        <v>4063</v>
      </c>
      <c r="B890" s="7" t="s">
        <v>4064</v>
      </c>
      <c r="C890" s="8">
        <v>45875</v>
      </c>
      <c r="D890" s="7" t="s">
        <v>3598</v>
      </c>
      <c r="E890" s="9">
        <v>45876</v>
      </c>
      <c r="F890" s="9" t="str">
        <f t="shared" si="207"/>
        <v>Valid</v>
      </c>
      <c r="G890" s="10">
        <f t="shared" si="208"/>
        <v>1</v>
      </c>
      <c r="H890" s="10" t="str">
        <f t="shared" si="209"/>
        <v>Valid</v>
      </c>
      <c r="I890" s="6" t="s">
        <v>4065</v>
      </c>
      <c r="J890" s="6" t="s">
        <v>168</v>
      </c>
      <c r="K890" s="6" t="s">
        <v>168</v>
      </c>
      <c r="L890" s="6" t="s">
        <v>61</v>
      </c>
      <c r="M890" s="7" t="str">
        <f t="shared" si="210"/>
        <v>Small Business</v>
      </c>
      <c r="N890" s="6" t="s">
        <v>93</v>
      </c>
      <c r="O890" s="7" t="str">
        <f t="shared" si="211"/>
        <v>West</v>
      </c>
      <c r="P890" s="6" t="s">
        <v>94</v>
      </c>
      <c r="Q890" s="6" t="s">
        <v>95</v>
      </c>
      <c r="R890" s="6" t="s">
        <v>50</v>
      </c>
      <c r="S890" s="7" t="str">
        <f t="shared" si="212"/>
        <v>Office Supplies</v>
      </c>
      <c r="T890" s="6" t="s">
        <v>74</v>
      </c>
      <c r="U890" s="6" t="s">
        <v>4066</v>
      </c>
      <c r="V890" s="6" t="s">
        <v>87</v>
      </c>
      <c r="W890" s="7" t="str">
        <f t="shared" si="213"/>
        <v>Standard Class</v>
      </c>
      <c r="X890" s="6">
        <v>4</v>
      </c>
      <c r="Y890" s="6">
        <v>3523.64</v>
      </c>
      <c r="Z890" s="6">
        <v>0.1</v>
      </c>
      <c r="AA890" s="6">
        <f t="shared" si="215"/>
        <v>0.1</v>
      </c>
      <c r="AB890" s="6" t="str">
        <f t="shared" si="216"/>
        <v>Valid</v>
      </c>
      <c r="AC890" s="6">
        <v>12685.1</v>
      </c>
      <c r="AD890" s="6" t="str">
        <f>IF(OR(AO890="Cancelled",AM890="Failed"),"Exclude from Completed Sales","Include in Completed Sales")</f>
        <v>Exclude from Completed Sales</v>
      </c>
      <c r="AE890" s="6">
        <f t="shared" si="217"/>
        <v>12685.103999999999</v>
      </c>
      <c r="AF890" s="6" t="str">
        <f t="shared" si="218"/>
        <v>Refunded</v>
      </c>
      <c r="AG890" s="6">
        <v>10779.56</v>
      </c>
      <c r="AH890" s="6">
        <v>1905.54</v>
      </c>
      <c r="AI890" s="6">
        <f t="shared" si="219"/>
        <v>1905.5439999999999</v>
      </c>
      <c r="AJ890" s="11">
        <f t="shared" si="220"/>
        <v>0.15021902855506741</v>
      </c>
      <c r="AK890" s="11" t="str">
        <f t="shared" si="221"/>
        <v>August</v>
      </c>
      <c r="AL890" s="12">
        <f t="shared" si="222"/>
        <v>2025</v>
      </c>
      <c r="AM890" s="6" t="s">
        <v>144</v>
      </c>
      <c r="AN890" s="6" t="s">
        <v>98</v>
      </c>
      <c r="AO890" s="6" t="str">
        <f t="shared" si="214"/>
        <v>Cancelled</v>
      </c>
    </row>
    <row r="891" spans="1:41">
      <c r="A891" s="6" t="s">
        <v>4067</v>
      </c>
      <c r="B891" s="7" t="s">
        <v>4068</v>
      </c>
      <c r="C891" s="8">
        <v>45726</v>
      </c>
      <c r="D891" s="7" t="s">
        <v>4069</v>
      </c>
      <c r="E891" s="9">
        <v>45727</v>
      </c>
      <c r="F891" s="9" t="str">
        <f t="shared" si="207"/>
        <v>Valid</v>
      </c>
      <c r="G891" s="10">
        <f t="shared" si="208"/>
        <v>1</v>
      </c>
      <c r="H891" s="10" t="str">
        <f t="shared" si="209"/>
        <v>Valid</v>
      </c>
      <c r="I891" s="6" t="s">
        <v>1369</v>
      </c>
      <c r="J891" s="6" t="s">
        <v>127</v>
      </c>
      <c r="K891" s="6" t="s">
        <v>127</v>
      </c>
      <c r="L891" s="6" t="s">
        <v>135</v>
      </c>
      <c r="M891" s="7" t="str">
        <f t="shared" si="210"/>
        <v>Home Office</v>
      </c>
      <c r="N891" s="6" t="s">
        <v>93</v>
      </c>
      <c r="O891" s="7" t="str">
        <f t="shared" si="211"/>
        <v>West</v>
      </c>
      <c r="P891" s="6" t="s">
        <v>104</v>
      </c>
      <c r="Q891" s="6" t="s">
        <v>105</v>
      </c>
      <c r="R891" s="6" t="s">
        <v>50</v>
      </c>
      <c r="S891" s="7" t="str">
        <f t="shared" si="212"/>
        <v>Office Supplies</v>
      </c>
      <c r="T891" s="6" t="s">
        <v>176</v>
      </c>
      <c r="U891" s="6" t="s">
        <v>4070</v>
      </c>
      <c r="V891" s="6" t="s">
        <v>76</v>
      </c>
      <c r="W891" s="7" t="str">
        <f t="shared" si="213"/>
        <v>First Class</v>
      </c>
      <c r="X891" s="6">
        <v>2</v>
      </c>
      <c r="Y891" s="6">
        <v>3922.08</v>
      </c>
      <c r="Z891" s="6">
        <v>0.25</v>
      </c>
      <c r="AA891" s="6">
        <f t="shared" si="215"/>
        <v>0.25</v>
      </c>
      <c r="AB891" s="6" t="str">
        <f t="shared" si="216"/>
        <v>Valid</v>
      </c>
      <c r="AC891" s="6">
        <v>5883.12</v>
      </c>
      <c r="AD891" s="6" t="str">
        <f>IF(OR(AO891="Cancelled",AM891="Failed"),"Exclude from Completed Sales","Include in Completed Sales")</f>
        <v>Include in Completed Sales</v>
      </c>
      <c r="AE891" s="6">
        <f t="shared" si="217"/>
        <v>5883.12</v>
      </c>
      <c r="AF891" s="6" t="str">
        <f t="shared" si="218"/>
        <v/>
      </c>
      <c r="AG891" s="6">
        <v>4647.91</v>
      </c>
      <c r="AH891" s="6">
        <v>1235.21</v>
      </c>
      <c r="AI891" s="6">
        <f t="shared" si="219"/>
        <v>1235.21</v>
      </c>
      <c r="AJ891" s="11">
        <f t="shared" si="220"/>
        <v>0.20995832143488491</v>
      </c>
      <c r="AK891" s="11" t="str">
        <f t="shared" si="221"/>
        <v>March</v>
      </c>
      <c r="AL891" s="12">
        <f t="shared" si="222"/>
        <v>2025</v>
      </c>
      <c r="AM891" s="6" t="s">
        <v>54</v>
      </c>
      <c r="AN891" s="6" t="s">
        <v>145</v>
      </c>
      <c r="AO891" s="6" t="str">
        <f t="shared" si="214"/>
        <v>Returned</v>
      </c>
    </row>
    <row r="892" spans="1:41">
      <c r="A892" s="6" t="s">
        <v>4071</v>
      </c>
      <c r="B892" s="7" t="s">
        <v>180</v>
      </c>
      <c r="C892" s="8">
        <v>45427</v>
      </c>
      <c r="D892" s="7" t="s">
        <v>1160</v>
      </c>
      <c r="E892" s="9">
        <v>45433</v>
      </c>
      <c r="F892" s="9" t="str">
        <f t="shared" si="207"/>
        <v>Valid</v>
      </c>
      <c r="G892" s="10">
        <f t="shared" si="208"/>
        <v>6</v>
      </c>
      <c r="H892" s="10" t="str">
        <f t="shared" si="209"/>
        <v>Valid</v>
      </c>
      <c r="I892" s="6" t="s">
        <v>4072</v>
      </c>
      <c r="J892" s="6" t="s">
        <v>45</v>
      </c>
      <c r="K892" s="6" t="s">
        <v>45</v>
      </c>
      <c r="L892" s="6" t="s">
        <v>46</v>
      </c>
      <c r="M892" s="7" t="str">
        <f t="shared" si="210"/>
        <v>Consumer</v>
      </c>
      <c r="N892" s="6" t="s">
        <v>93</v>
      </c>
      <c r="O892" s="7" t="str">
        <f t="shared" si="211"/>
        <v>West</v>
      </c>
      <c r="P892" s="6" t="s">
        <v>269</v>
      </c>
      <c r="Q892" s="6" t="s">
        <v>270</v>
      </c>
      <c r="R892" s="6" t="s">
        <v>50</v>
      </c>
      <c r="S892" s="7" t="str">
        <f t="shared" si="212"/>
        <v>Office Supplies</v>
      </c>
      <c r="T892" s="6" t="s">
        <v>176</v>
      </c>
      <c r="U892" s="6" t="s">
        <v>4073</v>
      </c>
      <c r="V892" s="6" t="s">
        <v>87</v>
      </c>
      <c r="W892" s="7" t="str">
        <f t="shared" si="213"/>
        <v>Standard Class</v>
      </c>
      <c r="X892" s="6">
        <v>6</v>
      </c>
      <c r="Y892" s="6">
        <v>2909.56</v>
      </c>
      <c r="Z892" s="6">
        <v>0.2</v>
      </c>
      <c r="AA892" s="6">
        <f t="shared" si="215"/>
        <v>0.2</v>
      </c>
      <c r="AB892" s="6" t="str">
        <f t="shared" si="216"/>
        <v>Valid</v>
      </c>
      <c r="AC892" s="6">
        <v>13965.89</v>
      </c>
      <c r="AD892" s="6" t="str">
        <f>IF(OR(AO892="Cancelled",AM892="Failed"),"Exclude from Completed Sales","Include in Completed Sales")</f>
        <v>Include in Completed Sales</v>
      </c>
      <c r="AE892" s="6">
        <f t="shared" si="217"/>
        <v>13965.888000000001</v>
      </c>
      <c r="AF892" s="6" t="str">
        <f t="shared" si="218"/>
        <v/>
      </c>
      <c r="AG892" s="6">
        <v>11646.12</v>
      </c>
      <c r="AH892" s="6">
        <v>2319.77</v>
      </c>
      <c r="AI892" s="6">
        <f t="shared" si="219"/>
        <v>2319.768</v>
      </c>
      <c r="AJ892" s="11">
        <f t="shared" si="220"/>
        <v>0.16610243473239938</v>
      </c>
      <c r="AK892" s="11" t="str">
        <f t="shared" si="221"/>
        <v>May</v>
      </c>
      <c r="AL892" s="12">
        <f t="shared" si="222"/>
        <v>2024</v>
      </c>
      <c r="AM892" s="6" t="s">
        <v>54</v>
      </c>
      <c r="AN892" s="6" t="s">
        <v>55</v>
      </c>
      <c r="AO892" s="6" t="str">
        <f t="shared" si="214"/>
        <v>Completed</v>
      </c>
    </row>
    <row r="893" spans="1:41">
      <c r="A893" s="6" t="s">
        <v>4074</v>
      </c>
      <c r="B893" s="7" t="s">
        <v>3797</v>
      </c>
      <c r="C893" s="8">
        <v>45573</v>
      </c>
      <c r="D893" s="7" t="s">
        <v>2578</v>
      </c>
      <c r="E893" s="9">
        <v>45574</v>
      </c>
      <c r="F893" s="9" t="str">
        <f t="shared" si="207"/>
        <v>Valid</v>
      </c>
      <c r="G893" s="10">
        <f t="shared" si="208"/>
        <v>1</v>
      </c>
      <c r="H893" s="10" t="str">
        <f t="shared" si="209"/>
        <v>Valid</v>
      </c>
      <c r="I893" s="6" t="s">
        <v>4075</v>
      </c>
      <c r="J893" s="6" t="s">
        <v>386</v>
      </c>
      <c r="K893" s="6" t="s">
        <v>386</v>
      </c>
      <c r="L893" s="6" t="s">
        <v>128</v>
      </c>
      <c r="M893" s="7" t="str">
        <f t="shared" si="210"/>
        <v>Corporate</v>
      </c>
      <c r="N893" s="6" t="s">
        <v>82</v>
      </c>
      <c r="O893" s="7" t="str">
        <f t="shared" si="211"/>
        <v>South</v>
      </c>
      <c r="P893" s="6" t="s">
        <v>359</v>
      </c>
      <c r="Q893" s="6" t="s">
        <v>360</v>
      </c>
      <c r="R893" s="6" t="s">
        <v>106</v>
      </c>
      <c r="S893" s="7" t="str">
        <f t="shared" si="212"/>
        <v>Technology</v>
      </c>
      <c r="T893" s="6" t="s">
        <v>402</v>
      </c>
      <c r="U893" s="6" t="s">
        <v>4076</v>
      </c>
      <c r="V893" s="6" t="s">
        <v>68</v>
      </c>
      <c r="W893" s="7" t="str">
        <f t="shared" si="213"/>
        <v>Same Day</v>
      </c>
      <c r="X893" s="6">
        <v>5</v>
      </c>
      <c r="Y893" s="6">
        <v>2407.9699999999998</v>
      </c>
      <c r="Z893" s="6">
        <v>0.1</v>
      </c>
      <c r="AA893" s="6">
        <f t="shared" si="215"/>
        <v>0.1</v>
      </c>
      <c r="AB893" s="6" t="str">
        <f t="shared" si="216"/>
        <v>Valid</v>
      </c>
      <c r="AC893" s="6">
        <v>10835.86</v>
      </c>
      <c r="AD893" s="6" t="str">
        <f>IF(OR(AO893="Cancelled",AM893="Failed"),"Exclude from Completed Sales","Include in Completed Sales")</f>
        <v>Exclude from Completed Sales</v>
      </c>
      <c r="AE893" s="6">
        <f t="shared" si="217"/>
        <v>10835.865</v>
      </c>
      <c r="AF893" s="6" t="str">
        <f t="shared" si="218"/>
        <v/>
      </c>
      <c r="AG893" s="6">
        <v>6419.92</v>
      </c>
      <c r="AH893" s="6">
        <v>4415.9399999999996</v>
      </c>
      <c r="AI893" s="6">
        <f t="shared" si="219"/>
        <v>4415.9449999999997</v>
      </c>
      <c r="AJ893" s="11">
        <f t="shared" si="220"/>
        <v>0.40753045557507406</v>
      </c>
      <c r="AK893" s="11" t="str">
        <f t="shared" si="221"/>
        <v>October</v>
      </c>
      <c r="AL893" s="12">
        <f t="shared" si="222"/>
        <v>2024</v>
      </c>
      <c r="AM893" s="6" t="s">
        <v>220</v>
      </c>
      <c r="AN893" s="6" t="s">
        <v>98</v>
      </c>
      <c r="AO893" s="6" t="str">
        <f t="shared" si="214"/>
        <v>Cancelled</v>
      </c>
    </row>
    <row r="894" spans="1:41">
      <c r="A894" s="6" t="s">
        <v>4077</v>
      </c>
      <c r="B894" s="7" t="s">
        <v>4078</v>
      </c>
      <c r="C894" s="8">
        <v>45759</v>
      </c>
      <c r="D894" s="7" t="s">
        <v>3020</v>
      </c>
      <c r="E894" s="9">
        <v>45765</v>
      </c>
      <c r="F894" s="9" t="str">
        <f t="shared" si="207"/>
        <v>Valid</v>
      </c>
      <c r="G894" s="10">
        <f t="shared" si="208"/>
        <v>6</v>
      </c>
      <c r="H894" s="10" t="str">
        <f t="shared" si="209"/>
        <v>Valid</v>
      </c>
      <c r="I894" s="6" t="s">
        <v>4079</v>
      </c>
      <c r="J894" s="6" t="s">
        <v>73</v>
      </c>
      <c r="K894" s="6" t="s">
        <v>73</v>
      </c>
      <c r="L894" s="6" t="s">
        <v>61</v>
      </c>
      <c r="M894" s="7" t="str">
        <f t="shared" si="210"/>
        <v>Small Business</v>
      </c>
      <c r="N894" s="6" t="s">
        <v>62</v>
      </c>
      <c r="O894" s="7" t="str">
        <f t="shared" si="211"/>
        <v>East</v>
      </c>
      <c r="P894" s="6" t="s">
        <v>331</v>
      </c>
      <c r="Q894" s="6" t="s">
        <v>332</v>
      </c>
      <c r="R894" s="6" t="s">
        <v>106</v>
      </c>
      <c r="S894" s="7" t="str">
        <f t="shared" si="212"/>
        <v>Technology</v>
      </c>
      <c r="T894" s="6" t="s">
        <v>114</v>
      </c>
      <c r="U894" s="6" t="s">
        <v>4080</v>
      </c>
      <c r="V894" s="6" t="s">
        <v>68</v>
      </c>
      <c r="W894" s="7" t="str">
        <f t="shared" si="213"/>
        <v>Same Day</v>
      </c>
      <c r="X894" s="6">
        <v>1</v>
      </c>
      <c r="Y894" s="6">
        <v>726.89</v>
      </c>
      <c r="Z894" s="6">
        <v>0.2</v>
      </c>
      <c r="AA894" s="6">
        <f t="shared" si="215"/>
        <v>0.2</v>
      </c>
      <c r="AB894" s="6" t="str">
        <f t="shared" si="216"/>
        <v>Valid</v>
      </c>
      <c r="AC894" s="6">
        <v>581.51</v>
      </c>
      <c r="AD894" s="6" t="str">
        <f>IF(OR(AO894="Cancelled",AM894="Failed"),"Exclude from Completed Sales","Include in Completed Sales")</f>
        <v>Include in Completed Sales</v>
      </c>
      <c r="AE894" s="6">
        <f t="shared" si="217"/>
        <v>581.51200000000006</v>
      </c>
      <c r="AF894" s="6" t="str">
        <f t="shared" si="218"/>
        <v/>
      </c>
      <c r="AG894" s="6">
        <v>423.86</v>
      </c>
      <c r="AH894" s="6">
        <v>157.65</v>
      </c>
      <c r="AI894" s="6">
        <f t="shared" si="219"/>
        <v>157.65200000000004</v>
      </c>
      <c r="AJ894" s="11">
        <f t="shared" si="220"/>
        <v>0.27110704508247468</v>
      </c>
      <c r="AK894" s="11" t="str">
        <f t="shared" si="221"/>
        <v>April</v>
      </c>
      <c r="AL894" s="12">
        <f t="shared" si="222"/>
        <v>2025</v>
      </c>
      <c r="AM894" s="6" t="s">
        <v>54</v>
      </c>
      <c r="AN894" s="6" t="s">
        <v>55</v>
      </c>
      <c r="AO894" s="6" t="str">
        <f t="shared" si="214"/>
        <v>Completed</v>
      </c>
    </row>
    <row r="895" spans="1:41">
      <c r="A895" s="6" t="s">
        <v>4081</v>
      </c>
      <c r="B895" s="7" t="s">
        <v>4082</v>
      </c>
      <c r="C895" s="8">
        <v>45449</v>
      </c>
      <c r="D895" s="7" t="s">
        <v>4083</v>
      </c>
      <c r="E895" s="9">
        <v>45451</v>
      </c>
      <c r="F895" s="9" t="str">
        <f t="shared" si="207"/>
        <v>Valid</v>
      </c>
      <c r="G895" s="10">
        <f t="shared" si="208"/>
        <v>2</v>
      </c>
      <c r="H895" s="10" t="str">
        <f t="shared" si="209"/>
        <v>Valid</v>
      </c>
      <c r="I895" s="6" t="s">
        <v>4084</v>
      </c>
      <c r="J895" s="6" t="s">
        <v>182</v>
      </c>
      <c r="K895" s="6" t="s">
        <v>182</v>
      </c>
      <c r="L895" s="6" t="s">
        <v>128</v>
      </c>
      <c r="M895" s="7" t="str">
        <f t="shared" si="210"/>
        <v>Corporate</v>
      </c>
      <c r="N895" s="6" t="s">
        <v>82</v>
      </c>
      <c r="O895" s="7" t="str">
        <f t="shared" si="211"/>
        <v>South</v>
      </c>
      <c r="P895" s="6" t="s">
        <v>249</v>
      </c>
      <c r="Q895" s="6" t="s">
        <v>250</v>
      </c>
      <c r="R895" s="6" t="s">
        <v>65</v>
      </c>
      <c r="S895" s="7" t="str">
        <f t="shared" si="212"/>
        <v>Furniture</v>
      </c>
      <c r="T895" s="6" t="s">
        <v>66</v>
      </c>
      <c r="U895" s="6" t="s">
        <v>4085</v>
      </c>
      <c r="V895" s="6" t="s">
        <v>53</v>
      </c>
      <c r="W895" s="7" t="str">
        <f t="shared" si="213"/>
        <v>Second Class</v>
      </c>
      <c r="X895" s="6">
        <v>3</v>
      </c>
      <c r="Y895" s="6">
        <v>395.49</v>
      </c>
      <c r="Z895" s="6">
        <v>0.05</v>
      </c>
      <c r="AA895" s="6">
        <f t="shared" si="215"/>
        <v>0.05</v>
      </c>
      <c r="AB895" s="6" t="str">
        <f t="shared" si="216"/>
        <v>Valid</v>
      </c>
      <c r="AC895" s="6">
        <v>1127.1500000000001</v>
      </c>
      <c r="AD895" s="6" t="str">
        <f>IF(OR(AO895="Cancelled",AM895="Failed"),"Exclude from Completed Sales","Include in Completed Sales")</f>
        <v>Include in Completed Sales</v>
      </c>
      <c r="AE895" s="6">
        <f t="shared" si="217"/>
        <v>1127.1465000000001</v>
      </c>
      <c r="AF895" s="6" t="str">
        <f t="shared" si="218"/>
        <v/>
      </c>
      <c r="AG895" s="6">
        <v>845.62</v>
      </c>
      <c r="AH895" s="6">
        <v>281.52999999999997</v>
      </c>
      <c r="AI895" s="6">
        <f t="shared" si="219"/>
        <v>281.52650000000006</v>
      </c>
      <c r="AJ895" s="11">
        <f t="shared" si="220"/>
        <v>0.24976921810962466</v>
      </c>
      <c r="AK895" s="11" t="str">
        <f t="shared" si="221"/>
        <v>June</v>
      </c>
      <c r="AL895" s="12">
        <f t="shared" si="222"/>
        <v>2024</v>
      </c>
      <c r="AM895" s="6" t="s">
        <v>54</v>
      </c>
      <c r="AN895" s="6" t="s">
        <v>145</v>
      </c>
      <c r="AO895" s="6" t="str">
        <f t="shared" si="214"/>
        <v>Returned</v>
      </c>
    </row>
    <row r="896" spans="1:41">
      <c r="A896" s="6" t="s">
        <v>4086</v>
      </c>
      <c r="B896" s="7" t="s">
        <v>1965</v>
      </c>
      <c r="C896" s="8">
        <v>45344</v>
      </c>
      <c r="D896" s="7" t="s">
        <v>4087</v>
      </c>
      <c r="E896" s="9">
        <v>45351</v>
      </c>
      <c r="F896" s="9" t="str">
        <f t="shared" si="207"/>
        <v>Valid</v>
      </c>
      <c r="G896" s="10">
        <f t="shared" si="208"/>
        <v>7</v>
      </c>
      <c r="H896" s="10" t="str">
        <f t="shared" si="209"/>
        <v>Valid</v>
      </c>
      <c r="I896" s="6" t="s">
        <v>4088</v>
      </c>
      <c r="J896" s="6" t="s">
        <v>73</v>
      </c>
      <c r="K896" s="6" t="s">
        <v>73</v>
      </c>
      <c r="L896" s="6" t="s">
        <v>135</v>
      </c>
      <c r="M896" s="7" t="str">
        <f t="shared" si="210"/>
        <v>Home Office</v>
      </c>
      <c r="N896" s="6" t="s">
        <v>82</v>
      </c>
      <c r="O896" s="7" t="str">
        <f t="shared" si="211"/>
        <v>South</v>
      </c>
      <c r="P896" s="6" t="s">
        <v>83</v>
      </c>
      <c r="Q896" s="6" t="s">
        <v>84</v>
      </c>
      <c r="R896" s="6" t="s">
        <v>65</v>
      </c>
      <c r="S896" s="7" t="str">
        <f t="shared" si="212"/>
        <v>Furniture</v>
      </c>
      <c r="T896" s="6" t="s">
        <v>66</v>
      </c>
      <c r="U896" s="6" t="s">
        <v>4089</v>
      </c>
      <c r="V896" s="6" t="s">
        <v>76</v>
      </c>
      <c r="W896" s="7" t="str">
        <f t="shared" si="213"/>
        <v>First Class</v>
      </c>
      <c r="X896" s="6">
        <v>6</v>
      </c>
      <c r="Y896" s="6">
        <v>4254.05</v>
      </c>
      <c r="Z896" s="6">
        <v>0</v>
      </c>
      <c r="AA896" s="6">
        <f t="shared" si="215"/>
        <v>0</v>
      </c>
      <c r="AB896" s="6" t="str">
        <f t="shared" si="216"/>
        <v>Valid</v>
      </c>
      <c r="AC896" s="6">
        <v>25524.3</v>
      </c>
      <c r="AD896" s="6" t="str">
        <f>IF(OR(AO896="Cancelled",AM896="Failed"),"Exclude from Completed Sales","Include in Completed Sales")</f>
        <v>Include in Completed Sales</v>
      </c>
      <c r="AE896" s="6">
        <f t="shared" si="217"/>
        <v>25524.300000000003</v>
      </c>
      <c r="AF896" s="6" t="str">
        <f t="shared" si="218"/>
        <v/>
      </c>
      <c r="AG896" s="6">
        <v>16711.93</v>
      </c>
      <c r="AH896" s="6">
        <v>8812.3700000000008</v>
      </c>
      <c r="AI896" s="6">
        <f t="shared" si="219"/>
        <v>8812.3700000000026</v>
      </c>
      <c r="AJ896" s="11">
        <f t="shared" si="220"/>
        <v>0.34525413037771857</v>
      </c>
      <c r="AK896" s="11" t="str">
        <f t="shared" si="221"/>
        <v>February</v>
      </c>
      <c r="AL896" s="12">
        <f t="shared" si="222"/>
        <v>2024</v>
      </c>
      <c r="AM896" s="6" t="s">
        <v>54</v>
      </c>
      <c r="AN896" s="6" t="s">
        <v>55</v>
      </c>
      <c r="AO896" s="6" t="str">
        <f t="shared" si="214"/>
        <v>Completed</v>
      </c>
    </row>
    <row r="897" spans="1:41">
      <c r="A897" s="6" t="s">
        <v>4090</v>
      </c>
      <c r="B897" s="7" t="s">
        <v>4091</v>
      </c>
      <c r="C897" s="8">
        <v>45601</v>
      </c>
      <c r="D897" s="7" t="s">
        <v>125</v>
      </c>
      <c r="E897" s="9">
        <v>45606</v>
      </c>
      <c r="F897" s="9" t="str">
        <f t="shared" si="207"/>
        <v>Valid</v>
      </c>
      <c r="G897" s="10">
        <f t="shared" si="208"/>
        <v>5</v>
      </c>
      <c r="H897" s="10" t="str">
        <f t="shared" si="209"/>
        <v>Valid</v>
      </c>
      <c r="I897" s="6" t="s">
        <v>4092</v>
      </c>
      <c r="J897" s="6" t="s">
        <v>81</v>
      </c>
      <c r="K897" s="6" t="s">
        <v>81</v>
      </c>
      <c r="L897" s="6" t="s">
        <v>46</v>
      </c>
      <c r="M897" s="7" t="str">
        <f t="shared" si="210"/>
        <v>Consumer</v>
      </c>
      <c r="N897" s="6" t="s">
        <v>82</v>
      </c>
      <c r="O897" s="7" t="str">
        <f t="shared" si="211"/>
        <v>South</v>
      </c>
      <c r="P897" s="6" t="s">
        <v>262</v>
      </c>
      <c r="Q897" s="6" t="s">
        <v>263</v>
      </c>
      <c r="R897" s="6" t="s">
        <v>65</v>
      </c>
      <c r="S897" s="7" t="str">
        <f t="shared" si="212"/>
        <v>Furniture</v>
      </c>
      <c r="T897" s="6" t="s">
        <v>96</v>
      </c>
      <c r="U897" s="6" t="s">
        <v>4093</v>
      </c>
      <c r="V897" s="6" t="s">
        <v>68</v>
      </c>
      <c r="W897" s="7" t="str">
        <f t="shared" si="213"/>
        <v>Same Day</v>
      </c>
      <c r="X897" s="6">
        <v>4</v>
      </c>
      <c r="Y897" s="6">
        <v>711.18</v>
      </c>
      <c r="Z897" s="6">
        <v>0.15</v>
      </c>
      <c r="AA897" s="6">
        <f t="shared" si="215"/>
        <v>0.15</v>
      </c>
      <c r="AB897" s="6" t="str">
        <f t="shared" si="216"/>
        <v>Valid</v>
      </c>
      <c r="AC897" s="6">
        <v>2418.0100000000002</v>
      </c>
      <c r="AD897" s="6" t="str">
        <f>IF(OR(AO897="Cancelled",AM897="Failed"),"Exclude from Completed Sales","Include in Completed Sales")</f>
        <v>Include in Completed Sales</v>
      </c>
      <c r="AE897" s="6">
        <f t="shared" si="217"/>
        <v>2418.0119999999997</v>
      </c>
      <c r="AF897" s="6" t="str">
        <f t="shared" si="218"/>
        <v/>
      </c>
      <c r="AG897" s="6">
        <v>1441.89</v>
      </c>
      <c r="AH897" s="6">
        <v>976.12</v>
      </c>
      <c r="AI897" s="6">
        <f t="shared" si="219"/>
        <v>976.12199999999962</v>
      </c>
      <c r="AJ897" s="11">
        <f t="shared" si="220"/>
        <v>0.40368782288921634</v>
      </c>
      <c r="AK897" s="11" t="str">
        <f t="shared" si="221"/>
        <v>November</v>
      </c>
      <c r="AL897" s="12">
        <f t="shared" si="222"/>
        <v>2024</v>
      </c>
      <c r="AM897" s="6" t="s">
        <v>157</v>
      </c>
      <c r="AN897" s="6" t="s">
        <v>145</v>
      </c>
      <c r="AO897" s="6" t="str">
        <f t="shared" si="214"/>
        <v>Returned</v>
      </c>
    </row>
    <row r="898" spans="1:41">
      <c r="A898" s="6" t="s">
        <v>4094</v>
      </c>
      <c r="B898" s="7" t="s">
        <v>4095</v>
      </c>
      <c r="C898" s="8">
        <v>45650</v>
      </c>
      <c r="D898" s="7" t="s">
        <v>2378</v>
      </c>
      <c r="E898" s="9">
        <v>45651</v>
      </c>
      <c r="F898" s="9" t="str">
        <f t="shared" ref="F898:F913" si="223">IF(E898&lt;C898,"Invalid Shipping Record","Valid")</f>
        <v>Valid</v>
      </c>
      <c r="G898" s="10">
        <f t="shared" ref="G898:G913" si="224">E898-C898</f>
        <v>1</v>
      </c>
      <c r="H898" s="10" t="str">
        <f t="shared" ref="H898:H913" si="225">IF(OR(C898="",E898=""),"Missing Date",IF(OR(NOT(ISNUMBER(C898)),NOT(ISNUMBER(E898))),"Invalid Date",IF(E898&lt;C898,"Invalid Shipping Record","Valid")))</f>
        <v>Valid</v>
      </c>
      <c r="I898" s="6" t="s">
        <v>4096</v>
      </c>
      <c r="J898" s="6" t="s">
        <v>92</v>
      </c>
      <c r="K898" s="6" t="s">
        <v>92</v>
      </c>
      <c r="L898" s="6" t="s">
        <v>61</v>
      </c>
      <c r="M898" s="7" t="str">
        <f t="shared" ref="M898:M913" si="226">PROPER(TRIM(L898))</f>
        <v>Small Business</v>
      </c>
      <c r="N898" s="6" t="s">
        <v>82</v>
      </c>
      <c r="O898" s="7" t="str">
        <f t="shared" ref="O898:O913" si="227">IF(TRIM(N898)="","Unknown",PROPER(TRIM(N898)))</f>
        <v>South</v>
      </c>
      <c r="P898" s="6" t="s">
        <v>359</v>
      </c>
      <c r="Q898" s="6" t="s">
        <v>360</v>
      </c>
      <c r="R898" s="6" t="s">
        <v>106</v>
      </c>
      <c r="S898" s="7" t="str">
        <f t="shared" ref="S898:S913" si="228">PROPER(TRIM(R898))</f>
        <v>Technology</v>
      </c>
      <c r="T898" s="6" t="s">
        <v>114</v>
      </c>
      <c r="U898" s="6" t="s">
        <v>4097</v>
      </c>
      <c r="V898" s="6" t="s">
        <v>53</v>
      </c>
      <c r="W898" s="7" t="str">
        <f t="shared" ref="W898:W913" si="229">IF(TRIM(V898)="","Unknown",PROPER(TRIM(V898)))</f>
        <v>Second Class</v>
      </c>
      <c r="X898" s="6">
        <v>1</v>
      </c>
      <c r="Y898" s="6">
        <v>3693.03</v>
      </c>
      <c r="Z898" s="6">
        <v>0.05</v>
      </c>
      <c r="AA898" s="6">
        <f t="shared" si="215"/>
        <v>0.05</v>
      </c>
      <c r="AB898" s="6" t="str">
        <f t="shared" si="216"/>
        <v>Valid</v>
      </c>
      <c r="AC898" s="6">
        <v>3508.38</v>
      </c>
      <c r="AD898" s="6" t="str">
        <f>IF(OR(AO898="Cancelled",AM898="Failed"),"Exclude from Completed Sales","Include in Completed Sales")</f>
        <v>Exclude from Completed Sales</v>
      </c>
      <c r="AE898" s="6">
        <f t="shared" si="217"/>
        <v>3508.3784999999998</v>
      </c>
      <c r="AF898" s="6" t="str">
        <f t="shared" si="218"/>
        <v/>
      </c>
      <c r="AG898" s="6">
        <v>2828.06</v>
      </c>
      <c r="AH898" s="6">
        <v>680.32</v>
      </c>
      <c r="AI898" s="6">
        <f t="shared" si="219"/>
        <v>680.31849999999986</v>
      </c>
      <c r="AJ898" s="11">
        <f t="shared" si="220"/>
        <v>0.19391251542557336</v>
      </c>
      <c r="AK898" s="11" t="str">
        <f t="shared" si="221"/>
        <v>December</v>
      </c>
      <c r="AL898" s="12">
        <f t="shared" si="222"/>
        <v>2024</v>
      </c>
      <c r="AM898" s="6" t="s">
        <v>220</v>
      </c>
      <c r="AN898" s="6" t="s">
        <v>145</v>
      </c>
      <c r="AO898" s="6" t="str">
        <f t="shared" ref="AO898:AO913" si="230">PROPER(TRIM(AN898))</f>
        <v>Returned</v>
      </c>
    </row>
    <row r="899" spans="1:41">
      <c r="A899" s="6" t="s">
        <v>4098</v>
      </c>
      <c r="B899" s="7" t="s">
        <v>1201</v>
      </c>
      <c r="C899" s="8">
        <v>45776</v>
      </c>
      <c r="D899" s="7" t="s">
        <v>4099</v>
      </c>
      <c r="E899" s="9">
        <v>45780</v>
      </c>
      <c r="F899" s="9" t="str">
        <f t="shared" si="223"/>
        <v>Valid</v>
      </c>
      <c r="G899" s="10">
        <f t="shared" si="224"/>
        <v>4</v>
      </c>
      <c r="H899" s="10" t="str">
        <f t="shared" si="225"/>
        <v>Valid</v>
      </c>
      <c r="I899" s="6" t="s">
        <v>3220</v>
      </c>
      <c r="J899" s="6" t="s">
        <v>200</v>
      </c>
      <c r="K899" s="6" t="s">
        <v>200</v>
      </c>
      <c r="L899" s="6" t="s">
        <v>128</v>
      </c>
      <c r="M899" s="7" t="str">
        <f t="shared" si="226"/>
        <v>Corporate</v>
      </c>
      <c r="N899" s="6" t="s">
        <v>47</v>
      </c>
      <c r="O899" s="7" t="str">
        <f t="shared" si="227"/>
        <v>North</v>
      </c>
      <c r="P899" s="6" t="s">
        <v>343</v>
      </c>
      <c r="Q899" s="6" t="s">
        <v>344</v>
      </c>
      <c r="R899" s="6" t="s">
        <v>50</v>
      </c>
      <c r="S899" s="7" t="str">
        <f t="shared" si="228"/>
        <v>Office Supplies</v>
      </c>
      <c r="T899" s="6" t="s">
        <v>51</v>
      </c>
      <c r="U899" s="6" t="s">
        <v>4100</v>
      </c>
      <c r="V899" s="6" t="s">
        <v>76</v>
      </c>
      <c r="W899" s="7" t="str">
        <f t="shared" si="229"/>
        <v>First Class</v>
      </c>
      <c r="X899" s="6">
        <v>4</v>
      </c>
      <c r="Y899" s="6">
        <v>1786.65</v>
      </c>
      <c r="Z899" s="6">
        <v>0.05</v>
      </c>
      <c r="AA899" s="6">
        <f t="shared" ref="AA899:AA913" si="231">IF(Z899="",0,Z899)</f>
        <v>0.05</v>
      </c>
      <c r="AB899" s="6" t="str">
        <f t="shared" ref="AB899:AB913" si="232">IF(AA899&lt;0,"Invalid - Negative Discount",IF(AA899&gt;1,"Invalid - Discount Above Limit","Valid"))</f>
        <v>Valid</v>
      </c>
      <c r="AC899" s="6">
        <v>6789.27</v>
      </c>
      <c r="AD899" s="6" t="str">
        <f>IF(OR(AO899="Cancelled",AM899="Failed"),"Exclude from Completed Sales","Include in Completed Sales")</f>
        <v>Include in Completed Sales</v>
      </c>
      <c r="AE899" s="6">
        <f t="shared" ref="AE899:AE913" si="233">X899*Y899*(1-AA899)</f>
        <v>6789.27</v>
      </c>
      <c r="AF899" s="6" t="str">
        <f t="shared" ref="AF899:AF913" si="234">IF(TRIM(AM899)="Refunded","Refunded","")</f>
        <v/>
      </c>
      <c r="AG899" s="6">
        <v>5626.43</v>
      </c>
      <c r="AH899" s="6">
        <v>1162.8399999999999</v>
      </c>
      <c r="AI899" s="6">
        <f t="shared" ref="AI899:AI913" si="235">AE899-AG899</f>
        <v>1162.8400000000001</v>
      </c>
      <c r="AJ899" s="11">
        <f t="shared" ref="AJ899:AJ913" si="236">IF(AE899=0,0,AI899/AE899)</f>
        <v>0.17127614603631908</v>
      </c>
      <c r="AK899" s="11" t="str">
        <f t="shared" ref="AK899:AK913" si="237">TEXT(C899,"mmmm")</f>
        <v>April</v>
      </c>
      <c r="AL899" s="12">
        <f t="shared" ref="AL899:AL913" si="238">YEAR(C899)</f>
        <v>2025</v>
      </c>
      <c r="AM899" s="6" t="s">
        <v>54</v>
      </c>
      <c r="AN899" s="6" t="s">
        <v>55</v>
      </c>
      <c r="AO899" s="6" t="str">
        <f t="shared" si="230"/>
        <v>Completed</v>
      </c>
    </row>
    <row r="900" spans="1:41">
      <c r="A900" s="6" t="s">
        <v>4101</v>
      </c>
      <c r="B900" s="7" t="s">
        <v>3664</v>
      </c>
      <c r="C900" s="8">
        <v>45445</v>
      </c>
      <c r="D900" s="7" t="s">
        <v>70</v>
      </c>
      <c r="E900" s="9">
        <v>45451</v>
      </c>
      <c r="F900" s="9" t="str">
        <f t="shared" si="223"/>
        <v>Valid</v>
      </c>
      <c r="G900" s="10">
        <f t="shared" si="224"/>
        <v>6</v>
      </c>
      <c r="H900" s="10" t="str">
        <f t="shared" si="225"/>
        <v>Valid</v>
      </c>
      <c r="I900" s="6" t="s">
        <v>4102</v>
      </c>
      <c r="J900" s="6" t="s">
        <v>103</v>
      </c>
      <c r="K900" s="6" t="s">
        <v>103</v>
      </c>
      <c r="L900" s="6" t="s">
        <v>46</v>
      </c>
      <c r="M900" s="7" t="str">
        <f t="shared" si="226"/>
        <v>Consumer</v>
      </c>
      <c r="N900" s="6" t="s">
        <v>47</v>
      </c>
      <c r="O900" s="7" t="str">
        <f t="shared" si="227"/>
        <v>North</v>
      </c>
      <c r="P900" s="6" t="s">
        <v>526</v>
      </c>
      <c r="Q900" s="6" t="s">
        <v>527</v>
      </c>
      <c r="R900" s="6" t="s">
        <v>65</v>
      </c>
      <c r="S900" s="7" t="str">
        <f t="shared" si="228"/>
        <v>Furniture</v>
      </c>
      <c r="T900" s="6" t="s">
        <v>66</v>
      </c>
      <c r="U900" s="6" t="s">
        <v>4103</v>
      </c>
      <c r="V900" s="6" t="s">
        <v>76</v>
      </c>
      <c r="W900" s="7" t="str">
        <f t="shared" si="229"/>
        <v>First Class</v>
      </c>
      <c r="X900" s="6">
        <v>4</v>
      </c>
      <c r="Y900" s="6">
        <v>1536.7</v>
      </c>
      <c r="Z900" s="6">
        <v>0.2</v>
      </c>
      <c r="AA900" s="6">
        <f t="shared" si="231"/>
        <v>0.2</v>
      </c>
      <c r="AB900" s="6" t="str">
        <f t="shared" si="232"/>
        <v>Valid</v>
      </c>
      <c r="AC900" s="6">
        <v>4917.4399999999996</v>
      </c>
      <c r="AD900" s="6" t="str">
        <f>IF(OR(AO900="Cancelled",AM900="Failed"),"Exclude from Completed Sales","Include in Completed Sales")</f>
        <v>Include in Completed Sales</v>
      </c>
      <c r="AE900" s="6">
        <f t="shared" si="233"/>
        <v>4917.4400000000005</v>
      </c>
      <c r="AF900" s="6" t="str">
        <f t="shared" si="234"/>
        <v/>
      </c>
      <c r="AG900" s="6">
        <v>3846.77</v>
      </c>
      <c r="AH900" s="6">
        <v>1070.67</v>
      </c>
      <c r="AI900" s="6">
        <f t="shared" si="235"/>
        <v>1070.6700000000005</v>
      </c>
      <c r="AJ900" s="11">
        <f t="shared" si="236"/>
        <v>0.21772914361944434</v>
      </c>
      <c r="AK900" s="11" t="str">
        <f t="shared" si="237"/>
        <v>June</v>
      </c>
      <c r="AL900" s="12">
        <f t="shared" si="238"/>
        <v>2024</v>
      </c>
      <c r="AM900" s="6" t="s">
        <v>54</v>
      </c>
      <c r="AN900" s="6" t="s">
        <v>55</v>
      </c>
      <c r="AO900" s="6" t="str">
        <f t="shared" si="230"/>
        <v>Completed</v>
      </c>
    </row>
    <row r="901" spans="1:41">
      <c r="A901" s="6" t="s">
        <v>4104</v>
      </c>
      <c r="B901" s="7" t="s">
        <v>1702</v>
      </c>
      <c r="C901" s="8">
        <v>45804</v>
      </c>
      <c r="D901" s="7" t="s">
        <v>4105</v>
      </c>
      <c r="E901" s="9">
        <v>45811</v>
      </c>
      <c r="F901" s="9" t="str">
        <f t="shared" si="223"/>
        <v>Valid</v>
      </c>
      <c r="G901" s="10">
        <f t="shared" si="224"/>
        <v>7</v>
      </c>
      <c r="H901" s="10" t="str">
        <f t="shared" si="225"/>
        <v>Valid</v>
      </c>
      <c r="I901" s="6" t="s">
        <v>4106</v>
      </c>
      <c r="J901" s="6" t="s">
        <v>45</v>
      </c>
      <c r="K901" s="6" t="s">
        <v>45</v>
      </c>
      <c r="L901" s="6" t="s">
        <v>46</v>
      </c>
      <c r="M901" s="7" t="str">
        <f t="shared" si="226"/>
        <v>Consumer</v>
      </c>
      <c r="N901" s="6" t="s">
        <v>47</v>
      </c>
      <c r="O901" s="7" t="str">
        <f t="shared" si="227"/>
        <v>North</v>
      </c>
      <c r="P901" s="6" t="s">
        <v>174</v>
      </c>
      <c r="Q901" s="6" t="s">
        <v>175</v>
      </c>
      <c r="R901" s="6" t="s">
        <v>65</v>
      </c>
      <c r="S901" s="7" t="str">
        <f t="shared" si="228"/>
        <v>Furniture</v>
      </c>
      <c r="T901" s="6" t="s">
        <v>96</v>
      </c>
      <c r="U901" s="6" t="s">
        <v>4107</v>
      </c>
      <c r="V901" s="6" t="s">
        <v>76</v>
      </c>
      <c r="W901" s="7" t="str">
        <f t="shared" si="229"/>
        <v>First Class</v>
      </c>
      <c r="X901" s="6">
        <v>5</v>
      </c>
      <c r="Y901" s="6">
        <v>881.08</v>
      </c>
      <c r="Z901" s="6">
        <v>0.25</v>
      </c>
      <c r="AA901" s="6">
        <f t="shared" si="231"/>
        <v>0.25</v>
      </c>
      <c r="AB901" s="6" t="str">
        <f t="shared" si="232"/>
        <v>Valid</v>
      </c>
      <c r="AC901" s="6">
        <v>3304.05</v>
      </c>
      <c r="AD901" s="6" t="str">
        <f>IF(OR(AO901="Cancelled",AM901="Failed"),"Exclude from Completed Sales","Include in Completed Sales")</f>
        <v>Exclude from Completed Sales</v>
      </c>
      <c r="AE901" s="6">
        <f t="shared" si="233"/>
        <v>3304.05</v>
      </c>
      <c r="AF901" s="6" t="str">
        <f t="shared" si="234"/>
        <v/>
      </c>
      <c r="AG901" s="6">
        <v>2279.41</v>
      </c>
      <c r="AH901" s="6">
        <v>1024.6400000000001</v>
      </c>
      <c r="AI901" s="6">
        <f t="shared" si="235"/>
        <v>1024.6400000000003</v>
      </c>
      <c r="AJ901" s="11">
        <f t="shared" si="236"/>
        <v>0.31011637233092726</v>
      </c>
      <c r="AK901" s="11" t="str">
        <f t="shared" si="237"/>
        <v>May</v>
      </c>
      <c r="AL901" s="12">
        <f t="shared" si="238"/>
        <v>2025</v>
      </c>
      <c r="AM901" s="6" t="s">
        <v>220</v>
      </c>
      <c r="AN901" s="6" t="s">
        <v>98</v>
      </c>
      <c r="AO901" s="6" t="str">
        <f t="shared" si="230"/>
        <v>Cancelled</v>
      </c>
    </row>
    <row r="902" spans="1:41">
      <c r="A902" s="6" t="s">
        <v>1697</v>
      </c>
      <c r="B902" s="7" t="s">
        <v>725</v>
      </c>
      <c r="C902" s="8">
        <v>45630</v>
      </c>
      <c r="D902" s="7" t="s">
        <v>1698</v>
      </c>
      <c r="E902" s="9">
        <v>45632</v>
      </c>
      <c r="F902" s="9" t="str">
        <f t="shared" si="223"/>
        <v>Valid</v>
      </c>
      <c r="G902" s="10">
        <f t="shared" si="224"/>
        <v>2</v>
      </c>
      <c r="H902" s="10" t="str">
        <f t="shared" si="225"/>
        <v>Valid</v>
      </c>
      <c r="I902" s="6" t="s">
        <v>1699</v>
      </c>
      <c r="J902" s="6" t="s">
        <v>188</v>
      </c>
      <c r="K902" s="6" t="s">
        <v>188</v>
      </c>
      <c r="L902" s="6" t="s">
        <v>135</v>
      </c>
      <c r="M902" s="7" t="str">
        <f t="shared" si="226"/>
        <v>Home Office</v>
      </c>
      <c r="N902" s="6" t="s">
        <v>62</v>
      </c>
      <c r="O902" s="7" t="str">
        <f t="shared" si="227"/>
        <v>East</v>
      </c>
      <c r="P902" s="6" t="s">
        <v>63</v>
      </c>
      <c r="Q902" s="6" t="s">
        <v>64</v>
      </c>
      <c r="R902" s="6" t="s">
        <v>50</v>
      </c>
      <c r="S902" s="7" t="str">
        <f t="shared" si="228"/>
        <v>Office Supplies</v>
      </c>
      <c r="T902" s="6" t="s">
        <v>218</v>
      </c>
      <c r="U902" s="6" t="s">
        <v>1700</v>
      </c>
      <c r="V902" s="6" t="s">
        <v>53</v>
      </c>
      <c r="W902" s="7" t="str">
        <f t="shared" si="229"/>
        <v>Second Class</v>
      </c>
      <c r="X902" s="6">
        <v>4</v>
      </c>
      <c r="Y902" s="6">
        <v>2685.66</v>
      </c>
      <c r="Z902" s="6">
        <v>0</v>
      </c>
      <c r="AA902" s="6">
        <f t="shared" si="231"/>
        <v>0</v>
      </c>
      <c r="AB902" s="6" t="str">
        <f t="shared" si="232"/>
        <v>Valid</v>
      </c>
      <c r="AC902" s="6">
        <v>10989.89</v>
      </c>
      <c r="AD902" s="6" t="str">
        <f>IF(OR(AO902="Cancelled",AM902="Failed"),"Exclude from Completed Sales","Include in Completed Sales")</f>
        <v>Include in Completed Sales</v>
      </c>
      <c r="AE902" s="6">
        <f t="shared" si="233"/>
        <v>10742.64</v>
      </c>
      <c r="AF902" s="6" t="str">
        <f t="shared" si="234"/>
        <v/>
      </c>
      <c r="AG902" s="6">
        <v>6477.37</v>
      </c>
      <c r="AH902" s="6">
        <v>4265.2700000000004</v>
      </c>
      <c r="AI902" s="6">
        <f t="shared" si="235"/>
        <v>4265.2699999999995</v>
      </c>
      <c r="AJ902" s="11">
        <f t="shared" si="236"/>
        <v>0.39704113700170535</v>
      </c>
      <c r="AK902" s="11" t="str">
        <f t="shared" si="237"/>
        <v>December</v>
      </c>
      <c r="AL902" s="12">
        <f t="shared" si="238"/>
        <v>2024</v>
      </c>
      <c r="AM902" s="6" t="s">
        <v>54</v>
      </c>
      <c r="AN902" s="6" t="s">
        <v>55</v>
      </c>
      <c r="AO902" s="6" t="str">
        <f t="shared" si="230"/>
        <v>Completed</v>
      </c>
    </row>
    <row r="903" spans="1:41">
      <c r="A903" s="6" t="s">
        <v>569</v>
      </c>
      <c r="B903" s="7" t="s">
        <v>570</v>
      </c>
      <c r="C903" s="8">
        <v>45893</v>
      </c>
      <c r="D903" s="7" t="s">
        <v>89</v>
      </c>
      <c r="E903" s="9">
        <v>45898</v>
      </c>
      <c r="F903" s="9" t="str">
        <f t="shared" si="223"/>
        <v>Valid</v>
      </c>
      <c r="G903" s="10">
        <f t="shared" si="224"/>
        <v>5</v>
      </c>
      <c r="H903" s="10" t="str">
        <f t="shared" si="225"/>
        <v>Valid</v>
      </c>
      <c r="I903" s="6" t="s">
        <v>571</v>
      </c>
      <c r="J903" s="6" t="s">
        <v>182</v>
      </c>
      <c r="K903" s="6" t="s">
        <v>182</v>
      </c>
      <c r="L903" s="6" t="s">
        <v>61</v>
      </c>
      <c r="M903" s="7" t="str">
        <f t="shared" si="226"/>
        <v>Small Business</v>
      </c>
      <c r="N903" s="6" t="s">
        <v>62</v>
      </c>
      <c r="O903" s="7" t="str">
        <f t="shared" si="227"/>
        <v>East</v>
      </c>
      <c r="P903" s="6" t="s">
        <v>206</v>
      </c>
      <c r="Q903" s="6" t="s">
        <v>207</v>
      </c>
      <c r="R903" s="6" t="s">
        <v>106</v>
      </c>
      <c r="S903" s="7" t="str">
        <f t="shared" si="228"/>
        <v>Technology</v>
      </c>
      <c r="T903" s="6" t="s">
        <v>114</v>
      </c>
      <c r="U903" s="6" t="s">
        <v>572</v>
      </c>
      <c r="V903" s="6" t="s">
        <v>76</v>
      </c>
      <c r="W903" s="7" t="str">
        <f t="shared" si="229"/>
        <v>First Class</v>
      </c>
      <c r="X903" s="6">
        <v>3</v>
      </c>
      <c r="Y903" s="6">
        <v>3703.96</v>
      </c>
      <c r="Z903" s="6">
        <v>0.15</v>
      </c>
      <c r="AA903" s="6">
        <f t="shared" si="231"/>
        <v>0.15</v>
      </c>
      <c r="AB903" s="6" t="str">
        <f t="shared" si="232"/>
        <v>Valid</v>
      </c>
      <c r="AC903" s="6">
        <v>9549.44</v>
      </c>
      <c r="AD903" s="6" t="str">
        <f>IF(OR(AO903="Cancelled",AM903="Failed"),"Exclude from Completed Sales","Include in Completed Sales")</f>
        <v>Include in Completed Sales</v>
      </c>
      <c r="AE903" s="6">
        <f t="shared" si="233"/>
        <v>9445.098</v>
      </c>
      <c r="AF903" s="6" t="str">
        <f t="shared" si="234"/>
        <v/>
      </c>
      <c r="AG903" s="6">
        <v>5586.28</v>
      </c>
      <c r="AH903" s="6">
        <v>3858.82</v>
      </c>
      <c r="AI903" s="6">
        <f t="shared" si="235"/>
        <v>3858.8180000000002</v>
      </c>
      <c r="AJ903" s="11">
        <f t="shared" si="236"/>
        <v>0.40855245758170006</v>
      </c>
      <c r="AK903" s="11" t="str">
        <f t="shared" si="237"/>
        <v>August</v>
      </c>
      <c r="AL903" s="12">
        <f t="shared" si="238"/>
        <v>2025</v>
      </c>
      <c r="AM903" s="6" t="s">
        <v>54</v>
      </c>
      <c r="AN903" s="6" t="s">
        <v>145</v>
      </c>
      <c r="AO903" s="6" t="str">
        <f t="shared" si="230"/>
        <v>Returned</v>
      </c>
    </row>
    <row r="904" spans="1:41">
      <c r="A904" s="6" t="s">
        <v>1881</v>
      </c>
      <c r="B904" s="7" t="s">
        <v>1882</v>
      </c>
      <c r="C904" s="8">
        <v>45760</v>
      </c>
      <c r="D904" s="7" t="s">
        <v>1882</v>
      </c>
      <c r="E904" s="9">
        <v>45760</v>
      </c>
      <c r="F904" s="9" t="str">
        <f t="shared" si="223"/>
        <v>Valid</v>
      </c>
      <c r="G904" s="10">
        <f t="shared" si="224"/>
        <v>0</v>
      </c>
      <c r="H904" s="10" t="str">
        <f t="shared" si="225"/>
        <v>Valid</v>
      </c>
      <c r="I904" s="6" t="s">
        <v>1883</v>
      </c>
      <c r="J904" s="6" t="s">
        <v>188</v>
      </c>
      <c r="K904" s="6" t="s">
        <v>188</v>
      </c>
      <c r="L904" s="6" t="s">
        <v>61</v>
      </c>
      <c r="M904" s="7" t="str">
        <f t="shared" si="226"/>
        <v>Small Business</v>
      </c>
      <c r="N904" s="6" t="s">
        <v>47</v>
      </c>
      <c r="O904" s="7" t="str">
        <f t="shared" si="227"/>
        <v>North</v>
      </c>
      <c r="P904" s="6" t="s">
        <v>194</v>
      </c>
      <c r="Q904" s="6" t="s">
        <v>195</v>
      </c>
      <c r="R904" s="6" t="s">
        <v>50</v>
      </c>
      <c r="S904" s="7" t="str">
        <f t="shared" si="228"/>
        <v>Office Supplies</v>
      </c>
      <c r="T904" s="6" t="s">
        <v>176</v>
      </c>
      <c r="U904" s="6" t="s">
        <v>1884</v>
      </c>
      <c r="V904" s="6" t="s">
        <v>53</v>
      </c>
      <c r="W904" s="7" t="str">
        <f t="shared" si="229"/>
        <v>Second Class</v>
      </c>
      <c r="X904" s="6">
        <v>9</v>
      </c>
      <c r="Y904" s="6">
        <v>1118.68</v>
      </c>
      <c r="Z904" s="6">
        <v>0</v>
      </c>
      <c r="AA904" s="6">
        <f t="shared" si="231"/>
        <v>0</v>
      </c>
      <c r="AB904" s="6" t="str">
        <f t="shared" si="232"/>
        <v>Valid</v>
      </c>
      <c r="AC904" s="6">
        <v>10348.43</v>
      </c>
      <c r="AD904" s="6" t="str">
        <f>IF(OR(AO904="Cancelled",AM904="Failed"),"Exclude from Completed Sales","Include in Completed Sales")</f>
        <v>Include in Completed Sales</v>
      </c>
      <c r="AE904" s="6">
        <f t="shared" si="233"/>
        <v>10068.120000000001</v>
      </c>
      <c r="AF904" s="6" t="str">
        <f t="shared" si="234"/>
        <v/>
      </c>
      <c r="AG904" s="6">
        <v>8595.3700000000008</v>
      </c>
      <c r="AH904" s="6">
        <v>1472.75</v>
      </c>
      <c r="AI904" s="6">
        <f t="shared" si="235"/>
        <v>1472.75</v>
      </c>
      <c r="AJ904" s="11">
        <f t="shared" si="236"/>
        <v>0.14627855051389932</v>
      </c>
      <c r="AK904" s="11" t="str">
        <f t="shared" si="237"/>
        <v>April</v>
      </c>
      <c r="AL904" s="12">
        <f t="shared" si="238"/>
        <v>2025</v>
      </c>
      <c r="AM904" s="6" t="s">
        <v>54</v>
      </c>
      <c r="AN904" s="6" t="s">
        <v>145</v>
      </c>
      <c r="AO904" s="6" t="str">
        <f t="shared" si="230"/>
        <v>Returned</v>
      </c>
    </row>
    <row r="905" spans="1:41">
      <c r="A905" s="6" t="s">
        <v>1209</v>
      </c>
      <c r="B905" s="7" t="s">
        <v>1210</v>
      </c>
      <c r="C905" s="8">
        <v>45932</v>
      </c>
      <c r="D905" s="7" t="s">
        <v>1211</v>
      </c>
      <c r="E905" s="9">
        <v>45938</v>
      </c>
      <c r="F905" s="9" t="str">
        <f t="shared" si="223"/>
        <v>Valid</v>
      </c>
      <c r="G905" s="10">
        <f t="shared" si="224"/>
        <v>6</v>
      </c>
      <c r="H905" s="10" t="str">
        <f t="shared" si="225"/>
        <v>Valid</v>
      </c>
      <c r="I905" s="6" t="s">
        <v>1212</v>
      </c>
      <c r="J905" s="6" t="s">
        <v>73</v>
      </c>
      <c r="K905" s="6" t="s">
        <v>73</v>
      </c>
      <c r="L905" s="6" t="s">
        <v>61</v>
      </c>
      <c r="M905" s="7" t="str">
        <f t="shared" si="226"/>
        <v>Small Business</v>
      </c>
      <c r="N905" s="6" t="s">
        <v>47</v>
      </c>
      <c r="O905" s="7" t="str">
        <f t="shared" si="227"/>
        <v>North</v>
      </c>
      <c r="P905" s="6" t="s">
        <v>174</v>
      </c>
      <c r="Q905" s="6" t="s">
        <v>175</v>
      </c>
      <c r="R905" s="6" t="s">
        <v>65</v>
      </c>
      <c r="S905" s="7" t="str">
        <f t="shared" si="228"/>
        <v>Furniture</v>
      </c>
      <c r="T905" s="6" t="s">
        <v>85</v>
      </c>
      <c r="U905" s="6" t="s">
        <v>1213</v>
      </c>
      <c r="V905" s="6" t="s">
        <v>87</v>
      </c>
      <c r="W905" s="7" t="str">
        <f t="shared" si="229"/>
        <v>Standard Class</v>
      </c>
      <c r="X905" s="6">
        <v>4</v>
      </c>
      <c r="Y905" s="6">
        <v>3944.64</v>
      </c>
      <c r="Z905" s="6">
        <v>0.25</v>
      </c>
      <c r="AA905" s="6">
        <f t="shared" si="231"/>
        <v>0.25</v>
      </c>
      <c r="AB905" s="6" t="str">
        <f t="shared" si="232"/>
        <v>Valid</v>
      </c>
      <c r="AC905" s="6">
        <v>12116.89</v>
      </c>
      <c r="AD905" s="6" t="str">
        <f>IF(OR(AO905="Cancelled",AM905="Failed"),"Exclude from Completed Sales","Include in Completed Sales")</f>
        <v>Include in Completed Sales</v>
      </c>
      <c r="AE905" s="6">
        <f t="shared" si="233"/>
        <v>11833.92</v>
      </c>
      <c r="AF905" s="6" t="str">
        <f t="shared" si="234"/>
        <v/>
      </c>
      <c r="AG905" s="6">
        <v>6682.92</v>
      </c>
      <c r="AH905" s="6">
        <v>5151</v>
      </c>
      <c r="AI905" s="6">
        <f t="shared" si="235"/>
        <v>5151</v>
      </c>
      <c r="AJ905" s="11">
        <f t="shared" si="236"/>
        <v>0.43527419485681834</v>
      </c>
      <c r="AK905" s="11" t="str">
        <f t="shared" si="237"/>
        <v>October</v>
      </c>
      <c r="AL905" s="12">
        <f t="shared" si="238"/>
        <v>2025</v>
      </c>
      <c r="AM905" s="6" t="s">
        <v>54</v>
      </c>
      <c r="AN905" s="6" t="s">
        <v>145</v>
      </c>
      <c r="AO905" s="6" t="str">
        <f t="shared" si="230"/>
        <v>Returned</v>
      </c>
    </row>
    <row r="906" spans="1:41">
      <c r="A906" s="6" t="s">
        <v>1622</v>
      </c>
      <c r="B906" s="7" t="s">
        <v>1124</v>
      </c>
      <c r="C906" s="8">
        <v>45795</v>
      </c>
      <c r="D906" s="7" t="s">
        <v>138</v>
      </c>
      <c r="E906" s="9">
        <v>45797</v>
      </c>
      <c r="F906" s="9" t="str">
        <f t="shared" si="223"/>
        <v>Valid</v>
      </c>
      <c r="G906" s="10">
        <f t="shared" si="224"/>
        <v>2</v>
      </c>
      <c r="H906" s="10" t="str">
        <f t="shared" si="225"/>
        <v>Valid</v>
      </c>
      <c r="I906" s="6" t="s">
        <v>1623</v>
      </c>
      <c r="J906" s="6" t="s">
        <v>73</v>
      </c>
      <c r="K906" s="6" t="s">
        <v>73</v>
      </c>
      <c r="L906" s="6" t="s">
        <v>128</v>
      </c>
      <c r="M906" s="7" t="str">
        <f t="shared" si="226"/>
        <v>Corporate</v>
      </c>
      <c r="N906" s="6" t="s">
        <v>93</v>
      </c>
      <c r="O906" s="7" t="str">
        <f t="shared" si="227"/>
        <v>West</v>
      </c>
      <c r="P906" s="6" t="s">
        <v>104</v>
      </c>
      <c r="Q906" s="6" t="s">
        <v>105</v>
      </c>
      <c r="R906" s="6" t="s">
        <v>50</v>
      </c>
      <c r="S906" s="7" t="str">
        <f t="shared" si="228"/>
        <v>Office Supplies</v>
      </c>
      <c r="T906" s="6" t="s">
        <v>129</v>
      </c>
      <c r="U906" s="6" t="s">
        <v>1624</v>
      </c>
      <c r="V906" s="6" t="s">
        <v>87</v>
      </c>
      <c r="W906" s="7" t="str">
        <f t="shared" si="229"/>
        <v>Standard Class</v>
      </c>
      <c r="X906" s="6">
        <v>9</v>
      </c>
      <c r="Y906" s="6">
        <v>847.76</v>
      </c>
      <c r="Z906" s="6">
        <v>0.15</v>
      </c>
      <c r="AA906" s="6">
        <f t="shared" si="231"/>
        <v>0.15</v>
      </c>
      <c r="AB906" s="6" t="str">
        <f t="shared" si="232"/>
        <v>Valid</v>
      </c>
      <c r="AC906" s="6">
        <v>6589.37</v>
      </c>
      <c r="AD906" s="6" t="str">
        <f>IF(OR(AO906="Cancelled",AM906="Failed"),"Exclude from Completed Sales","Include in Completed Sales")</f>
        <v>Exclude from Completed Sales</v>
      </c>
      <c r="AE906" s="6">
        <f t="shared" si="233"/>
        <v>6485.3639999999996</v>
      </c>
      <c r="AF906" s="6" t="str">
        <f t="shared" si="234"/>
        <v/>
      </c>
      <c r="AG906" s="6">
        <v>5376.17</v>
      </c>
      <c r="AH906" s="6">
        <v>1109.19</v>
      </c>
      <c r="AI906" s="6">
        <f t="shared" si="235"/>
        <v>1109.1939999999995</v>
      </c>
      <c r="AJ906" s="11">
        <f t="shared" si="236"/>
        <v>0.17103033846673826</v>
      </c>
      <c r="AK906" s="11" t="str">
        <f t="shared" si="237"/>
        <v>May</v>
      </c>
      <c r="AL906" s="12">
        <f t="shared" si="238"/>
        <v>2025</v>
      </c>
      <c r="AM906" s="6" t="s">
        <v>220</v>
      </c>
      <c r="AN906" s="6" t="s">
        <v>55</v>
      </c>
      <c r="AO906" s="6" t="str">
        <f t="shared" si="230"/>
        <v>Completed</v>
      </c>
    </row>
    <row r="907" spans="1:41">
      <c r="A907" s="6" t="s">
        <v>954</v>
      </c>
      <c r="B907" s="7" t="s">
        <v>132</v>
      </c>
      <c r="C907" s="8">
        <v>45907</v>
      </c>
      <c r="D907" s="7" t="s">
        <v>955</v>
      </c>
      <c r="E907" s="9">
        <v>45915</v>
      </c>
      <c r="F907" s="9" t="str">
        <f t="shared" si="223"/>
        <v>Valid</v>
      </c>
      <c r="G907" s="10">
        <f t="shared" si="224"/>
        <v>8</v>
      </c>
      <c r="H907" s="10" t="str">
        <f t="shared" si="225"/>
        <v>Valid</v>
      </c>
      <c r="I907" s="6" t="s">
        <v>956</v>
      </c>
      <c r="J907" s="6" t="s">
        <v>200</v>
      </c>
      <c r="K907" s="6" t="s">
        <v>200</v>
      </c>
      <c r="L907" s="6" t="s">
        <v>128</v>
      </c>
      <c r="M907" s="7" t="str">
        <f t="shared" si="226"/>
        <v>Corporate</v>
      </c>
      <c r="N907" s="6" t="s">
        <v>62</v>
      </c>
      <c r="O907" s="7" t="str">
        <f t="shared" si="227"/>
        <v>East</v>
      </c>
      <c r="P907" s="6" t="s">
        <v>206</v>
      </c>
      <c r="Q907" s="6" t="s">
        <v>207</v>
      </c>
      <c r="R907" s="6" t="s">
        <v>106</v>
      </c>
      <c r="S907" s="7" t="str">
        <f t="shared" si="228"/>
        <v>Technology</v>
      </c>
      <c r="T907" s="6" t="s">
        <v>114</v>
      </c>
      <c r="U907" s="6" t="s">
        <v>957</v>
      </c>
      <c r="V907" s="6" t="s">
        <v>87</v>
      </c>
      <c r="W907" s="7" t="str">
        <f t="shared" si="229"/>
        <v>Standard Class</v>
      </c>
      <c r="X907" s="6">
        <v>3</v>
      </c>
      <c r="Y907" s="6">
        <v>1711.32</v>
      </c>
      <c r="Z907" s="6">
        <v>0</v>
      </c>
      <c r="AA907" s="6">
        <f t="shared" si="231"/>
        <v>0</v>
      </c>
      <c r="AB907" s="6" t="str">
        <f t="shared" si="232"/>
        <v>Valid</v>
      </c>
      <c r="AC907" s="6">
        <v>5206.53</v>
      </c>
      <c r="AD907" s="6" t="str">
        <f>IF(OR(AO907="Cancelled",AM907="Failed"),"Exclude from Completed Sales","Include in Completed Sales")</f>
        <v>Include in Completed Sales</v>
      </c>
      <c r="AE907" s="6">
        <f t="shared" si="233"/>
        <v>5133.96</v>
      </c>
      <c r="AF907" s="6" t="str">
        <f t="shared" si="234"/>
        <v/>
      </c>
      <c r="AG907" s="6">
        <v>3930</v>
      </c>
      <c r="AH907" s="6">
        <v>1203.96</v>
      </c>
      <c r="AI907" s="6">
        <f t="shared" si="235"/>
        <v>1203.96</v>
      </c>
      <c r="AJ907" s="11">
        <f t="shared" si="236"/>
        <v>0.23450903396208775</v>
      </c>
      <c r="AK907" s="11" t="str">
        <f t="shared" si="237"/>
        <v>September</v>
      </c>
      <c r="AL907" s="12">
        <f t="shared" si="238"/>
        <v>2025</v>
      </c>
      <c r="AM907" s="6" t="s">
        <v>54</v>
      </c>
      <c r="AN907" s="6" t="s">
        <v>145</v>
      </c>
      <c r="AO907" s="6" t="str">
        <f t="shared" si="230"/>
        <v>Returned</v>
      </c>
    </row>
    <row r="908" spans="1:41">
      <c r="A908" s="6" t="s">
        <v>2107</v>
      </c>
      <c r="B908" s="7" t="s">
        <v>2108</v>
      </c>
      <c r="C908" s="8">
        <v>45342</v>
      </c>
      <c r="D908" s="7" t="s">
        <v>2109</v>
      </c>
      <c r="E908" s="9">
        <v>45349</v>
      </c>
      <c r="F908" s="9" t="str">
        <f t="shared" si="223"/>
        <v>Valid</v>
      </c>
      <c r="G908" s="10">
        <f t="shared" si="224"/>
        <v>7</v>
      </c>
      <c r="H908" s="10" t="str">
        <f t="shared" si="225"/>
        <v>Valid</v>
      </c>
      <c r="I908" s="6" t="s">
        <v>2110</v>
      </c>
      <c r="J908" s="6" t="s">
        <v>230</v>
      </c>
      <c r="K908" s="6" t="s">
        <v>230</v>
      </c>
      <c r="L908" s="6" t="s">
        <v>46</v>
      </c>
      <c r="M908" s="7" t="str">
        <f t="shared" si="226"/>
        <v>Consumer</v>
      </c>
      <c r="N908" s="6" t="s">
        <v>82</v>
      </c>
      <c r="O908" s="7" t="str">
        <f t="shared" si="227"/>
        <v>South</v>
      </c>
      <c r="P908" s="6" t="s">
        <v>262</v>
      </c>
      <c r="Q908" s="6" t="s">
        <v>263</v>
      </c>
      <c r="R908" s="6" t="s">
        <v>106</v>
      </c>
      <c r="S908" s="7" t="str">
        <f t="shared" si="228"/>
        <v>Technology</v>
      </c>
      <c r="T908" s="6" t="s">
        <v>107</v>
      </c>
      <c r="U908" s="6" t="s">
        <v>2111</v>
      </c>
      <c r="V908" s="6" t="s">
        <v>2112</v>
      </c>
      <c r="W908" s="7" t="str">
        <f t="shared" si="229"/>
        <v>First Class</v>
      </c>
      <c r="X908" s="6">
        <v>9</v>
      </c>
      <c r="Y908" s="6">
        <v>3779.31</v>
      </c>
      <c r="Z908" s="6">
        <v>0.2</v>
      </c>
      <c r="AA908" s="6">
        <f t="shared" si="231"/>
        <v>0.2</v>
      </c>
      <c r="AB908" s="6" t="str">
        <f t="shared" si="232"/>
        <v>Valid</v>
      </c>
      <c r="AC908" s="6">
        <v>27322.9</v>
      </c>
      <c r="AD908" s="6" t="str">
        <f>IF(OR(AO908="Cancelled",AM908="Failed"),"Exclude from Completed Sales","Include in Completed Sales")</f>
        <v>Include in Completed Sales</v>
      </c>
      <c r="AE908" s="6">
        <f t="shared" si="233"/>
        <v>27211.032000000003</v>
      </c>
      <c r="AF908" s="6" t="str">
        <f t="shared" si="234"/>
        <v/>
      </c>
      <c r="AG908" s="6">
        <v>17940.43</v>
      </c>
      <c r="AH908" s="6">
        <v>9270.6</v>
      </c>
      <c r="AI908" s="6">
        <f t="shared" si="235"/>
        <v>9270.6020000000026</v>
      </c>
      <c r="AJ908" s="11">
        <f t="shared" si="236"/>
        <v>0.34069277490100347</v>
      </c>
      <c r="AK908" s="11" t="str">
        <f t="shared" si="237"/>
        <v>February</v>
      </c>
      <c r="AL908" s="12">
        <f t="shared" si="238"/>
        <v>2024</v>
      </c>
      <c r="AM908" s="6" t="s">
        <v>54</v>
      </c>
      <c r="AN908" s="6" t="s">
        <v>145</v>
      </c>
      <c r="AO908" s="6" t="str">
        <f t="shared" si="230"/>
        <v>Returned</v>
      </c>
    </row>
    <row r="909" spans="1:41">
      <c r="A909" s="6" t="s">
        <v>2759</v>
      </c>
      <c r="B909" s="7" t="s">
        <v>2695</v>
      </c>
      <c r="C909" s="8">
        <v>45698</v>
      </c>
      <c r="D909" s="7" t="s">
        <v>2760</v>
      </c>
      <c r="E909" s="9">
        <v>45702</v>
      </c>
      <c r="F909" s="9" t="str">
        <f t="shared" si="223"/>
        <v>Valid</v>
      </c>
      <c r="G909" s="10">
        <f t="shared" si="224"/>
        <v>4</v>
      </c>
      <c r="H909" s="10" t="str">
        <f t="shared" si="225"/>
        <v>Valid</v>
      </c>
      <c r="I909" s="6" t="s">
        <v>2761</v>
      </c>
      <c r="J909" s="6" t="s">
        <v>162</v>
      </c>
      <c r="K909" s="6" t="s">
        <v>162</v>
      </c>
      <c r="L909" s="6" t="s">
        <v>61</v>
      </c>
      <c r="M909" s="7" t="str">
        <f t="shared" si="226"/>
        <v>Small Business</v>
      </c>
      <c r="N909" s="6" t="s">
        <v>47</v>
      </c>
      <c r="O909" s="7" t="str">
        <f t="shared" si="227"/>
        <v>North</v>
      </c>
      <c r="P909" s="6" t="s">
        <v>194</v>
      </c>
      <c r="Q909" s="6" t="s">
        <v>195</v>
      </c>
      <c r="R909" s="6" t="s">
        <v>106</v>
      </c>
      <c r="S909" s="7" t="str">
        <f t="shared" si="228"/>
        <v>Technology</v>
      </c>
      <c r="T909" s="6" t="s">
        <v>243</v>
      </c>
      <c r="U909" s="6" t="s">
        <v>2762</v>
      </c>
      <c r="V909" s="6"/>
      <c r="W909" s="7" t="str">
        <f t="shared" si="229"/>
        <v>Unknown</v>
      </c>
      <c r="X909" s="6">
        <v>5</v>
      </c>
      <c r="Y909" s="6">
        <v>4276.29</v>
      </c>
      <c r="Z909" s="6">
        <v>0</v>
      </c>
      <c r="AA909" s="6">
        <f t="shared" si="231"/>
        <v>0</v>
      </c>
      <c r="AB909" s="6" t="str">
        <f t="shared" si="232"/>
        <v>Valid</v>
      </c>
      <c r="AC909" s="6">
        <v>21443.63</v>
      </c>
      <c r="AD909" s="6" t="str">
        <f>IF(OR(AO909="Cancelled",AM909="Failed"),"Exclude from Completed Sales","Include in Completed Sales")</f>
        <v>Exclude from Completed Sales</v>
      </c>
      <c r="AE909" s="6">
        <f t="shared" si="233"/>
        <v>21381.45</v>
      </c>
      <c r="AF909" s="6" t="str">
        <f t="shared" si="234"/>
        <v/>
      </c>
      <c r="AG909" s="6">
        <v>13240.21</v>
      </c>
      <c r="AH909" s="6">
        <v>8141.24</v>
      </c>
      <c r="AI909" s="6">
        <f t="shared" si="235"/>
        <v>8141.2400000000016</v>
      </c>
      <c r="AJ909" s="11">
        <f t="shared" si="236"/>
        <v>0.38076182859441249</v>
      </c>
      <c r="AK909" s="11" t="str">
        <f t="shared" si="237"/>
        <v>February</v>
      </c>
      <c r="AL909" s="12">
        <f t="shared" si="238"/>
        <v>2025</v>
      </c>
      <c r="AM909" s="6" t="s">
        <v>220</v>
      </c>
      <c r="AN909" s="6" t="s">
        <v>55</v>
      </c>
      <c r="AO909" s="6" t="str">
        <f t="shared" si="230"/>
        <v>Completed</v>
      </c>
    </row>
    <row r="910" spans="1:41">
      <c r="A910" s="6" t="s">
        <v>820</v>
      </c>
      <c r="B910" s="7" t="s">
        <v>821</v>
      </c>
      <c r="C910" s="8">
        <v>45381</v>
      </c>
      <c r="D910" s="7" t="s">
        <v>822</v>
      </c>
      <c r="E910" s="9">
        <v>45377</v>
      </c>
      <c r="F910" s="9" t="str">
        <f t="shared" si="223"/>
        <v>Invalid Shipping Record</v>
      </c>
      <c r="G910" s="10">
        <f t="shared" si="224"/>
        <v>-4</v>
      </c>
      <c r="H910" s="10" t="str">
        <f t="shared" si="225"/>
        <v>Invalid Shipping Record</v>
      </c>
      <c r="I910" s="6" t="s">
        <v>823</v>
      </c>
      <c r="J910" s="6" t="s">
        <v>127</v>
      </c>
      <c r="K910" s="6" t="s">
        <v>127</v>
      </c>
      <c r="L910" s="6" t="s">
        <v>135</v>
      </c>
      <c r="M910" s="7" t="str">
        <f t="shared" si="226"/>
        <v>Home Office</v>
      </c>
      <c r="N910" s="6" t="s">
        <v>47</v>
      </c>
      <c r="O910" s="7" t="str">
        <f t="shared" si="227"/>
        <v>North</v>
      </c>
      <c r="P910" s="6" t="s">
        <v>48</v>
      </c>
      <c r="Q910" s="6" t="s">
        <v>49</v>
      </c>
      <c r="R910" s="6" t="s">
        <v>106</v>
      </c>
      <c r="S910" s="7" t="str">
        <f t="shared" si="228"/>
        <v>Technology</v>
      </c>
      <c r="T910" s="6" t="s">
        <v>243</v>
      </c>
      <c r="U910" s="6" t="s">
        <v>824</v>
      </c>
      <c r="V910" s="6" t="s">
        <v>53</v>
      </c>
      <c r="W910" s="7" t="str">
        <f t="shared" si="229"/>
        <v>Second Class</v>
      </c>
      <c r="X910" s="6">
        <v>5</v>
      </c>
      <c r="Y910" s="6">
        <v>907.54</v>
      </c>
      <c r="Z910" s="6">
        <v>0.15</v>
      </c>
      <c r="AA910" s="6">
        <f t="shared" si="231"/>
        <v>0.15</v>
      </c>
      <c r="AB910" s="6" t="str">
        <f t="shared" si="232"/>
        <v>Valid</v>
      </c>
      <c r="AC910" s="6">
        <v>4099.6899999999996</v>
      </c>
      <c r="AD910" s="6" t="str">
        <f>IF(OR(AO910="Cancelled",AM910="Failed"),"Exclude from Completed Sales","Include in Completed Sales")</f>
        <v>Include in Completed Sales</v>
      </c>
      <c r="AE910" s="6">
        <f t="shared" si="233"/>
        <v>3857.0449999999996</v>
      </c>
      <c r="AF910" s="6" t="str">
        <f t="shared" si="234"/>
        <v/>
      </c>
      <c r="AG910" s="6">
        <v>2769.26</v>
      </c>
      <c r="AH910" s="6">
        <v>1087.78</v>
      </c>
      <c r="AI910" s="6">
        <f t="shared" si="235"/>
        <v>1087.7849999999994</v>
      </c>
      <c r="AJ910" s="11">
        <f t="shared" si="236"/>
        <v>0.28202548842442843</v>
      </c>
      <c r="AK910" s="11" t="str">
        <f t="shared" si="237"/>
        <v>March</v>
      </c>
      <c r="AL910" s="12">
        <f t="shared" si="238"/>
        <v>2024</v>
      </c>
      <c r="AM910" s="6" t="s">
        <v>54</v>
      </c>
      <c r="AN910" s="6" t="s">
        <v>145</v>
      </c>
      <c r="AO910" s="6" t="str">
        <f t="shared" si="230"/>
        <v>Returned</v>
      </c>
    </row>
    <row r="911" spans="1:41">
      <c r="A911" s="6" t="s">
        <v>1428</v>
      </c>
      <c r="B911" s="7" t="s">
        <v>1429</v>
      </c>
      <c r="C911" s="8">
        <v>45522</v>
      </c>
      <c r="D911" s="7" t="s">
        <v>1430</v>
      </c>
      <c r="E911" s="9">
        <v>45528</v>
      </c>
      <c r="F911" s="9" t="str">
        <f t="shared" si="223"/>
        <v>Valid</v>
      </c>
      <c r="G911" s="10">
        <f t="shared" si="224"/>
        <v>6</v>
      </c>
      <c r="H911" s="10" t="str">
        <f t="shared" si="225"/>
        <v>Valid</v>
      </c>
      <c r="I911" s="6" t="s">
        <v>1431</v>
      </c>
      <c r="J911" s="6" t="s">
        <v>81</v>
      </c>
      <c r="K911" s="6" t="s">
        <v>81</v>
      </c>
      <c r="L911" s="6" t="s">
        <v>46</v>
      </c>
      <c r="M911" s="7" t="str">
        <f t="shared" si="226"/>
        <v>Consumer</v>
      </c>
      <c r="N911" s="6" t="s">
        <v>82</v>
      </c>
      <c r="O911" s="7" t="str">
        <f t="shared" si="227"/>
        <v>South</v>
      </c>
      <c r="P911" s="6" t="s">
        <v>120</v>
      </c>
      <c r="Q911" s="6" t="s">
        <v>121</v>
      </c>
      <c r="R911" s="6" t="s">
        <v>65</v>
      </c>
      <c r="S911" s="7" t="str">
        <f t="shared" si="228"/>
        <v>Furniture</v>
      </c>
      <c r="T911" s="6" t="s">
        <v>96</v>
      </c>
      <c r="U911" s="6" t="s">
        <v>1432</v>
      </c>
      <c r="V911" s="6" t="s">
        <v>76</v>
      </c>
      <c r="W911" s="7" t="str">
        <f t="shared" si="229"/>
        <v>First Class</v>
      </c>
      <c r="X911" s="6">
        <v>7</v>
      </c>
      <c r="Y911" s="6">
        <v>557.21</v>
      </c>
      <c r="Z911" s="6">
        <v>0.1</v>
      </c>
      <c r="AA911" s="6">
        <f t="shared" si="231"/>
        <v>0.1</v>
      </c>
      <c r="AB911" s="6" t="str">
        <f t="shared" si="232"/>
        <v>Valid</v>
      </c>
      <c r="AC911" s="6">
        <v>3797.79</v>
      </c>
      <c r="AD911" s="6" t="str">
        <f>IF(OR(AO911="Cancelled",AM911="Failed"),"Exclude from Completed Sales","Include in Completed Sales")</f>
        <v>Include in Completed Sales</v>
      </c>
      <c r="AE911" s="6">
        <f t="shared" si="233"/>
        <v>3510.4230000000002</v>
      </c>
      <c r="AF911" s="6" t="str">
        <f t="shared" si="234"/>
        <v/>
      </c>
      <c r="AG911" s="6">
        <v>2191.5</v>
      </c>
      <c r="AH911" s="6">
        <v>1213.48</v>
      </c>
      <c r="AI911" s="6">
        <f t="shared" si="235"/>
        <v>1318.9230000000002</v>
      </c>
      <c r="AJ911" s="11">
        <f t="shared" si="236"/>
        <v>0.37571625983535323</v>
      </c>
      <c r="AK911" s="11" t="str">
        <f t="shared" si="237"/>
        <v>August</v>
      </c>
      <c r="AL911" s="12">
        <f t="shared" si="238"/>
        <v>2024</v>
      </c>
      <c r="AM911" s="6" t="s">
        <v>54</v>
      </c>
      <c r="AN911" s="6" t="s">
        <v>145</v>
      </c>
      <c r="AO911" s="6" t="str">
        <f t="shared" si="230"/>
        <v>Returned</v>
      </c>
    </row>
    <row r="912" spans="1:41">
      <c r="A912" s="6" t="s">
        <v>728</v>
      </c>
      <c r="B912" s="7" t="s">
        <v>729</v>
      </c>
      <c r="C912" s="8">
        <v>45436</v>
      </c>
      <c r="D912" s="7" t="s">
        <v>730</v>
      </c>
      <c r="E912" s="9">
        <v>45437</v>
      </c>
      <c r="F912" s="9" t="str">
        <f t="shared" si="223"/>
        <v>Valid</v>
      </c>
      <c r="G912" s="10">
        <f t="shared" si="224"/>
        <v>1</v>
      </c>
      <c r="H912" s="10" t="str">
        <f t="shared" si="225"/>
        <v>Valid</v>
      </c>
      <c r="I912" s="6" t="s">
        <v>731</v>
      </c>
      <c r="J912" s="6" t="s">
        <v>188</v>
      </c>
      <c r="K912" s="6" t="s">
        <v>188</v>
      </c>
      <c r="L912" s="6" t="s">
        <v>61</v>
      </c>
      <c r="M912" s="7" t="str">
        <f t="shared" si="226"/>
        <v>Small Business</v>
      </c>
      <c r="N912" s="6" t="s">
        <v>732</v>
      </c>
      <c r="O912" s="7" t="str">
        <f t="shared" si="227"/>
        <v>North</v>
      </c>
      <c r="P912" s="6" t="s">
        <v>174</v>
      </c>
      <c r="Q912" s="6" t="s">
        <v>175</v>
      </c>
      <c r="R912" s="6" t="s">
        <v>106</v>
      </c>
      <c r="S912" s="7" t="str">
        <f t="shared" si="228"/>
        <v>Technology</v>
      </c>
      <c r="T912" s="6" t="s">
        <v>114</v>
      </c>
      <c r="U912" s="6" t="s">
        <v>733</v>
      </c>
      <c r="V912" s="6" t="s">
        <v>68</v>
      </c>
      <c r="W912" s="7" t="str">
        <f t="shared" si="229"/>
        <v>Same Day</v>
      </c>
      <c r="X912" s="6">
        <v>1</v>
      </c>
      <c r="Y912" s="6">
        <v>634.13</v>
      </c>
      <c r="Z912" s="6">
        <v>0</v>
      </c>
      <c r="AA912" s="6">
        <f t="shared" si="231"/>
        <v>0</v>
      </c>
      <c r="AB912" s="6" t="str">
        <f t="shared" si="232"/>
        <v>Valid</v>
      </c>
      <c r="AC912" s="6">
        <v>808.67</v>
      </c>
      <c r="AD912" s="6" t="str">
        <f>IF(OR(AO912="Cancelled",AM912="Failed"),"Exclude from Completed Sales","Include in Completed Sales")</f>
        <v>Include in Completed Sales</v>
      </c>
      <c r="AE912" s="6">
        <f t="shared" si="233"/>
        <v>634.13</v>
      </c>
      <c r="AF912" s="6" t="str">
        <f t="shared" si="234"/>
        <v>Refunded</v>
      </c>
      <c r="AG912" s="6">
        <v>453.35</v>
      </c>
      <c r="AH912" s="6">
        <v>180.78</v>
      </c>
      <c r="AI912" s="6">
        <f t="shared" si="235"/>
        <v>180.77999999999997</v>
      </c>
      <c r="AJ912" s="11">
        <f t="shared" si="236"/>
        <v>0.28508350022865969</v>
      </c>
      <c r="AK912" s="11" t="str">
        <f t="shared" si="237"/>
        <v>May</v>
      </c>
      <c r="AL912" s="12">
        <f t="shared" si="238"/>
        <v>2024</v>
      </c>
      <c r="AM912" s="6" t="s">
        <v>144</v>
      </c>
      <c r="AN912" s="6" t="s">
        <v>145</v>
      </c>
      <c r="AO912" s="6" t="str">
        <f t="shared" si="230"/>
        <v>Returned</v>
      </c>
    </row>
    <row r="913" spans="1:41">
      <c r="A913" s="6" t="s">
        <v>1717</v>
      </c>
      <c r="B913" s="7" t="s">
        <v>1718</v>
      </c>
      <c r="C913" s="8">
        <v>45824</v>
      </c>
      <c r="D913" s="7" t="s">
        <v>1719</v>
      </c>
      <c r="E913" s="9">
        <v>45826</v>
      </c>
      <c r="F913" s="9" t="str">
        <f t="shared" si="223"/>
        <v>Valid</v>
      </c>
      <c r="G913" s="10">
        <f t="shared" si="224"/>
        <v>2</v>
      </c>
      <c r="H913" s="10" t="str">
        <f t="shared" si="225"/>
        <v>Valid</v>
      </c>
      <c r="I913" s="6" t="s">
        <v>1720</v>
      </c>
      <c r="J913" s="6" t="s">
        <v>168</v>
      </c>
      <c r="K913" s="6" t="s">
        <v>168</v>
      </c>
      <c r="L913" s="6" t="s">
        <v>135</v>
      </c>
      <c r="M913" s="7" t="str">
        <f t="shared" si="226"/>
        <v>Home Office</v>
      </c>
      <c r="N913" s="6" t="s">
        <v>93</v>
      </c>
      <c r="O913" s="7" t="str">
        <f t="shared" si="227"/>
        <v>West</v>
      </c>
      <c r="P913" s="6" t="s">
        <v>104</v>
      </c>
      <c r="Q913" s="6" t="s">
        <v>105</v>
      </c>
      <c r="R913" s="6" t="s">
        <v>50</v>
      </c>
      <c r="S913" s="7" t="str">
        <f t="shared" si="228"/>
        <v>Office Supplies</v>
      </c>
      <c r="T913" s="6" t="s">
        <v>51</v>
      </c>
      <c r="U913" s="6" t="s">
        <v>1721</v>
      </c>
      <c r="V913" s="6" t="s">
        <v>76</v>
      </c>
      <c r="W913" s="7" t="str">
        <f t="shared" si="229"/>
        <v>First Class</v>
      </c>
      <c r="X913" s="6">
        <v>3</v>
      </c>
      <c r="Y913" s="6">
        <v>4289.37</v>
      </c>
      <c r="Z913" s="6">
        <v>0.1</v>
      </c>
      <c r="AA913" s="6">
        <f t="shared" si="231"/>
        <v>0.1</v>
      </c>
      <c r="AB913" s="6" t="str">
        <f t="shared" si="232"/>
        <v>Valid</v>
      </c>
      <c r="AC913" s="6">
        <v>11778.71</v>
      </c>
      <c r="AD913" s="6" t="str">
        <f>IF(OR(AO913="Cancelled",AM913="Failed"),"Exclude from Completed Sales","Include in Completed Sales")</f>
        <v>Include in Completed Sales</v>
      </c>
      <c r="AE913" s="6">
        <f t="shared" si="233"/>
        <v>11581.299000000001</v>
      </c>
      <c r="AF913" s="6" t="str">
        <f t="shared" si="234"/>
        <v/>
      </c>
      <c r="AG913" s="6">
        <v>6829.43</v>
      </c>
      <c r="AH913" s="6">
        <v>4751.87</v>
      </c>
      <c r="AI913" s="6">
        <f t="shared" si="235"/>
        <v>4751.8690000000006</v>
      </c>
      <c r="AJ913" s="11">
        <f t="shared" si="236"/>
        <v>0.41030535521101735</v>
      </c>
      <c r="AK913" s="11" t="str">
        <f t="shared" si="237"/>
        <v>June</v>
      </c>
      <c r="AL913" s="12">
        <f t="shared" si="238"/>
        <v>2025</v>
      </c>
      <c r="AM913" s="6" t="s">
        <v>54</v>
      </c>
      <c r="AN913" s="6" t="s">
        <v>145</v>
      </c>
      <c r="AO913" s="6" t="str">
        <f t="shared" si="230"/>
        <v>Returned</v>
      </c>
    </row>
  </sheetData>
  <conditionalFormatting sqref="A1:A913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</dc:creator>
  <cp:lastModifiedBy>hi</cp:lastModifiedBy>
  <dcterms:created xsi:type="dcterms:W3CDTF">2026-06-26T15:20:11Z</dcterms:created>
  <dcterms:modified xsi:type="dcterms:W3CDTF">2026-06-27T04:57:54Z</dcterms:modified>
</cp:coreProperties>
</file>