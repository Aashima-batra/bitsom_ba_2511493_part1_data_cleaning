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1075" windowHeight="6480" firstSheet="3" activeTab="6"/>
  </bookViews>
  <sheets>
    <sheet name="Missing_value_summary" sheetId="2" r:id="rId1"/>
    <sheet name="Duplicate_Summary" sheetId="1" r:id="rId2"/>
    <sheet name="Invalid_discount_summary" sheetId="3" r:id="rId3"/>
    <sheet name="Date_issue_summary" sheetId="4" r:id="rId4"/>
    <sheet name="Order_status_issue_summary" sheetId="5" r:id="rId5"/>
    <sheet name="Sales_Profit_Mismatch" sheetId="6" r:id="rId6"/>
    <sheet name="Clean_vs_Flagged" sheetId="7" r:id="rId7"/>
  </sheets>
  <externalReferences>
    <externalReference r:id="rId8"/>
  </externalReferences>
  <calcPr calcId="144525"/>
</workbook>
</file>

<file path=xl/calcChain.xml><?xml version="1.0" encoding="utf-8"?>
<calcChain xmlns="http://schemas.openxmlformats.org/spreadsheetml/2006/main">
  <c r="B5" i="7" l="1"/>
  <c r="B6" i="7"/>
  <c r="B7" i="7"/>
  <c r="B4" i="6"/>
  <c r="B5" i="6"/>
  <c r="B12" i="5"/>
  <c r="B13" i="5"/>
  <c r="B14" i="5"/>
  <c r="B6" i="5"/>
  <c r="B5" i="5"/>
  <c r="B4" i="5"/>
  <c r="B6" i="4"/>
  <c r="B5" i="4"/>
  <c r="B4" i="4"/>
  <c r="B7" i="4" s="1"/>
  <c r="B8" i="2"/>
  <c r="B7" i="2"/>
  <c r="B6" i="2"/>
  <c r="B5" i="2"/>
  <c r="B4" i="2"/>
  <c r="B8" i="3"/>
  <c r="B7" i="3"/>
  <c r="B6" i="3"/>
  <c r="B9" i="3" s="1"/>
  <c r="B9" i="2" l="1"/>
</calcChain>
</file>

<file path=xl/sharedStrings.xml><?xml version="1.0" encoding="utf-8"?>
<sst xmlns="http://schemas.openxmlformats.org/spreadsheetml/2006/main" count="68" uniqueCount="55">
  <si>
    <t>Metric</t>
  </si>
  <si>
    <t>Value</t>
  </si>
  <si>
    <t>Exact Duplicate Rows Found</t>
  </si>
  <si>
    <t>Duplicate Order IDs Found</t>
  </si>
  <si>
    <t>Records Removed</t>
  </si>
  <si>
    <t>Records Flagged for Review</t>
  </si>
  <si>
    <t>Duplicate Handling Logic</t>
  </si>
  <si>
    <t>Exact duplicate rows were removed. Duplicate Order IDs were retained and flagged for manual review to prevent accidental data loss.</t>
  </si>
  <si>
    <t>Column Name</t>
  </si>
  <si>
    <t>Missing Count</t>
  </si>
  <si>
    <t>Region</t>
  </si>
  <si>
    <t>Ship Mode</t>
  </si>
  <si>
    <t>Discount</t>
  </si>
  <si>
    <t>Order Date</t>
  </si>
  <si>
    <t>Ship Date</t>
  </si>
  <si>
    <t xml:space="preserve">                            Missing Value Summary</t>
  </si>
  <si>
    <t xml:space="preserve">                                       Duplicate Summary Report</t>
  </si>
  <si>
    <t>Valid</t>
  </si>
  <si>
    <t xml:space="preserve">               Invalid Discount Summary</t>
  </si>
  <si>
    <t>Total Missing Values</t>
  </si>
  <si>
    <t>Date Status</t>
  </si>
  <si>
    <t>Invalid Shipping Record</t>
  </si>
  <si>
    <t>Missing Date</t>
  </si>
  <si>
    <t xml:space="preserve">                  Date Issue Summary</t>
  </si>
  <si>
    <t>Status</t>
  </si>
  <si>
    <t>Completed</t>
  </si>
  <si>
    <t>Cancelled</t>
  </si>
  <si>
    <t>Returned</t>
  </si>
  <si>
    <t>Paid</t>
  </si>
  <si>
    <t>Refunded</t>
  </si>
  <si>
    <t xml:space="preserve">              Order Status Issue Summary</t>
  </si>
  <si>
    <t>Sales Mismatch</t>
  </si>
  <si>
    <t>Profit Mismatch</t>
  </si>
  <si>
    <t xml:space="preserve">                  Sales Profit Mismatch </t>
  </si>
  <si>
    <t>Record Type</t>
  </si>
  <si>
    <t>Discount Status</t>
  </si>
  <si>
    <t>Record Count</t>
  </si>
  <si>
    <t>Negative Discount</t>
  </si>
  <si>
    <t>Discount Above Limit</t>
  </si>
  <si>
    <t>Total Records Checked</t>
  </si>
  <si>
    <t>Formula</t>
  </si>
  <si>
    <t>Observation</t>
  </si>
  <si>
    <t>Observation:-</t>
  </si>
  <si>
    <t>Date fields were validated during the cleaning process. Invalid shipping records and missing dates were identified and documented based on predefined business rules.</t>
  </si>
  <si>
    <t>Failed</t>
  </si>
  <si>
    <t>Total Records</t>
  </si>
  <si>
    <t>Records with Date Issues</t>
  </si>
  <si>
    <t>Valid Records</t>
  </si>
  <si>
    <t xml:space="preserve">Final Clean vs Flagged Record Count </t>
  </si>
  <si>
    <t>The final dataset was reviewed after all cleaning and validation steps. Clean records were retained for analysis, while records with identified data quality issues were flagged for further review. This summary provides an overview of the final dataset quality before analysis.</t>
  </si>
  <si>
    <t>Sales and profit values were compared against recalculated values to verify calculation accuracy. Any mismatches identified may indicate data entry errors, formula inconsistencies, or rounding differences and should be investigated further.</t>
  </si>
  <si>
    <t>Order and payment statuses were reviewed to identify completed, cancelled, returned, paid, failed, and refunded transactions. This summary provides visibility into operational performance and transaction outcomes.</t>
  </si>
  <si>
    <t>Discount values were validated against the defined business rules. Negative and out-of-range discount values were identified and flagged for review, while valid discount values were retained to ensure accurate sales calculations.</t>
  </si>
  <si>
    <t>Missing values were assessed across the selected fields after data cleaning. Missing categorical values were standardized using predefined business rules (e.g., replacing missing values with "Unknown" where applicable), while date and numeric fields were validated separately to improve overall data quality.</t>
  </si>
  <si>
    <r>
      <t xml:space="preserve">Exact duplicate records were identified and removed using Excel's </t>
    </r>
    <r>
      <rPr>
        <b/>
        <sz val="11"/>
        <color theme="1"/>
        <rFont val="Calibri"/>
        <family val="2"/>
        <scheme val="minor"/>
      </rPr>
      <t>Remove Duplicates</t>
    </r>
    <r>
      <rPr>
        <sz val="11"/>
        <color theme="1"/>
        <rFont val="Calibri"/>
        <family val="2"/>
        <scheme val="minor"/>
      </rPr>
      <t xml:space="preserve"> feature. Duplicate Order IDs were reviewed carefully to avoid deleting legitimate repeat transactions. This process improved data consistency and reduced redundancy.</t>
    </r>
  </si>
</sst>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1"/>
      <color theme="1"/>
      <name val="Calibri"/>
      <family val="2"/>
      <scheme val="minor"/>
    </font>
    <font>
      <sz val="20"/>
      <color theme="1"/>
      <name val="Calibri"/>
      <family val="2"/>
      <scheme val="minor"/>
    </font>
    <font>
      <b/>
      <sz val="20"/>
      <color theme="4" tint="-0.249977111117893"/>
      <name val="Calibri"/>
      <family val="2"/>
      <scheme val="minor"/>
    </font>
    <font>
      <sz val="20"/>
      <color theme="4" tint="-0.249977111117893"/>
      <name val="Calibri"/>
      <family val="2"/>
      <scheme val="minor"/>
    </font>
    <font>
      <sz val="11"/>
      <color theme="4" tint="-0.249977111117893"/>
      <name val="Calibri"/>
      <family val="2"/>
      <scheme val="minor"/>
    </font>
    <font>
      <b/>
      <sz val="20"/>
      <color rgb="FFFFFF00"/>
      <name val="Calibri"/>
      <family val="2"/>
      <scheme val="minor"/>
    </font>
    <font>
      <b/>
      <sz val="20"/>
      <color rgb="FF00B050"/>
      <name val="Calibri"/>
      <family val="2"/>
      <scheme val="minor"/>
    </font>
    <font>
      <sz val="11"/>
      <color rgb="FF00B050"/>
      <name val="Calibri"/>
      <family val="2"/>
      <scheme val="minor"/>
    </font>
    <font>
      <sz val="10"/>
      <color theme="1"/>
      <name val="Arial Unicode MS"/>
      <family val="2"/>
    </font>
    <font>
      <b/>
      <sz val="20"/>
      <color rgb="FF7030A0"/>
      <name val="Calibri"/>
      <family val="2"/>
      <scheme val="minor"/>
    </font>
    <font>
      <sz val="11"/>
      <color rgb="FF7030A0"/>
      <name val="Calibri"/>
      <family val="2"/>
      <scheme val="minor"/>
    </font>
    <font>
      <b/>
      <sz val="20"/>
      <color theme="9" tint="-0.249977111117893"/>
      <name val="Calibri"/>
      <family val="2"/>
      <scheme val="minor"/>
    </font>
    <font>
      <b/>
      <sz val="20"/>
      <color theme="0"/>
      <name val="Calibri"/>
      <family val="2"/>
      <scheme val="minor"/>
    </font>
    <font>
      <sz val="11"/>
      <color theme="0"/>
      <name val="Calibri"/>
      <family val="2"/>
      <scheme val="minor"/>
    </font>
    <font>
      <b/>
      <sz val="13.5"/>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3" tint="-0.249977111117893"/>
        <bgColor indexed="64"/>
      </patternFill>
    </fill>
    <fill>
      <patternFill patternType="solid">
        <fgColor theme="6" tint="-0.499984740745262"/>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wrapText="1"/>
    </xf>
    <xf numFmtId="0" fontId="1" fillId="0" borderId="0" xfId="0" applyFont="1"/>
    <xf numFmtId="0" fontId="1" fillId="2" borderId="1" xfId="0" applyFont="1" applyFill="1" applyBorder="1" applyAlignment="1">
      <alignment horizontal="center" vertical="center" wrapText="1"/>
    </xf>
    <xf numFmtId="0" fontId="2" fillId="0" borderId="0" xfId="0" applyFont="1"/>
    <xf numFmtId="0" fontId="3" fillId="0" borderId="0" xfId="0" applyFont="1"/>
    <xf numFmtId="0" fontId="4" fillId="0" borderId="0" xfId="0" applyFont="1"/>
    <xf numFmtId="0" fontId="1" fillId="3" borderId="1" xfId="0" applyFont="1" applyFill="1" applyBorder="1" applyAlignment="1">
      <alignment horizontal="center" vertical="center" wrapText="1"/>
    </xf>
    <xf numFmtId="0" fontId="5" fillId="0" borderId="0" xfId="0" applyFont="1"/>
    <xf numFmtId="0" fontId="7" fillId="0" borderId="0" xfId="0" applyFont="1"/>
    <xf numFmtId="0" fontId="8" fillId="0" borderId="0" xfId="0" applyFont="1"/>
    <xf numFmtId="0" fontId="0" fillId="0" borderId="1" xfId="0" applyBorder="1" applyAlignment="1">
      <alignment horizontal="center"/>
    </xf>
    <xf numFmtId="0" fontId="9" fillId="0" borderId="0" xfId="0" applyFont="1" applyAlignment="1">
      <alignment vertical="center" wrapText="1"/>
    </xf>
    <xf numFmtId="0" fontId="0" fillId="0" borderId="0" xfId="0" applyAlignment="1">
      <alignment horizontal="left" vertical="center" indent="1"/>
    </xf>
    <xf numFmtId="0" fontId="10" fillId="0" borderId="0" xfId="0" applyFont="1"/>
    <xf numFmtId="0" fontId="11" fillId="0" borderId="0" xfId="0" applyFont="1"/>
    <xf numFmtId="0" fontId="12" fillId="0" borderId="0" xfId="0" applyFont="1"/>
    <xf numFmtId="0" fontId="13" fillId="4" borderId="0" xfId="0" applyFont="1" applyFill="1"/>
    <xf numFmtId="0" fontId="6" fillId="5" borderId="0" xfId="0" applyFont="1" applyFill="1"/>
    <xf numFmtId="0" fontId="0" fillId="0" borderId="0" xfId="0" applyAlignment="1">
      <alignment horizontal="center" vertical="center" wrapText="1"/>
    </xf>
    <xf numFmtId="0" fontId="1" fillId="0" borderId="0" xfId="0" applyFont="1" applyAlignment="1">
      <alignment vertical="center" wrapText="1"/>
    </xf>
    <xf numFmtId="0" fontId="1" fillId="0" borderId="0" xfId="0" applyFont="1" applyFill="1" applyBorder="1" applyAlignment="1">
      <alignment horizontal="left" vertical="center" wrapText="1"/>
    </xf>
    <xf numFmtId="0" fontId="0" fillId="0" borderId="0" xfId="0" applyBorder="1"/>
    <xf numFmtId="0" fontId="1" fillId="9" borderId="1" xfId="0" applyFont="1" applyFill="1" applyBorder="1" applyAlignment="1">
      <alignment horizontal="center" vertical="center" wrapText="1"/>
    </xf>
    <xf numFmtId="0" fontId="13" fillId="10" borderId="0" xfId="0" applyFont="1" applyFill="1"/>
    <xf numFmtId="0" fontId="13" fillId="11" borderId="0" xfId="0" applyFont="1" applyFill="1"/>
    <xf numFmtId="0" fontId="14" fillId="11" borderId="0" xfId="0" applyFont="1" applyFill="1"/>
    <xf numFmtId="0" fontId="1" fillId="8" borderId="0" xfId="0" applyFont="1" applyFill="1" applyAlignment="1">
      <alignment horizontal="center" vertical="center" wrapText="1"/>
    </xf>
    <xf numFmtId="0" fontId="9" fillId="0" borderId="0" xfId="0" applyFont="1" applyAlignment="1">
      <alignment horizontal="center" vertical="center" wrapText="1"/>
    </xf>
    <xf numFmtId="0" fontId="0" fillId="0" borderId="0" xfId="0" applyBorder="1" applyAlignment="1">
      <alignment horizontal="center" vertical="center" wrapText="1"/>
    </xf>
    <xf numFmtId="0" fontId="9" fillId="0" borderId="0" xfId="0" applyFont="1" applyBorder="1" applyAlignment="1">
      <alignment horizontal="center" vertical="center" wrapText="1"/>
    </xf>
    <xf numFmtId="0" fontId="0" fillId="0" borderId="0" xfId="0" applyBorder="1" applyAlignment="1">
      <alignment horizontal="center"/>
    </xf>
    <xf numFmtId="0" fontId="9" fillId="0" borderId="1" xfId="0" applyFont="1" applyBorder="1" applyAlignment="1">
      <alignment horizontal="center" vertical="center" wrapText="1"/>
    </xf>
    <xf numFmtId="0" fontId="1" fillId="7" borderId="0" xfId="0" applyFont="1" applyFill="1" applyAlignment="1">
      <alignment horizontal="center" vertical="center" wrapText="1"/>
    </xf>
    <xf numFmtId="0" fontId="0" fillId="0" borderId="0" xfId="0" applyAlignment="1">
      <alignment horizontal="center"/>
    </xf>
    <xf numFmtId="0" fontId="1" fillId="12" borderId="0" xfId="0" applyFont="1" applyFill="1" applyAlignment="1">
      <alignment horizontal="center" vertical="center" wrapText="1"/>
    </xf>
    <xf numFmtId="0" fontId="15" fillId="0" borderId="0" xfId="0" applyFont="1" applyAlignment="1">
      <alignment vertical="center"/>
    </xf>
    <xf numFmtId="0" fontId="1" fillId="6"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AppData/Local/Microsoft/Olk/Attachments/ooa-e2d55b45-ff30-48db-a085-135b7682cd49/404e1529c6ede3ea2110c6cf5e7083558e738fa33b0f2a3de9fd6ebab83180ea/cleaned_orders_aashim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eaned_orders"/>
      <sheetName val="business_rules"/>
    </sheetNames>
    <sheetDataSet>
      <sheetData sheetId="0">
        <row r="2">
          <cell r="A2" t="str">
            <v>ORD-2024-10001</v>
          </cell>
          <cell r="B2" t="str">
            <v>21 Jul 2024</v>
          </cell>
          <cell r="D2" t="str">
            <v>07/27/2024</v>
          </cell>
          <cell r="F2" t="str">
            <v>Valid</v>
          </cell>
          <cell r="H2" t="str">
            <v>Valid</v>
          </cell>
          <cell r="N2" t="str">
            <v>North</v>
          </cell>
          <cell r="V2" t="str">
            <v>Second Class</v>
          </cell>
          <cell r="Z2">
            <v>0.2</v>
          </cell>
          <cell r="AB2" t="str">
            <v>Valid</v>
          </cell>
          <cell r="AC2">
            <v>19049.28</v>
          </cell>
          <cell r="AE2">
            <v>19049.28</v>
          </cell>
          <cell r="AH2">
            <v>15841.89</v>
          </cell>
          <cell r="AI2">
            <v>3207.39</v>
          </cell>
          <cell r="AO2" t="str">
            <v>Paid</v>
          </cell>
          <cell r="AP2" t="str">
            <v>Completed</v>
          </cell>
        </row>
        <row r="3">
          <cell r="A3" t="str">
            <v>ORD-2024-10002</v>
          </cell>
          <cell r="B3" t="str">
            <v>08/31/2024</v>
          </cell>
          <cell r="D3" t="str">
            <v>05 Sep 2024</v>
          </cell>
          <cell r="F3" t="str">
            <v>Valid</v>
          </cell>
          <cell r="H3" t="str">
            <v>Valid</v>
          </cell>
          <cell r="N3" t="str">
            <v>East</v>
          </cell>
          <cell r="V3" t="str">
            <v>Same Day</v>
          </cell>
          <cell r="Z3">
            <v>0</v>
          </cell>
          <cell r="AB3" t="str">
            <v>Valid</v>
          </cell>
          <cell r="AC3">
            <v>7312.5</v>
          </cell>
          <cell r="AE3">
            <v>7312.5</v>
          </cell>
          <cell r="AH3">
            <v>4904.7299999999996</v>
          </cell>
          <cell r="AI3">
            <v>2407.77</v>
          </cell>
          <cell r="AO3" t="str">
            <v>Paid</v>
          </cell>
          <cell r="AP3" t="str">
            <v>Completed</v>
          </cell>
        </row>
        <row r="4">
          <cell r="A4" t="str">
            <v>ORD-2024-10003</v>
          </cell>
          <cell r="B4" t="str">
            <v>06/08/2024</v>
          </cell>
          <cell r="D4" t="str">
            <v>15 Jun 2024</v>
          </cell>
          <cell r="F4" t="str">
            <v>Valid</v>
          </cell>
          <cell r="H4" t="str">
            <v>Valid</v>
          </cell>
          <cell r="N4" t="str">
            <v>East</v>
          </cell>
          <cell r="V4" t="str">
            <v>First Class</v>
          </cell>
          <cell r="Z4">
            <v>0.55000000000000004</v>
          </cell>
          <cell r="AB4" t="str">
            <v>Valid</v>
          </cell>
          <cell r="AC4">
            <v>4261.72</v>
          </cell>
          <cell r="AE4">
            <v>1917.7739999999999</v>
          </cell>
          <cell r="AH4">
            <v>2465.69</v>
          </cell>
          <cell r="AI4">
            <v>1796.03</v>
          </cell>
          <cell r="AO4" t="str">
            <v>Paid</v>
          </cell>
          <cell r="AP4" t="str">
            <v>Completed</v>
          </cell>
        </row>
        <row r="5">
          <cell r="A5" t="str">
            <v>ORD-2024-10004</v>
          </cell>
          <cell r="B5" t="str">
            <v>28-11-2024</v>
          </cell>
          <cell r="D5" t="str">
            <v>11/29/2024</v>
          </cell>
          <cell r="F5" t="str">
            <v>Valid</v>
          </cell>
          <cell r="H5" t="str">
            <v>Valid</v>
          </cell>
          <cell r="N5" t="str">
            <v>South</v>
          </cell>
          <cell r="V5" t="str">
            <v>Standard Class</v>
          </cell>
          <cell r="Z5">
            <v>0.25</v>
          </cell>
          <cell r="AB5" t="str">
            <v>Valid</v>
          </cell>
          <cell r="AC5">
            <v>8317.93</v>
          </cell>
          <cell r="AE5">
            <v>8317.9349999999995</v>
          </cell>
          <cell r="AH5">
            <v>6796.77</v>
          </cell>
          <cell r="AI5">
            <v>1521.16</v>
          </cell>
          <cell r="AO5" t="str">
            <v>Paid</v>
          </cell>
          <cell r="AP5" t="str">
            <v>Completed</v>
          </cell>
        </row>
        <row r="6">
          <cell r="A6" t="str">
            <v>ORD-2025-10005</v>
          </cell>
          <cell r="B6" t="str">
            <v>29 Aug 2025</v>
          </cell>
          <cell r="D6" t="str">
            <v>2025-09-01</v>
          </cell>
          <cell r="F6" t="str">
            <v>Valid</v>
          </cell>
          <cell r="H6" t="str">
            <v>Valid</v>
          </cell>
          <cell r="N6" t="str">
            <v>West</v>
          </cell>
          <cell r="V6" t="str">
            <v>First Class</v>
          </cell>
          <cell r="Z6">
            <v>0</v>
          </cell>
          <cell r="AB6" t="str">
            <v>Valid</v>
          </cell>
          <cell r="AC6">
            <v>20816.32</v>
          </cell>
          <cell r="AE6">
            <v>20816.32</v>
          </cell>
          <cell r="AH6">
            <v>17705.37</v>
          </cell>
          <cell r="AI6">
            <v>3110.95</v>
          </cell>
          <cell r="AO6" t="str">
            <v>Paid</v>
          </cell>
          <cell r="AP6" t="str">
            <v>Cancelled</v>
          </cell>
        </row>
        <row r="7">
          <cell r="A7" t="str">
            <v>ORD-2024-10006</v>
          </cell>
          <cell r="B7" t="str">
            <v>2024-05-24</v>
          </cell>
          <cell r="D7" t="str">
            <v>28-05-2024</v>
          </cell>
          <cell r="F7" t="str">
            <v>Valid</v>
          </cell>
          <cell r="H7" t="str">
            <v>Valid</v>
          </cell>
          <cell r="N7" t="str">
            <v>West</v>
          </cell>
          <cell r="V7" t="str">
            <v>Same Day</v>
          </cell>
          <cell r="Z7">
            <v>0.2</v>
          </cell>
          <cell r="AB7" t="str">
            <v>Valid</v>
          </cell>
          <cell r="AC7">
            <v>2527.46</v>
          </cell>
          <cell r="AE7">
            <v>2527.4639999999999</v>
          </cell>
          <cell r="AH7">
            <v>1533.58</v>
          </cell>
          <cell r="AI7">
            <v>993.88</v>
          </cell>
          <cell r="AO7" t="str">
            <v>Paid</v>
          </cell>
          <cell r="AP7" t="str">
            <v>Completed</v>
          </cell>
        </row>
        <row r="8">
          <cell r="A8" t="str">
            <v>ORD-2025-10007</v>
          </cell>
          <cell r="B8" t="str">
            <v>04/10/2025</v>
          </cell>
          <cell r="D8" t="str">
            <v>04/16/2025</v>
          </cell>
          <cell r="F8" t="str">
            <v>Valid</v>
          </cell>
          <cell r="H8" t="str">
            <v>Valid</v>
          </cell>
          <cell r="N8" t="str">
            <v>East</v>
          </cell>
          <cell r="V8" t="str">
            <v>Standard Class</v>
          </cell>
          <cell r="Z8">
            <v>0.15</v>
          </cell>
          <cell r="AB8" t="str">
            <v>Valid</v>
          </cell>
          <cell r="AC8">
            <v>5847.56</v>
          </cell>
          <cell r="AE8">
            <v>5847.5579999999991</v>
          </cell>
          <cell r="AH8">
            <v>4727.25</v>
          </cell>
          <cell r="AI8">
            <v>1120.31</v>
          </cell>
          <cell r="AO8" t="str">
            <v>Paid</v>
          </cell>
          <cell r="AP8" t="str">
            <v>Completed</v>
          </cell>
        </row>
        <row r="9">
          <cell r="A9" t="str">
            <v>ORD-2025-10008</v>
          </cell>
          <cell r="B9" t="str">
            <v>2025-02-23</v>
          </cell>
          <cell r="D9" t="str">
            <v>26-02-2025</v>
          </cell>
          <cell r="F9" t="str">
            <v>Valid</v>
          </cell>
          <cell r="H9" t="str">
            <v>Valid</v>
          </cell>
          <cell r="N9" t="str">
            <v>South</v>
          </cell>
          <cell r="V9" t="str">
            <v>First Class</v>
          </cell>
          <cell r="Z9">
            <v>0</v>
          </cell>
          <cell r="AB9" t="str">
            <v>Valid</v>
          </cell>
          <cell r="AC9">
            <v>2980.71</v>
          </cell>
          <cell r="AE9">
            <v>2980.71</v>
          </cell>
          <cell r="AH9">
            <v>2357.2199999999998</v>
          </cell>
          <cell r="AI9">
            <v>623.49</v>
          </cell>
          <cell r="AO9" t="str">
            <v>Paid</v>
          </cell>
          <cell r="AP9" t="str">
            <v>Completed</v>
          </cell>
        </row>
        <row r="10">
          <cell r="A10" t="str">
            <v>ORD-2024-10009</v>
          </cell>
          <cell r="B10" t="str">
            <v>11/05/2024</v>
          </cell>
          <cell r="D10" t="str">
            <v>11/10/2024</v>
          </cell>
          <cell r="F10" t="str">
            <v>Valid</v>
          </cell>
          <cell r="H10" t="str">
            <v>Valid</v>
          </cell>
          <cell r="N10" t="str">
            <v>South</v>
          </cell>
          <cell r="V10" t="str">
            <v>First Class</v>
          </cell>
          <cell r="Z10">
            <v>0</v>
          </cell>
          <cell r="AB10" t="str">
            <v>Valid</v>
          </cell>
          <cell r="AC10">
            <v>25073.599999999999</v>
          </cell>
          <cell r="AE10">
            <v>25073.599999999999</v>
          </cell>
          <cell r="AH10">
            <v>17347.23</v>
          </cell>
          <cell r="AI10">
            <v>7726.37</v>
          </cell>
          <cell r="AO10" t="str">
            <v>Paid</v>
          </cell>
          <cell r="AP10" t="str">
            <v>Completed</v>
          </cell>
        </row>
        <row r="11">
          <cell r="A11" t="str">
            <v>ORD-2025-10010</v>
          </cell>
          <cell r="B11" t="str">
            <v>07-09-2025</v>
          </cell>
          <cell r="D11" t="str">
            <v>09/12/2025</v>
          </cell>
          <cell r="F11" t="str">
            <v>Valid</v>
          </cell>
          <cell r="H11" t="str">
            <v>Valid</v>
          </cell>
          <cell r="N11" t="str">
            <v>South</v>
          </cell>
          <cell r="V11" t="str">
            <v>Second Class</v>
          </cell>
          <cell r="Z11">
            <v>0.2</v>
          </cell>
          <cell r="AB11" t="str">
            <v>Valid</v>
          </cell>
          <cell r="AC11">
            <v>6134.69</v>
          </cell>
          <cell r="AE11">
            <v>6134.6880000000001</v>
          </cell>
          <cell r="AH11">
            <v>3800.19</v>
          </cell>
          <cell r="AI11">
            <v>2334.5</v>
          </cell>
          <cell r="AO11" t="str">
            <v>Paid</v>
          </cell>
          <cell r="AP11" t="str">
            <v>Completed</v>
          </cell>
        </row>
        <row r="12">
          <cell r="A12" t="str">
            <v>ORD-2025-10011</v>
          </cell>
          <cell r="B12" t="str">
            <v>20 May 2025</v>
          </cell>
          <cell r="D12" t="str">
            <v>05/20/2025</v>
          </cell>
          <cell r="F12" t="str">
            <v>Valid</v>
          </cell>
          <cell r="H12" t="str">
            <v>Valid</v>
          </cell>
          <cell r="N12" t="str">
            <v>East</v>
          </cell>
          <cell r="V12" t="str">
            <v>Second Class</v>
          </cell>
          <cell r="Z12">
            <v>0.05</v>
          </cell>
          <cell r="AB12" t="str">
            <v>Valid</v>
          </cell>
          <cell r="AC12">
            <v>10074.27</v>
          </cell>
          <cell r="AE12">
            <v>10074.2655</v>
          </cell>
          <cell r="AH12">
            <v>6048.27</v>
          </cell>
          <cell r="AI12">
            <v>4026</v>
          </cell>
          <cell r="AO12" t="str">
            <v>Refunded</v>
          </cell>
          <cell r="AP12" t="str">
            <v>Returned</v>
          </cell>
        </row>
        <row r="13">
          <cell r="A13" t="str">
            <v>ORD-2024-10012</v>
          </cell>
          <cell r="B13" t="str">
            <v>2024-07-22</v>
          </cell>
          <cell r="D13" t="str">
            <v>23-07-2024</v>
          </cell>
          <cell r="F13" t="str">
            <v>Valid</v>
          </cell>
          <cell r="H13" t="str">
            <v>Valid</v>
          </cell>
          <cell r="N13" t="str">
            <v>East</v>
          </cell>
          <cell r="V13" t="str">
            <v>Same Day</v>
          </cell>
          <cell r="Z13">
            <v>0.2</v>
          </cell>
          <cell r="AB13" t="str">
            <v>Valid</v>
          </cell>
          <cell r="AC13">
            <v>9628.56</v>
          </cell>
          <cell r="AE13">
            <v>9628.5600000000013</v>
          </cell>
          <cell r="AH13">
            <v>8038.59</v>
          </cell>
          <cell r="AI13">
            <v>1589.97</v>
          </cell>
          <cell r="AO13" t="str">
            <v>Paid</v>
          </cell>
          <cell r="AP13" t="str">
            <v>Completed</v>
          </cell>
        </row>
        <row r="14">
          <cell r="A14" t="str">
            <v>ORD-2024-10013</v>
          </cell>
          <cell r="B14" t="str">
            <v>20 Dec 2024</v>
          </cell>
          <cell r="D14" t="str">
            <v>12/21/2024</v>
          </cell>
          <cell r="F14" t="str">
            <v>Valid</v>
          </cell>
          <cell r="H14" t="str">
            <v>Valid</v>
          </cell>
          <cell r="N14" t="str">
            <v>West</v>
          </cell>
          <cell r="V14" t="str">
            <v>First Class</v>
          </cell>
          <cell r="Z14">
            <v>0.15</v>
          </cell>
          <cell r="AB14" t="str">
            <v>Valid</v>
          </cell>
          <cell r="AC14">
            <v>596.82000000000005</v>
          </cell>
          <cell r="AE14">
            <v>596.81899999999996</v>
          </cell>
          <cell r="AH14">
            <v>380.25</v>
          </cell>
          <cell r="AI14">
            <v>216.57</v>
          </cell>
          <cell r="AO14" t="str">
            <v>Pending</v>
          </cell>
          <cell r="AP14" t="str">
            <v>Returned</v>
          </cell>
        </row>
        <row r="15">
          <cell r="A15" t="str">
            <v>ORD-2025-10014</v>
          </cell>
          <cell r="B15" t="str">
            <v>2025-10-12</v>
          </cell>
          <cell r="D15" t="str">
            <v>16-10-2025</v>
          </cell>
          <cell r="F15" t="str">
            <v>Valid</v>
          </cell>
          <cell r="H15" t="str">
            <v>Valid</v>
          </cell>
          <cell r="N15" t="str">
            <v>West</v>
          </cell>
          <cell r="V15" t="str">
            <v>Second Class</v>
          </cell>
          <cell r="Z15">
            <v>0.05</v>
          </cell>
          <cell r="AB15" t="str">
            <v>Valid</v>
          </cell>
          <cell r="AC15">
            <v>26365.39</v>
          </cell>
          <cell r="AE15">
            <v>26365.387999999995</v>
          </cell>
          <cell r="AH15">
            <v>22306.240000000002</v>
          </cell>
          <cell r="AI15">
            <v>4059.15</v>
          </cell>
          <cell r="AO15" t="str">
            <v>Paid</v>
          </cell>
          <cell r="AP15" t="str">
            <v>Completed</v>
          </cell>
        </row>
        <row r="16">
          <cell r="A16" t="str">
            <v>ORD-2024-10015</v>
          </cell>
          <cell r="B16" t="str">
            <v>27 Dec 2024</v>
          </cell>
          <cell r="D16" t="str">
            <v>12/28/2024</v>
          </cell>
          <cell r="F16" t="str">
            <v>Valid</v>
          </cell>
          <cell r="H16" t="str">
            <v>Valid</v>
          </cell>
          <cell r="N16" t="str">
            <v>West</v>
          </cell>
          <cell r="V16" t="str">
            <v>Standard Class</v>
          </cell>
          <cell r="Z16">
            <v>0.25</v>
          </cell>
          <cell r="AB16" t="str">
            <v>Valid</v>
          </cell>
          <cell r="AC16">
            <v>4106.74</v>
          </cell>
          <cell r="AE16">
            <v>4106.7449999999999</v>
          </cell>
          <cell r="AH16">
            <v>2666.3</v>
          </cell>
          <cell r="AI16">
            <v>1440.44</v>
          </cell>
          <cell r="AO16" t="str">
            <v>Paid</v>
          </cell>
          <cell r="AP16" t="str">
            <v>Completed</v>
          </cell>
        </row>
        <row r="17">
          <cell r="A17" t="str">
            <v>ORD-2024-10016</v>
          </cell>
          <cell r="B17" t="str">
            <v>07/09/2024</v>
          </cell>
          <cell r="D17" t="str">
            <v>09 Jul 2024</v>
          </cell>
          <cell r="F17" t="str">
            <v>Valid</v>
          </cell>
          <cell r="H17" t="str">
            <v>Valid</v>
          </cell>
          <cell r="N17" t="str">
            <v>North</v>
          </cell>
          <cell r="V17" t="str">
            <v>Second Class</v>
          </cell>
          <cell r="Z17">
            <v>0</v>
          </cell>
          <cell r="AB17" t="str">
            <v>Valid</v>
          </cell>
          <cell r="AC17">
            <v>23794.560000000001</v>
          </cell>
          <cell r="AE17">
            <v>23794.560000000001</v>
          </cell>
          <cell r="AH17">
            <v>15698.47</v>
          </cell>
          <cell r="AI17">
            <v>8096.09</v>
          </cell>
          <cell r="AO17" t="str">
            <v>Paid</v>
          </cell>
          <cell r="AP17" t="str">
            <v>Completed</v>
          </cell>
        </row>
        <row r="18">
          <cell r="A18" t="str">
            <v>ORD-2024-10017</v>
          </cell>
          <cell r="B18" t="str">
            <v>05/08/2024</v>
          </cell>
          <cell r="D18" t="str">
            <v>15-05-2024</v>
          </cell>
          <cell r="F18" t="str">
            <v>Valid</v>
          </cell>
          <cell r="H18" t="str">
            <v>Valid</v>
          </cell>
          <cell r="N18" t="str">
            <v>South</v>
          </cell>
          <cell r="V18" t="str">
            <v>First Class</v>
          </cell>
          <cell r="Z18">
            <v>0.25</v>
          </cell>
          <cell r="AB18" t="str">
            <v>Valid</v>
          </cell>
          <cell r="AC18">
            <v>9970.5300000000007</v>
          </cell>
          <cell r="AE18">
            <v>9970.5300000000007</v>
          </cell>
          <cell r="AH18">
            <v>5668.17</v>
          </cell>
          <cell r="AI18">
            <v>4302.3599999999997</v>
          </cell>
          <cell r="AO18" t="str">
            <v>Paid</v>
          </cell>
          <cell r="AP18" t="str">
            <v>Completed</v>
          </cell>
        </row>
        <row r="19">
          <cell r="A19" t="str">
            <v>ORD-2024-10018</v>
          </cell>
          <cell r="B19" t="str">
            <v>01/07/2024</v>
          </cell>
          <cell r="D19" t="str">
            <v>2024-01-08</v>
          </cell>
          <cell r="F19" t="str">
            <v>Valid</v>
          </cell>
          <cell r="H19" t="str">
            <v>Valid</v>
          </cell>
          <cell r="N19" t="str">
            <v>North</v>
          </cell>
          <cell r="V19" t="str">
            <v>Same Day</v>
          </cell>
          <cell r="Z19">
            <v>0</v>
          </cell>
          <cell r="AB19" t="str">
            <v>Valid</v>
          </cell>
          <cell r="AC19">
            <v>7633.9</v>
          </cell>
          <cell r="AE19">
            <v>7633.9</v>
          </cell>
          <cell r="AH19">
            <v>4706.91</v>
          </cell>
          <cell r="AI19">
            <v>2926.99</v>
          </cell>
          <cell r="AO19" t="str">
            <v>Paid</v>
          </cell>
          <cell r="AP19" t="str">
            <v>Completed</v>
          </cell>
        </row>
        <row r="20">
          <cell r="A20" t="str">
            <v>ORD-2025-10019</v>
          </cell>
          <cell r="B20" t="str">
            <v>07/15/2025</v>
          </cell>
          <cell r="D20" t="str">
            <v>17-07-2025</v>
          </cell>
          <cell r="F20" t="str">
            <v>Valid</v>
          </cell>
          <cell r="H20" t="str">
            <v>Valid</v>
          </cell>
          <cell r="N20" t="str">
            <v>North</v>
          </cell>
          <cell r="V20" t="str">
            <v>First Class</v>
          </cell>
          <cell r="Z20">
            <v>0</v>
          </cell>
          <cell r="AB20" t="str">
            <v>Valid</v>
          </cell>
          <cell r="AC20">
            <v>3995.98</v>
          </cell>
          <cell r="AE20">
            <v>3995.98</v>
          </cell>
          <cell r="AH20">
            <v>2633.2</v>
          </cell>
          <cell r="AI20">
            <v>1362.78</v>
          </cell>
          <cell r="AO20" t="str">
            <v>Refunded</v>
          </cell>
          <cell r="AP20" t="str">
            <v>Cancelled</v>
          </cell>
        </row>
        <row r="21">
          <cell r="A21" t="str">
            <v>ORD-2024-10020</v>
          </cell>
          <cell r="B21" t="str">
            <v>07/27/2024</v>
          </cell>
          <cell r="D21" t="str">
            <v>31 Jul 2024</v>
          </cell>
          <cell r="F21" t="str">
            <v>Valid</v>
          </cell>
          <cell r="H21" t="str">
            <v>Valid</v>
          </cell>
          <cell r="N21" t="str">
            <v>West</v>
          </cell>
          <cell r="V21" t="str">
            <v>Second Class</v>
          </cell>
          <cell r="Z21">
            <v>-0.19</v>
          </cell>
          <cell r="AB21" t="str">
            <v>Invalid - Negative Discount</v>
          </cell>
          <cell r="AC21">
            <v>9331.06</v>
          </cell>
          <cell r="AE21">
            <v>13879.9458</v>
          </cell>
          <cell r="AH21">
            <v>7529.31</v>
          </cell>
          <cell r="AI21">
            <v>1801.75</v>
          </cell>
          <cell r="AO21" t="str">
            <v>Paid</v>
          </cell>
          <cell r="AP21" t="str">
            <v>Completed</v>
          </cell>
        </row>
        <row r="22">
          <cell r="A22" t="str">
            <v>ORD-2025-10021</v>
          </cell>
          <cell r="B22" t="str">
            <v>21-01-2025</v>
          </cell>
          <cell r="D22" t="str">
            <v>23 Jan 2025</v>
          </cell>
          <cell r="F22" t="str">
            <v>Valid</v>
          </cell>
          <cell r="H22" t="str">
            <v>Valid</v>
          </cell>
          <cell r="N22" t="str">
            <v>East</v>
          </cell>
          <cell r="V22" t="str">
            <v>First Class</v>
          </cell>
          <cell r="Z22">
            <v>0.25</v>
          </cell>
          <cell r="AB22" t="str">
            <v>Valid</v>
          </cell>
          <cell r="AC22">
            <v>16398.98</v>
          </cell>
          <cell r="AE22">
            <v>16398.975000000002</v>
          </cell>
          <cell r="AH22">
            <v>9556.52</v>
          </cell>
          <cell r="AI22">
            <v>6842.46</v>
          </cell>
          <cell r="AO22" t="str">
            <v>Paid</v>
          </cell>
          <cell r="AP22" t="str">
            <v>Completed</v>
          </cell>
        </row>
        <row r="23">
          <cell r="A23" t="str">
            <v>ORD-2025-10022</v>
          </cell>
          <cell r="B23" t="str">
            <v>24-01-2025</v>
          </cell>
          <cell r="D23" t="str">
            <v>01/30/2025</v>
          </cell>
          <cell r="F23" t="str">
            <v>Valid</v>
          </cell>
          <cell r="H23" t="str">
            <v>Valid</v>
          </cell>
          <cell r="N23" t="str">
            <v>West</v>
          </cell>
          <cell r="V23" t="str">
            <v>Second Class</v>
          </cell>
          <cell r="Z23">
            <v>-0.23</v>
          </cell>
          <cell r="AB23" t="str">
            <v>Invalid - Negative Discount</v>
          </cell>
          <cell r="AC23">
            <v>2790.76</v>
          </cell>
          <cell r="AE23">
            <v>3432.6348000000003</v>
          </cell>
          <cell r="AH23">
            <v>2037.71</v>
          </cell>
          <cell r="AI23">
            <v>753.05</v>
          </cell>
          <cell r="AO23" t="str">
            <v>Paid</v>
          </cell>
          <cell r="AP23" t="str">
            <v>Completed</v>
          </cell>
        </row>
        <row r="24">
          <cell r="A24" t="str">
            <v>ORD-2025-10023</v>
          </cell>
          <cell r="B24" t="str">
            <v>19 Jan 2025</v>
          </cell>
          <cell r="D24" t="str">
            <v>2025-01-21</v>
          </cell>
          <cell r="F24" t="str">
            <v>Valid</v>
          </cell>
          <cell r="H24" t="str">
            <v>Valid</v>
          </cell>
          <cell r="N24" t="str">
            <v>South</v>
          </cell>
          <cell r="V24" t="str">
            <v>Standard Class</v>
          </cell>
          <cell r="Z24">
            <v>0.15</v>
          </cell>
          <cell r="AB24" t="str">
            <v>Valid</v>
          </cell>
          <cell r="AC24">
            <v>8291.51</v>
          </cell>
          <cell r="AE24">
            <v>8291.5119999999988</v>
          </cell>
          <cell r="AH24">
            <v>6685.03</v>
          </cell>
          <cell r="AI24">
            <v>1606.48</v>
          </cell>
          <cell r="AO24" t="str">
            <v>Failed</v>
          </cell>
          <cell r="AP24" t="str">
            <v>Returned</v>
          </cell>
        </row>
        <row r="25">
          <cell r="A25" t="str">
            <v>ORD-2025-10024</v>
          </cell>
          <cell r="B25" t="str">
            <v>29 Aug 2025</v>
          </cell>
          <cell r="D25" t="str">
            <v>31-08-2025</v>
          </cell>
          <cell r="F25" t="str">
            <v>Valid</v>
          </cell>
          <cell r="H25" t="str">
            <v>Valid</v>
          </cell>
          <cell r="N25" t="str">
            <v>East</v>
          </cell>
          <cell r="V25" t="str">
            <v>First Class</v>
          </cell>
          <cell r="Z25">
            <v>0.2</v>
          </cell>
          <cell r="AB25" t="str">
            <v>Valid</v>
          </cell>
          <cell r="AC25">
            <v>6265.63</v>
          </cell>
          <cell r="AE25">
            <v>6265.6320000000005</v>
          </cell>
          <cell r="AH25">
            <v>4321.8599999999997</v>
          </cell>
          <cell r="AI25">
            <v>1943.77</v>
          </cell>
          <cell r="AO25" t="str">
            <v>Paid</v>
          </cell>
          <cell r="AP25" t="str">
            <v>Completed</v>
          </cell>
        </row>
        <row r="26">
          <cell r="A26" t="str">
            <v>ORD-2024-10025</v>
          </cell>
          <cell r="B26" t="str">
            <v>2024-03-04</v>
          </cell>
          <cell r="D26" t="str">
            <v>03/01/2024</v>
          </cell>
          <cell r="F26" t="str">
            <v>Invalid Shipping Record</v>
          </cell>
          <cell r="H26" t="str">
            <v>Invalid Shipping Record</v>
          </cell>
          <cell r="N26" t="str">
            <v>North</v>
          </cell>
          <cell r="V26" t="str">
            <v>Standard Class</v>
          </cell>
          <cell r="Z26">
            <v>0.25</v>
          </cell>
          <cell r="AB26" t="str">
            <v>Valid</v>
          </cell>
          <cell r="AC26">
            <v>13478.82</v>
          </cell>
          <cell r="AE26">
            <v>13478.82</v>
          </cell>
          <cell r="AH26">
            <v>10937.35</v>
          </cell>
          <cell r="AI26">
            <v>2541.4699999999998</v>
          </cell>
          <cell r="AO26" t="str">
            <v>Pending</v>
          </cell>
          <cell r="AP26" t="str">
            <v>Cancelled</v>
          </cell>
        </row>
        <row r="27">
          <cell r="A27" t="str">
            <v>ORD-2024-10026</v>
          </cell>
          <cell r="B27" t="str">
            <v>11-10-2024</v>
          </cell>
          <cell r="D27" t="str">
            <v>2024-10-19</v>
          </cell>
          <cell r="F27" t="str">
            <v>Valid</v>
          </cell>
          <cell r="H27" t="str">
            <v>Valid</v>
          </cell>
          <cell r="N27" t="str">
            <v>East</v>
          </cell>
          <cell r="V27" t="str">
            <v>First Class</v>
          </cell>
          <cell r="Z27">
            <v>0.15</v>
          </cell>
          <cell r="AB27" t="str">
            <v>Valid</v>
          </cell>
          <cell r="AC27">
            <v>7335.84</v>
          </cell>
          <cell r="AE27">
            <v>7335.8399999999992</v>
          </cell>
          <cell r="AH27">
            <v>4968.41</v>
          </cell>
          <cell r="AI27">
            <v>2367.4299999999998</v>
          </cell>
          <cell r="AO27" t="str">
            <v>Paid</v>
          </cell>
          <cell r="AP27" t="str">
            <v>Completed</v>
          </cell>
        </row>
        <row r="28">
          <cell r="A28" t="str">
            <v>ORD-2024-10027</v>
          </cell>
          <cell r="B28" t="str">
            <v>23-11-2024</v>
          </cell>
          <cell r="D28" t="str">
            <v>23 Nov 2024</v>
          </cell>
          <cell r="F28" t="str">
            <v>Valid</v>
          </cell>
          <cell r="H28" t="str">
            <v>Valid</v>
          </cell>
          <cell r="N28" t="str">
            <v>North</v>
          </cell>
          <cell r="V28" t="str">
            <v>Standard Class</v>
          </cell>
          <cell r="Z28">
            <v>0.1</v>
          </cell>
          <cell r="AB28" t="str">
            <v>Valid</v>
          </cell>
          <cell r="AC28">
            <v>2578.0700000000002</v>
          </cell>
          <cell r="AE28">
            <v>2578.0680000000002</v>
          </cell>
          <cell r="AH28">
            <v>1527.55</v>
          </cell>
          <cell r="AI28">
            <v>1050.52</v>
          </cell>
          <cell r="AO28" t="str">
            <v>Paid</v>
          </cell>
          <cell r="AP28" t="str">
            <v>Returned</v>
          </cell>
        </row>
        <row r="29">
          <cell r="A29" t="str">
            <v>ORD-2025-10028</v>
          </cell>
          <cell r="B29" t="str">
            <v>29 Sep 2025</v>
          </cell>
          <cell r="D29" t="str">
            <v>05-10-2025</v>
          </cell>
          <cell r="F29" t="str">
            <v>Valid</v>
          </cell>
          <cell r="H29" t="str">
            <v>Valid</v>
          </cell>
          <cell r="N29" t="str">
            <v>South</v>
          </cell>
          <cell r="V29" t="str">
            <v>Second Class</v>
          </cell>
          <cell r="Z29">
            <v>0.25</v>
          </cell>
          <cell r="AB29" t="str">
            <v>Valid</v>
          </cell>
          <cell r="AC29">
            <v>6774.41</v>
          </cell>
          <cell r="AE29">
            <v>6774.4124999999995</v>
          </cell>
          <cell r="AH29">
            <v>4710.3599999999997</v>
          </cell>
          <cell r="AI29">
            <v>2064.0500000000002</v>
          </cell>
          <cell r="AO29" t="str">
            <v>Failed</v>
          </cell>
          <cell r="AP29" t="str">
            <v>Returned</v>
          </cell>
        </row>
        <row r="30">
          <cell r="A30" t="str">
            <v>ORD-2024-10029</v>
          </cell>
          <cell r="B30" t="str">
            <v>11-10-2024</v>
          </cell>
          <cell r="D30" t="str">
            <v>18-10-2024</v>
          </cell>
          <cell r="F30" t="str">
            <v>Valid</v>
          </cell>
          <cell r="H30" t="str">
            <v>Valid</v>
          </cell>
          <cell r="N30" t="str">
            <v>West</v>
          </cell>
          <cell r="V30" t="str">
            <v>Second Class</v>
          </cell>
          <cell r="Z30">
            <v>0.25</v>
          </cell>
          <cell r="AB30" t="str">
            <v>Valid</v>
          </cell>
          <cell r="AC30">
            <v>2913.33</v>
          </cell>
          <cell r="AE30">
            <v>2913.33</v>
          </cell>
          <cell r="AH30">
            <v>2122.33</v>
          </cell>
          <cell r="AI30">
            <v>791</v>
          </cell>
          <cell r="AO30" t="str">
            <v>Refunded</v>
          </cell>
          <cell r="AP30" t="str">
            <v>Cancelled</v>
          </cell>
        </row>
        <row r="31">
          <cell r="A31" t="str">
            <v>ORD-2025-10030</v>
          </cell>
          <cell r="B31" t="str">
            <v>13 Aug 2025</v>
          </cell>
          <cell r="D31" t="str">
            <v>13-08-2025</v>
          </cell>
          <cell r="F31" t="str">
            <v>Valid</v>
          </cell>
          <cell r="H31" t="str">
            <v>Valid</v>
          </cell>
          <cell r="N31" t="str">
            <v>South</v>
          </cell>
          <cell r="V31" t="str">
            <v>Standard Class</v>
          </cell>
          <cell r="Z31">
            <v>0.15</v>
          </cell>
          <cell r="AB31" t="str">
            <v>Valid</v>
          </cell>
          <cell r="AC31">
            <v>217.61</v>
          </cell>
          <cell r="AE31">
            <v>217.60849999999999</v>
          </cell>
          <cell r="AH31">
            <v>119.77</v>
          </cell>
          <cell r="AI31">
            <v>97.84</v>
          </cell>
          <cell r="AO31" t="str">
            <v>Paid</v>
          </cell>
          <cell r="AP31" t="str">
            <v>Completed</v>
          </cell>
        </row>
        <row r="32">
          <cell r="A32" t="str">
            <v>ORD-2024-10031</v>
          </cell>
          <cell r="B32" t="str">
            <v>09 Feb 2024</v>
          </cell>
          <cell r="D32" t="str">
            <v>02/12/2024</v>
          </cell>
          <cell r="F32" t="str">
            <v>Valid</v>
          </cell>
          <cell r="H32" t="str">
            <v>Valid</v>
          </cell>
          <cell r="N32" t="str">
            <v>West</v>
          </cell>
          <cell r="V32" t="str">
            <v>First Class</v>
          </cell>
          <cell r="Z32">
            <v>0.1</v>
          </cell>
          <cell r="AB32" t="str">
            <v>Valid</v>
          </cell>
          <cell r="AC32">
            <v>3079.59</v>
          </cell>
          <cell r="AE32">
            <v>3079.5929999999998</v>
          </cell>
          <cell r="AH32">
            <v>2001.89</v>
          </cell>
          <cell r="AI32">
            <v>1077.7</v>
          </cell>
          <cell r="AO32" t="str">
            <v>Paid</v>
          </cell>
          <cell r="AP32" t="str">
            <v>Completed</v>
          </cell>
        </row>
        <row r="33">
          <cell r="A33" t="str">
            <v>ORD-2025-10032</v>
          </cell>
          <cell r="B33" t="str">
            <v>15-06-2025</v>
          </cell>
          <cell r="D33" t="str">
            <v>19-06-2025</v>
          </cell>
          <cell r="F33" t="str">
            <v>Valid</v>
          </cell>
          <cell r="H33" t="str">
            <v>Valid</v>
          </cell>
          <cell r="N33" t="str">
            <v>West</v>
          </cell>
          <cell r="V33" t="str">
            <v>Second Class</v>
          </cell>
          <cell r="Z33">
            <v>0</v>
          </cell>
          <cell r="AB33" t="str">
            <v>Valid</v>
          </cell>
          <cell r="AC33">
            <v>27832.95</v>
          </cell>
          <cell r="AE33">
            <v>27832.95</v>
          </cell>
          <cell r="AH33">
            <v>17769.75</v>
          </cell>
          <cell r="AI33">
            <v>10063.200000000001</v>
          </cell>
          <cell r="AO33" t="str">
            <v>Failed</v>
          </cell>
          <cell r="AP33" t="str">
            <v>Returned</v>
          </cell>
        </row>
        <row r="34">
          <cell r="A34" t="str">
            <v>ORD-2024-10033</v>
          </cell>
          <cell r="B34" t="str">
            <v>22-11-2024</v>
          </cell>
          <cell r="D34" t="str">
            <v>2024-11-26</v>
          </cell>
          <cell r="F34" t="str">
            <v>Valid</v>
          </cell>
          <cell r="H34" t="str">
            <v>Valid</v>
          </cell>
          <cell r="N34" t="str">
            <v>South</v>
          </cell>
          <cell r="V34" t="str">
            <v>Second Class</v>
          </cell>
          <cell r="AB34" t="str">
            <v>Valid</v>
          </cell>
          <cell r="AC34">
            <v>9002.81</v>
          </cell>
          <cell r="AE34">
            <v>12003.75</v>
          </cell>
          <cell r="AH34">
            <v>7529.92</v>
          </cell>
          <cell r="AI34">
            <v>1472.89</v>
          </cell>
          <cell r="AO34" t="str">
            <v>Paid</v>
          </cell>
          <cell r="AP34" t="str">
            <v>Completed</v>
          </cell>
        </row>
        <row r="35">
          <cell r="A35" t="str">
            <v>ORD-2024-10034</v>
          </cell>
          <cell r="B35" t="str">
            <v>07/22/2024</v>
          </cell>
          <cell r="D35" t="str">
            <v>27-07-2024</v>
          </cell>
          <cell r="F35" t="str">
            <v>Valid</v>
          </cell>
          <cell r="H35" t="str">
            <v>Valid</v>
          </cell>
          <cell r="N35" t="str">
            <v>West</v>
          </cell>
          <cell r="V35" t="str">
            <v>Same Day</v>
          </cell>
          <cell r="Z35">
            <v>0.25</v>
          </cell>
          <cell r="AB35" t="str">
            <v>Valid</v>
          </cell>
          <cell r="AC35">
            <v>2585.15</v>
          </cell>
          <cell r="AE35">
            <v>2585.1525000000001</v>
          </cell>
          <cell r="AH35">
            <v>2070.73</v>
          </cell>
          <cell r="AI35">
            <v>514.41999999999996</v>
          </cell>
          <cell r="AO35" t="str">
            <v>Paid</v>
          </cell>
          <cell r="AP35" t="str">
            <v>Completed</v>
          </cell>
        </row>
        <row r="36">
          <cell r="A36" t="str">
            <v>ORD-2025-10035</v>
          </cell>
          <cell r="B36" t="str">
            <v>2025-01-31</v>
          </cell>
          <cell r="D36" t="str">
            <v>2025-02-05</v>
          </cell>
          <cell r="F36" t="str">
            <v>Valid</v>
          </cell>
          <cell r="H36" t="str">
            <v>Valid</v>
          </cell>
          <cell r="N36" t="str">
            <v>East</v>
          </cell>
          <cell r="Z36">
            <v>0.2</v>
          </cell>
          <cell r="AB36" t="str">
            <v>Valid</v>
          </cell>
          <cell r="AC36">
            <v>6655.5</v>
          </cell>
          <cell r="AE36">
            <v>6655.5039999999999</v>
          </cell>
          <cell r="AH36">
            <v>4340.21</v>
          </cell>
          <cell r="AI36">
            <v>2607.3200000000002</v>
          </cell>
          <cell r="AO36" t="str">
            <v>Paid</v>
          </cell>
          <cell r="AP36" t="str">
            <v>Completed</v>
          </cell>
        </row>
        <row r="37">
          <cell r="A37" t="str">
            <v>ORD-2024-10036</v>
          </cell>
          <cell r="B37" t="str">
            <v>29-05-2024</v>
          </cell>
          <cell r="D37" t="str">
            <v>29 May 2024</v>
          </cell>
          <cell r="F37" t="str">
            <v>Valid</v>
          </cell>
          <cell r="H37" t="str">
            <v>Valid</v>
          </cell>
          <cell r="N37" t="str">
            <v>West</v>
          </cell>
          <cell r="V37" t="str">
            <v>Second Class</v>
          </cell>
          <cell r="Z37">
            <v>0.05</v>
          </cell>
          <cell r="AB37" t="str">
            <v>Valid</v>
          </cell>
          <cell r="AC37">
            <v>19054.11</v>
          </cell>
          <cell r="AE37">
            <v>19054.111999999997</v>
          </cell>
          <cell r="AH37">
            <v>15313.83</v>
          </cell>
          <cell r="AI37">
            <v>3740.28</v>
          </cell>
          <cell r="AO37" t="str">
            <v>Pending</v>
          </cell>
          <cell r="AP37" t="str">
            <v>Returned</v>
          </cell>
        </row>
        <row r="38">
          <cell r="A38" t="str">
            <v>ORD-2024-10037</v>
          </cell>
          <cell r="B38" t="str">
            <v>2024-10-25</v>
          </cell>
          <cell r="D38" t="str">
            <v>28 Oct 2024</v>
          </cell>
          <cell r="F38" t="str">
            <v>Valid</v>
          </cell>
          <cell r="H38" t="str">
            <v>Valid</v>
          </cell>
          <cell r="N38" t="str">
            <v>West</v>
          </cell>
          <cell r="V38" t="str">
            <v>Second Class</v>
          </cell>
          <cell r="Z38">
            <v>0</v>
          </cell>
          <cell r="AB38" t="str">
            <v>Valid</v>
          </cell>
          <cell r="AC38">
            <v>9379.41</v>
          </cell>
          <cell r="AE38">
            <v>9379.41</v>
          </cell>
          <cell r="AH38">
            <v>6670.85</v>
          </cell>
          <cell r="AI38">
            <v>2708.56</v>
          </cell>
          <cell r="AO38" t="str">
            <v>Paid</v>
          </cell>
          <cell r="AP38" t="str">
            <v>Returned</v>
          </cell>
        </row>
        <row r="39">
          <cell r="A39" t="str">
            <v>ORD-2025-10038</v>
          </cell>
          <cell r="B39" t="str">
            <v>29-07-2025</v>
          </cell>
          <cell r="D39" t="str">
            <v>29-07-2025</v>
          </cell>
          <cell r="F39" t="str">
            <v>Valid</v>
          </cell>
          <cell r="H39" t="str">
            <v>Valid</v>
          </cell>
          <cell r="N39" t="str">
            <v>West</v>
          </cell>
          <cell r="V39" t="str">
            <v>STANDARD CLASS</v>
          </cell>
          <cell r="Z39">
            <v>0.2</v>
          </cell>
          <cell r="AB39" t="str">
            <v>Valid</v>
          </cell>
          <cell r="AC39">
            <v>4248.13</v>
          </cell>
          <cell r="AE39">
            <v>4248.1279999999997</v>
          </cell>
          <cell r="AH39">
            <v>3321.09</v>
          </cell>
          <cell r="AI39">
            <v>927.04</v>
          </cell>
          <cell r="AO39" t="str">
            <v>Paid</v>
          </cell>
          <cell r="AP39" t="str">
            <v>Completed</v>
          </cell>
        </row>
        <row r="40">
          <cell r="A40" t="str">
            <v>ORD-2024-10039</v>
          </cell>
          <cell r="B40" t="str">
            <v>2024-06-17</v>
          </cell>
          <cell r="D40" t="str">
            <v>22-06-2024</v>
          </cell>
          <cell r="F40" t="str">
            <v>Valid</v>
          </cell>
          <cell r="H40" t="str">
            <v>Valid</v>
          </cell>
          <cell r="N40" t="str">
            <v>West</v>
          </cell>
          <cell r="V40" t="str">
            <v>First Class</v>
          </cell>
          <cell r="Z40">
            <v>0.1</v>
          </cell>
          <cell r="AB40" t="str">
            <v>Valid</v>
          </cell>
          <cell r="AC40">
            <v>13927.28</v>
          </cell>
          <cell r="AE40">
            <v>13927.284</v>
          </cell>
          <cell r="AH40">
            <v>10504.87</v>
          </cell>
          <cell r="AI40">
            <v>3422.41</v>
          </cell>
          <cell r="AO40" t="str">
            <v>Paid</v>
          </cell>
          <cell r="AP40" t="str">
            <v>Completed</v>
          </cell>
        </row>
        <row r="41">
          <cell r="A41" t="str">
            <v>ORD-2024-10040</v>
          </cell>
          <cell r="B41" t="str">
            <v>12/11/2024</v>
          </cell>
          <cell r="D41" t="str">
            <v>2024-12-11</v>
          </cell>
          <cell r="F41" t="str">
            <v>Valid</v>
          </cell>
          <cell r="H41" t="str">
            <v>Valid</v>
          </cell>
          <cell r="N41" t="str">
            <v>West</v>
          </cell>
          <cell r="V41" t="str">
            <v>First Class</v>
          </cell>
          <cell r="Z41">
            <v>0.1</v>
          </cell>
          <cell r="AB41" t="str">
            <v>Valid</v>
          </cell>
          <cell r="AC41">
            <v>4935.3100000000004</v>
          </cell>
          <cell r="AE41">
            <v>4935.3120000000008</v>
          </cell>
          <cell r="AH41">
            <v>3374.77</v>
          </cell>
          <cell r="AI41">
            <v>1560.54</v>
          </cell>
          <cell r="AO41" t="str">
            <v>Pending</v>
          </cell>
          <cell r="AP41" t="str">
            <v>Returned</v>
          </cell>
        </row>
        <row r="42">
          <cell r="A42" t="str">
            <v>ORD-2024-10041</v>
          </cell>
          <cell r="B42" t="str">
            <v>10-10-2024</v>
          </cell>
          <cell r="D42" t="str">
            <v>16 Oct 2024</v>
          </cell>
          <cell r="F42" t="str">
            <v>Valid</v>
          </cell>
          <cell r="H42" t="str">
            <v>Valid</v>
          </cell>
          <cell r="N42" t="str">
            <v>West</v>
          </cell>
          <cell r="V42" t="str">
            <v>Standard Class</v>
          </cell>
          <cell r="Z42">
            <v>0.2</v>
          </cell>
          <cell r="AB42" t="str">
            <v>Valid</v>
          </cell>
          <cell r="AC42">
            <v>14051.91</v>
          </cell>
          <cell r="AE42">
            <v>14051.912</v>
          </cell>
          <cell r="AH42">
            <v>11990.37</v>
          </cell>
          <cell r="AI42">
            <v>2061.54</v>
          </cell>
          <cell r="AO42" t="str">
            <v>Paid</v>
          </cell>
          <cell r="AP42" t="str">
            <v>Completed</v>
          </cell>
        </row>
        <row r="43">
          <cell r="A43" t="str">
            <v>ORD-2024-10042</v>
          </cell>
          <cell r="B43" t="str">
            <v>03/12/2024</v>
          </cell>
          <cell r="D43" t="str">
            <v>17-03-2024</v>
          </cell>
          <cell r="F43" t="str">
            <v>Valid</v>
          </cell>
          <cell r="H43" t="str">
            <v>Valid</v>
          </cell>
          <cell r="N43" t="str">
            <v>East</v>
          </cell>
          <cell r="V43" t="str">
            <v>Same Day</v>
          </cell>
          <cell r="Z43">
            <v>0</v>
          </cell>
          <cell r="AB43" t="str">
            <v>Valid</v>
          </cell>
          <cell r="AC43">
            <v>6846.48</v>
          </cell>
          <cell r="AE43">
            <v>6846.48</v>
          </cell>
          <cell r="AH43">
            <v>4239.8900000000003</v>
          </cell>
          <cell r="AI43">
            <v>2606.59</v>
          </cell>
          <cell r="AO43" t="str">
            <v>Pending</v>
          </cell>
          <cell r="AP43" t="str">
            <v>Cancelled</v>
          </cell>
        </row>
        <row r="44">
          <cell r="A44" t="str">
            <v>ORD-2025-10043</v>
          </cell>
          <cell r="B44" t="str">
            <v>2025-10-10</v>
          </cell>
          <cell r="D44" t="str">
            <v>15 Oct 2025</v>
          </cell>
          <cell r="F44" t="str">
            <v>Valid</v>
          </cell>
          <cell r="H44" t="str">
            <v>Valid</v>
          </cell>
          <cell r="N44" t="str">
            <v>East</v>
          </cell>
          <cell r="V44" t="str">
            <v>Standard Class</v>
          </cell>
          <cell r="Z44">
            <v>0.05</v>
          </cell>
          <cell r="AB44" t="str">
            <v>Valid</v>
          </cell>
          <cell r="AC44">
            <v>7447.01</v>
          </cell>
          <cell r="AE44">
            <v>7447.0119999999997</v>
          </cell>
          <cell r="AH44">
            <v>4496.22</v>
          </cell>
          <cell r="AI44">
            <v>2950.79</v>
          </cell>
          <cell r="AO44" t="str">
            <v>Paid</v>
          </cell>
          <cell r="AP44" t="str">
            <v>Completed</v>
          </cell>
        </row>
        <row r="45">
          <cell r="A45" t="str">
            <v>ORD-2024-10044</v>
          </cell>
          <cell r="B45" t="str">
            <v>07/08/2024</v>
          </cell>
          <cell r="D45" t="str">
            <v>07/14/2024</v>
          </cell>
          <cell r="F45" t="str">
            <v>Valid</v>
          </cell>
          <cell r="H45" t="str">
            <v>Valid</v>
          </cell>
          <cell r="N45" t="str">
            <v>East</v>
          </cell>
          <cell r="V45" t="str">
            <v>Same Day</v>
          </cell>
          <cell r="Z45">
            <v>0</v>
          </cell>
          <cell r="AB45" t="str">
            <v>Valid</v>
          </cell>
          <cell r="AC45">
            <v>3030.69</v>
          </cell>
          <cell r="AE45">
            <v>3030.69</v>
          </cell>
          <cell r="AH45">
            <v>1721.08</v>
          </cell>
          <cell r="AI45">
            <v>1309.6099999999999</v>
          </cell>
          <cell r="AO45" t="str">
            <v>Paid</v>
          </cell>
          <cell r="AP45" t="str">
            <v>Completed</v>
          </cell>
        </row>
        <row r="46">
          <cell r="A46" t="str">
            <v>ORD-2024-10045</v>
          </cell>
          <cell r="B46" t="str">
            <v>06/22/2024</v>
          </cell>
          <cell r="D46" t="str">
            <v>25-06-2024</v>
          </cell>
          <cell r="F46" t="str">
            <v>Valid</v>
          </cell>
          <cell r="H46" t="str">
            <v>Valid</v>
          </cell>
          <cell r="N46" t="str">
            <v>North</v>
          </cell>
          <cell r="V46" t="str">
            <v>Standard Class</v>
          </cell>
          <cell r="Z46">
            <v>0.1</v>
          </cell>
          <cell r="AB46" t="str">
            <v>Valid</v>
          </cell>
          <cell r="AC46">
            <v>26971.14</v>
          </cell>
          <cell r="AE46">
            <v>26971.137000000002</v>
          </cell>
          <cell r="AH46">
            <v>17376.2</v>
          </cell>
          <cell r="AI46">
            <v>9594.94</v>
          </cell>
          <cell r="AO46" t="str">
            <v>Paid</v>
          </cell>
          <cell r="AP46" t="str">
            <v>Completed</v>
          </cell>
        </row>
        <row r="47">
          <cell r="A47" t="str">
            <v>ORD-2024-10046</v>
          </cell>
          <cell r="B47" t="str">
            <v>18 Jan 2024</v>
          </cell>
          <cell r="D47" t="str">
            <v>24-01-2024</v>
          </cell>
          <cell r="F47" t="str">
            <v>Valid</v>
          </cell>
          <cell r="H47" t="str">
            <v>Valid</v>
          </cell>
          <cell r="N47" t="str">
            <v>East</v>
          </cell>
          <cell r="V47" t="str">
            <v>Second Class</v>
          </cell>
          <cell r="Z47">
            <v>0.05</v>
          </cell>
          <cell r="AB47" t="str">
            <v>Valid</v>
          </cell>
          <cell r="AC47">
            <v>29851.43</v>
          </cell>
          <cell r="AE47">
            <v>29851.432000000001</v>
          </cell>
          <cell r="AH47">
            <v>17487.48</v>
          </cell>
          <cell r="AI47">
            <v>12363.95</v>
          </cell>
          <cell r="AO47" t="str">
            <v>Pending</v>
          </cell>
          <cell r="AP47" t="str">
            <v>Returned</v>
          </cell>
        </row>
        <row r="48">
          <cell r="A48" t="str">
            <v>ORD-2024-10047</v>
          </cell>
          <cell r="B48" t="str">
            <v>19-07-2024</v>
          </cell>
          <cell r="D48" t="str">
            <v>19-07-2024</v>
          </cell>
          <cell r="F48" t="str">
            <v>Valid</v>
          </cell>
          <cell r="H48" t="str">
            <v>Valid</v>
          </cell>
          <cell r="N48" t="str">
            <v>South</v>
          </cell>
          <cell r="V48" t="str">
            <v>Standard Class</v>
          </cell>
          <cell r="Z48">
            <v>0.25</v>
          </cell>
          <cell r="AB48" t="str">
            <v>Valid</v>
          </cell>
          <cell r="AC48">
            <v>16110.83</v>
          </cell>
          <cell r="AE48">
            <v>16110.8325</v>
          </cell>
          <cell r="AH48">
            <v>10680.03</v>
          </cell>
          <cell r="AI48">
            <v>5430.8</v>
          </cell>
          <cell r="AO48" t="str">
            <v>Refunded</v>
          </cell>
          <cell r="AP48" t="str">
            <v>Returned</v>
          </cell>
        </row>
        <row r="49">
          <cell r="A49" t="str">
            <v>ORD-2024-10048</v>
          </cell>
          <cell r="B49" t="str">
            <v>12-08-2024</v>
          </cell>
          <cell r="D49" t="str">
            <v>2024-08-12</v>
          </cell>
          <cell r="F49" t="str">
            <v>Valid</v>
          </cell>
          <cell r="H49" t="str">
            <v>Valid</v>
          </cell>
          <cell r="N49" t="str">
            <v>South</v>
          </cell>
          <cell r="V49" t="str">
            <v>Standard Class</v>
          </cell>
          <cell r="Z49">
            <v>0.1</v>
          </cell>
          <cell r="AB49" t="str">
            <v>Valid</v>
          </cell>
          <cell r="AC49">
            <v>17606.23</v>
          </cell>
          <cell r="AE49">
            <v>17606.232</v>
          </cell>
          <cell r="AH49">
            <v>12438.96</v>
          </cell>
          <cell r="AI49">
            <v>5167.2700000000004</v>
          </cell>
          <cell r="AO49" t="str">
            <v>Paid</v>
          </cell>
          <cell r="AP49" t="str">
            <v>Completed</v>
          </cell>
        </row>
        <row r="50">
          <cell r="A50" t="str">
            <v>ORD-2025-10049</v>
          </cell>
          <cell r="B50" t="str">
            <v>30 Jan 2025</v>
          </cell>
          <cell r="D50" t="str">
            <v>05 Feb 2025</v>
          </cell>
          <cell r="F50" t="str">
            <v>Valid</v>
          </cell>
          <cell r="H50" t="str">
            <v>Valid</v>
          </cell>
          <cell r="N50" t="str">
            <v>West</v>
          </cell>
          <cell r="V50" t="str">
            <v>Second Class</v>
          </cell>
          <cell r="Z50">
            <v>0</v>
          </cell>
          <cell r="AB50" t="str">
            <v>Valid</v>
          </cell>
          <cell r="AC50">
            <v>28445.62</v>
          </cell>
          <cell r="AE50">
            <v>28445.62</v>
          </cell>
          <cell r="AH50">
            <v>20938.59</v>
          </cell>
          <cell r="AI50">
            <v>7507.03</v>
          </cell>
          <cell r="AO50" t="str">
            <v>Paid</v>
          </cell>
          <cell r="AP50" t="str">
            <v>Completed</v>
          </cell>
        </row>
        <row r="51">
          <cell r="A51" t="str">
            <v>ORD-2024-10050</v>
          </cell>
          <cell r="B51" t="str">
            <v>2024-04-06</v>
          </cell>
          <cell r="D51" t="str">
            <v>13 Apr 2024</v>
          </cell>
          <cell r="F51" t="str">
            <v>Valid</v>
          </cell>
          <cell r="H51" t="str">
            <v>Valid</v>
          </cell>
          <cell r="N51" t="str">
            <v>North</v>
          </cell>
          <cell r="V51" t="str">
            <v>Second Class</v>
          </cell>
          <cell r="Z51">
            <v>0.05</v>
          </cell>
          <cell r="AB51" t="str">
            <v>Valid</v>
          </cell>
          <cell r="AC51">
            <v>6772.54</v>
          </cell>
          <cell r="AE51">
            <v>6772.5404999999992</v>
          </cell>
          <cell r="AH51">
            <v>5755.46</v>
          </cell>
          <cell r="AI51">
            <v>1017.08</v>
          </cell>
          <cell r="AO51" t="str">
            <v>Paid</v>
          </cell>
          <cell r="AP51" t="str">
            <v>Completed</v>
          </cell>
        </row>
        <row r="52">
          <cell r="A52" t="str">
            <v>ORD-2025-10051</v>
          </cell>
          <cell r="B52" t="str">
            <v>05/11/2025</v>
          </cell>
          <cell r="D52" t="str">
            <v>19 May 2025</v>
          </cell>
          <cell r="F52" t="str">
            <v>Valid</v>
          </cell>
          <cell r="H52" t="str">
            <v>Valid</v>
          </cell>
          <cell r="N52" t="str">
            <v>East</v>
          </cell>
          <cell r="V52" t="str">
            <v>Standard Class</v>
          </cell>
          <cell r="Z52">
            <v>0.15</v>
          </cell>
          <cell r="AB52" t="str">
            <v>Valid</v>
          </cell>
          <cell r="AC52">
            <v>2025.38</v>
          </cell>
          <cell r="AE52">
            <v>2025.38</v>
          </cell>
          <cell r="AH52">
            <v>1140.6500000000001</v>
          </cell>
          <cell r="AI52">
            <v>884.73</v>
          </cell>
          <cell r="AO52" t="str">
            <v>Paid</v>
          </cell>
          <cell r="AP52" t="str">
            <v>Completed</v>
          </cell>
        </row>
        <row r="53">
          <cell r="A53" t="str">
            <v>ORD-2024-10052</v>
          </cell>
          <cell r="B53" t="str">
            <v>24 Apr 2024</v>
          </cell>
          <cell r="D53" t="str">
            <v>29 Apr 2024</v>
          </cell>
          <cell r="F53" t="str">
            <v>Valid</v>
          </cell>
          <cell r="H53" t="str">
            <v>Valid</v>
          </cell>
          <cell r="N53" t="str">
            <v>South</v>
          </cell>
          <cell r="V53" t="str">
            <v>Standard Class</v>
          </cell>
          <cell r="Z53">
            <v>0</v>
          </cell>
          <cell r="AB53" t="str">
            <v>Valid</v>
          </cell>
          <cell r="AC53">
            <v>9168.48</v>
          </cell>
          <cell r="AE53">
            <v>9168.48</v>
          </cell>
          <cell r="AH53">
            <v>7439.77</v>
          </cell>
          <cell r="AI53">
            <v>1728.71</v>
          </cell>
          <cell r="AO53" t="str">
            <v>Paid</v>
          </cell>
          <cell r="AP53" t="str">
            <v>Completed</v>
          </cell>
        </row>
        <row r="54">
          <cell r="A54" t="str">
            <v>ORD-2024-10053</v>
          </cell>
          <cell r="B54" t="str">
            <v>26-10-2024</v>
          </cell>
          <cell r="D54" t="str">
            <v>2024-10-28</v>
          </cell>
          <cell r="F54" t="str">
            <v>Valid</v>
          </cell>
          <cell r="H54" t="str">
            <v>Valid</v>
          </cell>
          <cell r="N54" t="str">
            <v>North</v>
          </cell>
          <cell r="V54" t="str">
            <v>First Class</v>
          </cell>
          <cell r="Z54">
            <v>0</v>
          </cell>
          <cell r="AB54" t="str">
            <v>Valid</v>
          </cell>
          <cell r="AC54">
            <v>12596.67</v>
          </cell>
          <cell r="AE54">
            <v>12596.670000000002</v>
          </cell>
          <cell r="AH54">
            <v>10603.29</v>
          </cell>
          <cell r="AI54">
            <v>1993.38</v>
          </cell>
          <cell r="AO54" t="str">
            <v>Failed</v>
          </cell>
          <cell r="AP54" t="str">
            <v>Cancelled</v>
          </cell>
        </row>
        <row r="55">
          <cell r="A55" t="str">
            <v>ORD-2025-10054</v>
          </cell>
          <cell r="B55" t="str">
            <v>31 Mar 2025</v>
          </cell>
          <cell r="D55" t="str">
            <v>2025-03-31</v>
          </cell>
          <cell r="F55" t="str">
            <v>Valid</v>
          </cell>
          <cell r="H55" t="str">
            <v>Valid</v>
          </cell>
          <cell r="N55" t="str">
            <v>West</v>
          </cell>
          <cell r="V55" t="str">
            <v>First Class</v>
          </cell>
          <cell r="Z55">
            <v>0.15</v>
          </cell>
          <cell r="AB55" t="str">
            <v>Valid</v>
          </cell>
          <cell r="AC55">
            <v>5131.75</v>
          </cell>
          <cell r="AE55">
            <v>5131.7475000000004</v>
          </cell>
          <cell r="AH55">
            <v>2838.68</v>
          </cell>
          <cell r="AI55">
            <v>2293.0700000000002</v>
          </cell>
          <cell r="AO55" t="str">
            <v>Paid</v>
          </cell>
          <cell r="AP55" t="str">
            <v>Completed</v>
          </cell>
        </row>
        <row r="56">
          <cell r="A56" t="str">
            <v>ORD-2025-10055</v>
          </cell>
          <cell r="B56" t="str">
            <v>30 May 2025</v>
          </cell>
          <cell r="D56" t="str">
            <v>2025-06-02</v>
          </cell>
          <cell r="F56" t="str">
            <v>Valid</v>
          </cell>
          <cell r="H56" t="str">
            <v>Valid</v>
          </cell>
          <cell r="N56" t="str">
            <v>South</v>
          </cell>
          <cell r="V56" t="str">
            <v>Same Day</v>
          </cell>
          <cell r="Z56">
            <v>0.1</v>
          </cell>
          <cell r="AB56" t="str">
            <v>Valid</v>
          </cell>
          <cell r="AC56">
            <v>3415.46</v>
          </cell>
          <cell r="AE56">
            <v>3415.4639999999999</v>
          </cell>
          <cell r="AH56">
            <v>1993.23</v>
          </cell>
          <cell r="AI56">
            <v>1422.23</v>
          </cell>
          <cell r="AO56" t="str">
            <v>Failed</v>
          </cell>
          <cell r="AP56" t="str">
            <v>Cancelled</v>
          </cell>
        </row>
        <row r="57">
          <cell r="A57" t="str">
            <v>ORD-2025-10056</v>
          </cell>
          <cell r="B57" t="str">
            <v>01-07-2025</v>
          </cell>
          <cell r="D57" t="str">
            <v>03-07-2025</v>
          </cell>
          <cell r="F57" t="str">
            <v>Valid</v>
          </cell>
          <cell r="H57" t="str">
            <v>Valid</v>
          </cell>
          <cell r="N57" t="str">
            <v>South</v>
          </cell>
          <cell r="V57" t="str">
            <v>Same Day</v>
          </cell>
          <cell r="Z57">
            <v>0.25</v>
          </cell>
          <cell r="AB57" t="str">
            <v>Valid</v>
          </cell>
          <cell r="AC57">
            <v>3411.54</v>
          </cell>
          <cell r="AE57">
            <v>3411.54</v>
          </cell>
          <cell r="AH57">
            <v>2803.13</v>
          </cell>
          <cell r="AI57">
            <v>608.41</v>
          </cell>
          <cell r="AO57" t="str">
            <v>Paid</v>
          </cell>
          <cell r="AP57" t="str">
            <v>Completed</v>
          </cell>
        </row>
        <row r="58">
          <cell r="A58" t="str">
            <v>ORD-2025-10057</v>
          </cell>
          <cell r="B58" t="str">
            <v>2025-01-05</v>
          </cell>
          <cell r="D58" t="str">
            <v>06-01-2025</v>
          </cell>
          <cell r="F58" t="str">
            <v>Valid</v>
          </cell>
          <cell r="H58" t="str">
            <v>Valid</v>
          </cell>
          <cell r="N58" t="str">
            <v>South</v>
          </cell>
          <cell r="V58" t="str">
            <v>Second Class</v>
          </cell>
          <cell r="Z58">
            <v>0</v>
          </cell>
          <cell r="AB58" t="str">
            <v>Valid</v>
          </cell>
          <cell r="AC58">
            <v>9466.83</v>
          </cell>
          <cell r="AE58">
            <v>9466.83</v>
          </cell>
          <cell r="AH58">
            <v>6557.83</v>
          </cell>
          <cell r="AI58">
            <v>2909</v>
          </cell>
          <cell r="AO58" t="str">
            <v>Refunded</v>
          </cell>
          <cell r="AP58" t="str">
            <v>Cancelled</v>
          </cell>
        </row>
        <row r="59">
          <cell r="A59" t="str">
            <v>ORD-2024-10058</v>
          </cell>
          <cell r="B59" t="str">
            <v>2024-02-07</v>
          </cell>
          <cell r="D59" t="str">
            <v>15 Feb 2024</v>
          </cell>
          <cell r="F59" t="str">
            <v>Valid</v>
          </cell>
          <cell r="H59" t="str">
            <v>Valid</v>
          </cell>
          <cell r="N59" t="str">
            <v>West</v>
          </cell>
          <cell r="V59" t="str">
            <v>Same Day</v>
          </cell>
          <cell r="Z59">
            <v>0</v>
          </cell>
          <cell r="AB59" t="str">
            <v>Valid</v>
          </cell>
          <cell r="AC59">
            <v>1279.3499999999999</v>
          </cell>
          <cell r="AE59">
            <v>1279.3499999999999</v>
          </cell>
          <cell r="AH59">
            <v>1091.54</v>
          </cell>
          <cell r="AI59">
            <v>187.81</v>
          </cell>
          <cell r="AO59" t="str">
            <v>Paid</v>
          </cell>
          <cell r="AP59" t="str">
            <v>Completed</v>
          </cell>
        </row>
        <row r="60">
          <cell r="A60" t="str">
            <v>ORD-2024-10059</v>
          </cell>
          <cell r="B60" t="str">
            <v>2024-09-01</v>
          </cell>
          <cell r="D60" t="str">
            <v>2024-09-07</v>
          </cell>
          <cell r="F60" t="str">
            <v>Valid</v>
          </cell>
          <cell r="H60" t="str">
            <v>Valid</v>
          </cell>
          <cell r="N60" t="str">
            <v>North</v>
          </cell>
          <cell r="Z60">
            <v>0.1</v>
          </cell>
          <cell r="AB60" t="str">
            <v>Valid</v>
          </cell>
          <cell r="AC60">
            <v>11254.79</v>
          </cell>
          <cell r="AE60">
            <v>11254.788</v>
          </cell>
          <cell r="AH60">
            <v>6578.06</v>
          </cell>
          <cell r="AI60">
            <v>4676.7299999999996</v>
          </cell>
          <cell r="AO60" t="str">
            <v>Pending</v>
          </cell>
          <cell r="AP60" t="str">
            <v>Returned</v>
          </cell>
        </row>
        <row r="61">
          <cell r="A61" t="str">
            <v>ORD-2024-10060</v>
          </cell>
          <cell r="B61" t="str">
            <v>20-07-2024</v>
          </cell>
          <cell r="D61" t="str">
            <v>25 Jul 2024</v>
          </cell>
          <cell r="F61" t="str">
            <v>Valid</v>
          </cell>
          <cell r="H61" t="str">
            <v>Valid</v>
          </cell>
          <cell r="N61" t="str">
            <v>East</v>
          </cell>
          <cell r="V61" t="str">
            <v>Same Day</v>
          </cell>
          <cell r="Z61">
            <v>0.2</v>
          </cell>
          <cell r="AB61" t="str">
            <v>Valid</v>
          </cell>
          <cell r="AC61">
            <v>16535.400000000001</v>
          </cell>
          <cell r="AE61">
            <v>16535.400000000001</v>
          </cell>
          <cell r="AH61">
            <v>12990.21</v>
          </cell>
          <cell r="AI61">
            <v>3545.19</v>
          </cell>
          <cell r="AO61" t="str">
            <v>Paid</v>
          </cell>
          <cell r="AP61" t="str">
            <v>Cancelled</v>
          </cell>
        </row>
        <row r="62">
          <cell r="A62" t="str">
            <v>ORD-2024-10061</v>
          </cell>
          <cell r="B62" t="str">
            <v>07/13/2024</v>
          </cell>
          <cell r="D62" t="str">
            <v>2024-07-19</v>
          </cell>
          <cell r="F62" t="str">
            <v>Valid</v>
          </cell>
          <cell r="H62" t="str">
            <v>Valid</v>
          </cell>
          <cell r="N62" t="str">
            <v>East</v>
          </cell>
          <cell r="V62" t="str">
            <v>Same Day</v>
          </cell>
          <cell r="Z62">
            <v>0.2</v>
          </cell>
          <cell r="AB62" t="str">
            <v>Valid</v>
          </cell>
          <cell r="AC62">
            <v>661.82</v>
          </cell>
          <cell r="AE62">
            <v>661.82400000000007</v>
          </cell>
          <cell r="AH62">
            <v>481.47</v>
          </cell>
          <cell r="AI62">
            <v>180.35</v>
          </cell>
          <cell r="AO62" t="str">
            <v>Refunded</v>
          </cell>
          <cell r="AP62" t="str">
            <v>Cancelled</v>
          </cell>
        </row>
        <row r="63">
          <cell r="A63" t="str">
            <v>ORD-2024-10062</v>
          </cell>
          <cell r="B63" t="str">
            <v>16 Apr 2024</v>
          </cell>
          <cell r="D63" t="str">
            <v>04/16/2024</v>
          </cell>
          <cell r="F63" t="str">
            <v>Valid</v>
          </cell>
          <cell r="H63" t="str">
            <v>Valid</v>
          </cell>
          <cell r="N63" t="str">
            <v>East</v>
          </cell>
          <cell r="V63" t="str">
            <v>Standard Class</v>
          </cell>
          <cell r="Z63">
            <v>0</v>
          </cell>
          <cell r="AB63" t="str">
            <v>Valid</v>
          </cell>
          <cell r="AC63">
            <v>949.59</v>
          </cell>
          <cell r="AE63">
            <v>949.59</v>
          </cell>
          <cell r="AH63">
            <v>751.25</v>
          </cell>
          <cell r="AI63">
            <v>198.34</v>
          </cell>
          <cell r="AO63" t="str">
            <v>Paid</v>
          </cell>
          <cell r="AP63" t="str">
            <v>Completed</v>
          </cell>
        </row>
        <row r="64">
          <cell r="A64" t="str">
            <v>ORD-2024-10063</v>
          </cell>
          <cell r="B64" t="str">
            <v>30 Oct 2024</v>
          </cell>
          <cell r="D64" t="str">
            <v>02-11-2024</v>
          </cell>
          <cell r="F64" t="str">
            <v>Valid</v>
          </cell>
          <cell r="H64" t="str">
            <v>Valid</v>
          </cell>
          <cell r="N64" t="str">
            <v>North</v>
          </cell>
          <cell r="V64" t="str">
            <v>Standard Class</v>
          </cell>
          <cell r="Z64">
            <v>0.2</v>
          </cell>
          <cell r="AB64" t="str">
            <v>Valid</v>
          </cell>
          <cell r="AC64">
            <v>21904.49</v>
          </cell>
          <cell r="AE64">
            <v>21904.488000000001</v>
          </cell>
          <cell r="AH64">
            <v>13570.55</v>
          </cell>
          <cell r="AI64">
            <v>8333.94</v>
          </cell>
          <cell r="AO64" t="str">
            <v>Paid</v>
          </cell>
          <cell r="AP64" t="str">
            <v>Completed</v>
          </cell>
        </row>
        <row r="65">
          <cell r="A65" t="str">
            <v>ORD-2024-10064</v>
          </cell>
          <cell r="B65" t="str">
            <v>2024-01-25</v>
          </cell>
          <cell r="D65" t="str">
            <v>01-02-2024</v>
          </cell>
          <cell r="F65" t="str">
            <v>Valid</v>
          </cell>
          <cell r="H65" t="str">
            <v>Valid</v>
          </cell>
          <cell r="N65" t="str">
            <v>North</v>
          </cell>
          <cell r="V65" t="str">
            <v>Same Day</v>
          </cell>
          <cell r="Z65">
            <v>0.15</v>
          </cell>
          <cell r="AB65" t="str">
            <v>Valid</v>
          </cell>
          <cell r="AC65">
            <v>4815.71</v>
          </cell>
          <cell r="AE65">
            <v>4815.7089999999998</v>
          </cell>
          <cell r="AH65">
            <v>3027.75</v>
          </cell>
          <cell r="AI65">
            <v>1917.47</v>
          </cell>
          <cell r="AO65" t="str">
            <v>Paid</v>
          </cell>
          <cell r="AP65" t="str">
            <v>Completed</v>
          </cell>
        </row>
        <row r="66">
          <cell r="A66" t="str">
            <v>ORD-2024-10065</v>
          </cell>
          <cell r="B66" t="str">
            <v>2024-12-23</v>
          </cell>
          <cell r="D66" t="str">
            <v>12/29/2024</v>
          </cell>
          <cell r="F66" t="str">
            <v>Valid</v>
          </cell>
          <cell r="H66" t="str">
            <v>Valid</v>
          </cell>
          <cell r="N66" t="str">
            <v>East</v>
          </cell>
          <cell r="V66" t="str">
            <v>First Class</v>
          </cell>
          <cell r="Z66">
            <v>0</v>
          </cell>
          <cell r="AB66" t="str">
            <v>Valid</v>
          </cell>
          <cell r="AC66">
            <v>3134.88</v>
          </cell>
          <cell r="AE66">
            <v>3134.8799999999997</v>
          </cell>
          <cell r="AH66">
            <v>2367.63</v>
          </cell>
          <cell r="AI66">
            <v>767.25</v>
          </cell>
          <cell r="AO66" t="str">
            <v>Refunded</v>
          </cell>
          <cell r="AP66" t="str">
            <v>Returned</v>
          </cell>
        </row>
        <row r="67">
          <cell r="A67" t="str">
            <v>ORD-2024-10066</v>
          </cell>
          <cell r="B67" t="str">
            <v>22 Apr 2024</v>
          </cell>
          <cell r="D67" t="str">
            <v>2024-04-27</v>
          </cell>
          <cell r="F67" t="str">
            <v>Valid</v>
          </cell>
          <cell r="H67" t="str">
            <v>Valid</v>
          </cell>
          <cell r="N67" t="str">
            <v>West</v>
          </cell>
          <cell r="V67" t="str">
            <v>Second Class</v>
          </cell>
          <cell r="Z67">
            <v>0.05</v>
          </cell>
          <cell r="AB67" t="str">
            <v>Valid</v>
          </cell>
          <cell r="AC67">
            <v>4066.18</v>
          </cell>
          <cell r="AE67">
            <v>4066.1804999999995</v>
          </cell>
          <cell r="AH67">
            <v>2628.92</v>
          </cell>
          <cell r="AI67">
            <v>1437.26</v>
          </cell>
          <cell r="AO67" t="str">
            <v>Paid</v>
          </cell>
          <cell r="AP67" t="str">
            <v>Completed</v>
          </cell>
        </row>
        <row r="68">
          <cell r="A68" t="str">
            <v>ORD-2025-10067</v>
          </cell>
          <cell r="B68" t="str">
            <v>08/28/2025</v>
          </cell>
          <cell r="D68" t="str">
            <v>01 Sep 2025</v>
          </cell>
          <cell r="F68" t="str">
            <v>Valid</v>
          </cell>
          <cell r="H68" t="str">
            <v>Valid</v>
          </cell>
          <cell r="N68" t="str">
            <v>South</v>
          </cell>
          <cell r="V68" t="str">
            <v>Same Day</v>
          </cell>
          <cell r="Z68">
            <v>0.05</v>
          </cell>
          <cell r="AB68" t="str">
            <v>Valid</v>
          </cell>
          <cell r="AC68">
            <v>7032.11</v>
          </cell>
          <cell r="AE68">
            <v>7032.1089999999995</v>
          </cell>
          <cell r="AH68">
            <v>4610.34</v>
          </cell>
          <cell r="AI68">
            <v>2421.77</v>
          </cell>
          <cell r="AO68" t="str">
            <v>Paid</v>
          </cell>
          <cell r="AP68" t="str">
            <v>Completed</v>
          </cell>
        </row>
        <row r="69">
          <cell r="A69" t="str">
            <v>ORD-2025-10068</v>
          </cell>
          <cell r="B69" t="str">
            <v>03 Feb 2025</v>
          </cell>
          <cell r="D69" t="str">
            <v>07-02-2025</v>
          </cell>
          <cell r="F69" t="str">
            <v>Valid</v>
          </cell>
          <cell r="H69" t="str">
            <v>Valid</v>
          </cell>
          <cell r="N69" t="str">
            <v>North</v>
          </cell>
          <cell r="V69" t="str">
            <v>First Class</v>
          </cell>
          <cell r="Z69">
            <v>0.05</v>
          </cell>
          <cell r="AB69" t="str">
            <v>Valid</v>
          </cell>
          <cell r="AC69">
            <v>24002.11</v>
          </cell>
          <cell r="AE69">
            <v>24002.111000000001</v>
          </cell>
          <cell r="AH69">
            <v>18707.57</v>
          </cell>
          <cell r="AI69">
            <v>5294.54</v>
          </cell>
          <cell r="AO69" t="str">
            <v>Paid</v>
          </cell>
          <cell r="AP69" t="str">
            <v>Completed</v>
          </cell>
        </row>
        <row r="70">
          <cell r="A70" t="str">
            <v>ORD-2024-10069</v>
          </cell>
          <cell r="B70" t="str">
            <v>11/10/2024</v>
          </cell>
          <cell r="D70" t="str">
            <v>13 Nov 2024</v>
          </cell>
          <cell r="F70" t="str">
            <v>Valid</v>
          </cell>
          <cell r="H70" t="str">
            <v>Valid</v>
          </cell>
          <cell r="N70" t="str">
            <v>East</v>
          </cell>
          <cell r="V70" t="str">
            <v>Second Class</v>
          </cell>
          <cell r="Z70">
            <v>0</v>
          </cell>
          <cell r="AB70" t="str">
            <v>Valid</v>
          </cell>
          <cell r="AC70">
            <v>19900.080000000002</v>
          </cell>
          <cell r="AE70">
            <v>19900.079999999998</v>
          </cell>
          <cell r="AH70">
            <v>10962.66</v>
          </cell>
          <cell r="AI70">
            <v>8937.42</v>
          </cell>
          <cell r="AO70" t="str">
            <v>Failed</v>
          </cell>
          <cell r="AP70" t="str">
            <v>Returned</v>
          </cell>
        </row>
        <row r="71">
          <cell r="A71" t="str">
            <v>ORD-2024-10070</v>
          </cell>
          <cell r="B71" t="str">
            <v>09 Apr 2024</v>
          </cell>
          <cell r="D71" t="str">
            <v>04/14/2024</v>
          </cell>
          <cell r="F71" t="str">
            <v>Valid</v>
          </cell>
          <cell r="H71" t="str">
            <v>Valid</v>
          </cell>
          <cell r="N71" t="str">
            <v>West</v>
          </cell>
          <cell r="V71" t="str">
            <v>Same Day</v>
          </cell>
          <cell r="Z71">
            <v>0.1</v>
          </cell>
          <cell r="AB71" t="str">
            <v>Valid</v>
          </cell>
          <cell r="AC71">
            <v>21527.67</v>
          </cell>
          <cell r="AE71">
            <v>21527.667000000001</v>
          </cell>
          <cell r="AH71">
            <v>18287.580000000002</v>
          </cell>
          <cell r="AI71">
            <v>3240.09</v>
          </cell>
          <cell r="AO71" t="str">
            <v>Refunded</v>
          </cell>
          <cell r="AP71" t="str">
            <v>Returned</v>
          </cell>
        </row>
        <row r="72">
          <cell r="A72" t="str">
            <v>ORD-2025-10071</v>
          </cell>
          <cell r="B72" t="str">
            <v>2025-08-22</v>
          </cell>
          <cell r="D72" t="str">
            <v>27 Aug 2025</v>
          </cell>
          <cell r="F72" t="str">
            <v>Valid</v>
          </cell>
          <cell r="H72" t="str">
            <v>Valid</v>
          </cell>
          <cell r="N72" t="str">
            <v>South</v>
          </cell>
          <cell r="V72" t="str">
            <v>First Class</v>
          </cell>
          <cell r="Z72">
            <v>0.15</v>
          </cell>
          <cell r="AB72" t="str">
            <v>Valid</v>
          </cell>
          <cell r="AC72">
            <v>1539.98</v>
          </cell>
          <cell r="AE72">
            <v>1539.979</v>
          </cell>
          <cell r="AH72">
            <v>1070.2</v>
          </cell>
          <cell r="AI72">
            <v>469.78</v>
          </cell>
          <cell r="AO72" t="str">
            <v>Paid</v>
          </cell>
          <cell r="AP72" t="str">
            <v>Completed</v>
          </cell>
        </row>
        <row r="73">
          <cell r="A73" t="str">
            <v>ORD-2025-10072</v>
          </cell>
          <cell r="B73" t="str">
            <v>04/16/2025</v>
          </cell>
          <cell r="D73" t="str">
            <v>2025-04-23</v>
          </cell>
          <cell r="F73" t="str">
            <v>Valid</v>
          </cell>
          <cell r="H73" t="str">
            <v>Valid</v>
          </cell>
          <cell r="N73" t="str">
            <v>West</v>
          </cell>
          <cell r="V73" t="str">
            <v>Standard Class</v>
          </cell>
          <cell r="Z73">
            <v>0.1</v>
          </cell>
          <cell r="AB73" t="str">
            <v>Valid</v>
          </cell>
          <cell r="AC73">
            <v>10947.53</v>
          </cell>
          <cell r="AE73">
            <v>10947.528</v>
          </cell>
          <cell r="AH73">
            <v>6447.36</v>
          </cell>
          <cell r="AI73">
            <v>4500.17</v>
          </cell>
          <cell r="AO73" t="str">
            <v>Paid</v>
          </cell>
          <cell r="AP73" t="str">
            <v>Completed</v>
          </cell>
        </row>
        <row r="74">
          <cell r="A74" t="str">
            <v>ORD-2024-10073</v>
          </cell>
          <cell r="B74" t="str">
            <v>2024-02-11</v>
          </cell>
          <cell r="D74" t="str">
            <v>07 Feb 2024</v>
          </cell>
          <cell r="F74" t="str">
            <v>Invalid Shipping Record</v>
          </cell>
          <cell r="H74" t="str">
            <v>Invalid Shipping Record</v>
          </cell>
          <cell r="N74" t="str">
            <v>South</v>
          </cell>
          <cell r="V74" t="str">
            <v>First Class</v>
          </cell>
          <cell r="Z74">
            <v>0.15</v>
          </cell>
          <cell r="AB74" t="str">
            <v>Valid</v>
          </cell>
          <cell r="AC74">
            <v>13610.45</v>
          </cell>
          <cell r="AE74">
            <v>13610.446499999998</v>
          </cell>
          <cell r="AH74">
            <v>10039.049999999999</v>
          </cell>
          <cell r="AI74">
            <v>3571.4</v>
          </cell>
          <cell r="AO74" t="str">
            <v>Paid</v>
          </cell>
          <cell r="AP74" t="str">
            <v>Completed</v>
          </cell>
        </row>
        <row r="75">
          <cell r="A75" t="str">
            <v>ORD-2025-10074</v>
          </cell>
          <cell r="B75" t="str">
            <v>29-03-2025</v>
          </cell>
          <cell r="D75" t="str">
            <v>04/03/2025</v>
          </cell>
          <cell r="F75" t="str">
            <v>Valid</v>
          </cell>
          <cell r="H75" t="str">
            <v>Valid</v>
          </cell>
          <cell r="N75" t="str">
            <v>East</v>
          </cell>
          <cell r="V75" t="str">
            <v>First Class</v>
          </cell>
          <cell r="Z75">
            <v>0</v>
          </cell>
          <cell r="AB75" t="str">
            <v>Valid</v>
          </cell>
          <cell r="AC75">
            <v>7128.7</v>
          </cell>
          <cell r="AE75">
            <v>7128.7</v>
          </cell>
          <cell r="AH75">
            <v>4382.1499999999996</v>
          </cell>
          <cell r="AI75">
            <v>2746.55</v>
          </cell>
          <cell r="AO75" t="str">
            <v>Paid</v>
          </cell>
          <cell r="AP75" t="str">
            <v>Completed</v>
          </cell>
        </row>
        <row r="76">
          <cell r="A76" t="str">
            <v>ORD-2025-10075</v>
          </cell>
          <cell r="B76" t="str">
            <v>02/27/2025</v>
          </cell>
          <cell r="D76" t="str">
            <v>2025-03-01</v>
          </cell>
          <cell r="F76" t="str">
            <v>Valid</v>
          </cell>
          <cell r="H76" t="str">
            <v>Valid</v>
          </cell>
          <cell r="N76" t="str">
            <v>East</v>
          </cell>
          <cell r="V76" t="str">
            <v>Standard Class</v>
          </cell>
          <cell r="Z76">
            <v>0</v>
          </cell>
          <cell r="AB76" t="str">
            <v>Valid</v>
          </cell>
          <cell r="AC76">
            <v>3309.84</v>
          </cell>
          <cell r="AE76">
            <v>3309.84</v>
          </cell>
          <cell r="AH76">
            <v>2671.08</v>
          </cell>
          <cell r="AI76">
            <v>638.76</v>
          </cell>
          <cell r="AO76" t="str">
            <v>Paid</v>
          </cell>
          <cell r="AP76" t="str">
            <v>Completed</v>
          </cell>
        </row>
        <row r="77">
          <cell r="A77" t="str">
            <v>ORD-2025-10076</v>
          </cell>
          <cell r="B77" t="str">
            <v>22-08-2025</v>
          </cell>
          <cell r="D77" t="str">
            <v>08/27/2025</v>
          </cell>
          <cell r="F77" t="str">
            <v>Valid</v>
          </cell>
          <cell r="H77" t="str">
            <v>Valid</v>
          </cell>
          <cell r="N77" t="str">
            <v>East</v>
          </cell>
          <cell r="V77" t="str">
            <v>First Class</v>
          </cell>
          <cell r="Z77">
            <v>0.2</v>
          </cell>
          <cell r="AB77" t="str">
            <v>Valid</v>
          </cell>
          <cell r="AC77">
            <v>7907.57</v>
          </cell>
          <cell r="AE77">
            <v>7907.5680000000011</v>
          </cell>
          <cell r="AH77">
            <v>5391.18</v>
          </cell>
          <cell r="AI77">
            <v>2516.39</v>
          </cell>
          <cell r="AO77" t="str">
            <v>Paid</v>
          </cell>
          <cell r="AP77" t="str">
            <v>Completed</v>
          </cell>
        </row>
        <row r="78">
          <cell r="A78" t="str">
            <v>ORD-2024-10077</v>
          </cell>
          <cell r="B78" t="str">
            <v>03 Nov 2024</v>
          </cell>
          <cell r="D78" t="str">
            <v>11-11-2024</v>
          </cell>
          <cell r="F78" t="str">
            <v>Valid</v>
          </cell>
          <cell r="H78" t="str">
            <v>Valid</v>
          </cell>
          <cell r="N78" t="str">
            <v>East</v>
          </cell>
          <cell r="V78" t="str">
            <v>Second Class</v>
          </cell>
          <cell r="Z78">
            <v>0</v>
          </cell>
          <cell r="AB78" t="str">
            <v>Valid</v>
          </cell>
          <cell r="AC78">
            <v>10218.81</v>
          </cell>
          <cell r="AE78">
            <v>10218.81</v>
          </cell>
          <cell r="AH78">
            <v>7616.97</v>
          </cell>
          <cell r="AI78">
            <v>2601.84</v>
          </cell>
          <cell r="AO78" t="str">
            <v>Paid</v>
          </cell>
          <cell r="AP78" t="str">
            <v>Completed</v>
          </cell>
        </row>
        <row r="79">
          <cell r="A79" t="str">
            <v>ORD-2025-10078</v>
          </cell>
          <cell r="B79" t="str">
            <v>07/08/2025</v>
          </cell>
          <cell r="D79" t="str">
            <v>12-07-2025</v>
          </cell>
          <cell r="F79" t="str">
            <v>Valid</v>
          </cell>
          <cell r="H79" t="str">
            <v>Valid</v>
          </cell>
          <cell r="N79" t="str">
            <v>North</v>
          </cell>
          <cell r="V79" t="str">
            <v>Standard Class</v>
          </cell>
          <cell r="Z79">
            <v>0.15</v>
          </cell>
          <cell r="AB79" t="str">
            <v>Valid</v>
          </cell>
          <cell r="AC79">
            <v>2194.87</v>
          </cell>
          <cell r="AE79">
            <v>2194.87</v>
          </cell>
          <cell r="AH79">
            <v>1223.17</v>
          </cell>
          <cell r="AI79">
            <v>971.7</v>
          </cell>
          <cell r="AO79" t="str">
            <v>Refunded</v>
          </cell>
          <cell r="AP79" t="str">
            <v>Cancelled</v>
          </cell>
        </row>
        <row r="80">
          <cell r="A80" t="str">
            <v>ORD-2025-10079</v>
          </cell>
          <cell r="B80" t="str">
            <v>07/16/2025</v>
          </cell>
          <cell r="D80" t="str">
            <v>21-07-2025</v>
          </cell>
          <cell r="F80" t="str">
            <v>Valid</v>
          </cell>
          <cell r="H80" t="str">
            <v>Valid</v>
          </cell>
          <cell r="N80" t="str">
            <v>East</v>
          </cell>
          <cell r="V80" t="str">
            <v>First Class</v>
          </cell>
          <cell r="Z80">
            <v>0.15</v>
          </cell>
          <cell r="AB80" t="str">
            <v>Valid</v>
          </cell>
          <cell r="AC80">
            <v>9050.42</v>
          </cell>
          <cell r="AE80">
            <v>9050.4175000000014</v>
          </cell>
          <cell r="AH80">
            <v>6778.85</v>
          </cell>
          <cell r="AI80">
            <v>2271.5700000000002</v>
          </cell>
          <cell r="AO80" t="str">
            <v>Paid</v>
          </cell>
          <cell r="AP80" t="str">
            <v>Completed</v>
          </cell>
        </row>
        <row r="81">
          <cell r="A81" t="str">
            <v>ORD-2025-10080</v>
          </cell>
          <cell r="B81" t="str">
            <v>2025-09-27</v>
          </cell>
          <cell r="D81" t="str">
            <v>2025-10-03</v>
          </cell>
          <cell r="F81" t="str">
            <v>Valid</v>
          </cell>
          <cell r="H81" t="str">
            <v>Valid</v>
          </cell>
          <cell r="N81" t="str">
            <v>South</v>
          </cell>
          <cell r="V81" t="str">
            <v>Same Day</v>
          </cell>
          <cell r="Z81">
            <v>0.1</v>
          </cell>
          <cell r="AB81" t="str">
            <v>Valid</v>
          </cell>
          <cell r="AC81">
            <v>33465.31</v>
          </cell>
          <cell r="AE81">
            <v>33465.312000000005</v>
          </cell>
          <cell r="AH81">
            <v>24781.26</v>
          </cell>
          <cell r="AI81">
            <v>8684.0499999999993</v>
          </cell>
          <cell r="AO81" t="str">
            <v>Paid</v>
          </cell>
          <cell r="AP81" t="str">
            <v>Completed</v>
          </cell>
        </row>
        <row r="82">
          <cell r="A82" t="str">
            <v>ORD-2024-10081</v>
          </cell>
          <cell r="B82" t="str">
            <v>2024-08-10</v>
          </cell>
          <cell r="D82" t="str">
            <v>2024-08-14</v>
          </cell>
          <cell r="F82" t="str">
            <v>Valid</v>
          </cell>
          <cell r="H82" t="str">
            <v>Valid</v>
          </cell>
          <cell r="N82" t="str">
            <v>North</v>
          </cell>
          <cell r="V82" t="str">
            <v>Second Class</v>
          </cell>
          <cell r="Z82">
            <v>0.1</v>
          </cell>
          <cell r="AB82" t="str">
            <v>Valid</v>
          </cell>
          <cell r="AC82">
            <v>4256.3500000000004</v>
          </cell>
          <cell r="AE82">
            <v>4256.3519999999999</v>
          </cell>
          <cell r="AH82">
            <v>2495.33</v>
          </cell>
          <cell r="AI82">
            <v>1761.02</v>
          </cell>
          <cell r="AO82" t="str">
            <v>Pending</v>
          </cell>
          <cell r="AP82" t="str">
            <v>Returned</v>
          </cell>
        </row>
        <row r="83">
          <cell r="A83" t="str">
            <v>ORD-2025-10082</v>
          </cell>
          <cell r="B83" t="str">
            <v>2025-03-16</v>
          </cell>
          <cell r="D83" t="str">
            <v>17-03-2025</v>
          </cell>
          <cell r="F83" t="str">
            <v>Valid</v>
          </cell>
          <cell r="H83" t="str">
            <v>Valid</v>
          </cell>
          <cell r="N83" t="str">
            <v>West</v>
          </cell>
          <cell r="V83" t="str">
            <v>Same Day</v>
          </cell>
          <cell r="Z83">
            <v>0</v>
          </cell>
          <cell r="AB83" t="str">
            <v>Valid</v>
          </cell>
          <cell r="AC83">
            <v>5525.73</v>
          </cell>
          <cell r="AE83">
            <v>5525.7300000000005</v>
          </cell>
          <cell r="AH83">
            <v>3093.42</v>
          </cell>
          <cell r="AI83">
            <v>2432.31</v>
          </cell>
          <cell r="AO83" t="str">
            <v>Paid</v>
          </cell>
          <cell r="AP83" t="str">
            <v>Completed</v>
          </cell>
        </row>
        <row r="84">
          <cell r="A84" t="str">
            <v>ORD-2024-10083</v>
          </cell>
          <cell r="B84" t="str">
            <v>2024-08-03</v>
          </cell>
          <cell r="D84" t="str">
            <v>04-08-2024</v>
          </cell>
          <cell r="F84" t="str">
            <v>Valid</v>
          </cell>
          <cell r="H84" t="str">
            <v>Valid</v>
          </cell>
          <cell r="N84" t="str">
            <v>North</v>
          </cell>
          <cell r="V84" t="str">
            <v>Second Class</v>
          </cell>
          <cell r="Z84">
            <v>0</v>
          </cell>
          <cell r="AB84" t="str">
            <v>Valid</v>
          </cell>
          <cell r="AC84">
            <v>6010.38</v>
          </cell>
          <cell r="AE84">
            <v>6010.38</v>
          </cell>
          <cell r="AH84">
            <v>3762.85</v>
          </cell>
          <cell r="AI84">
            <v>2247.5300000000002</v>
          </cell>
          <cell r="AO84" t="str">
            <v>Failed</v>
          </cell>
          <cell r="AP84" t="str">
            <v>Returned</v>
          </cell>
        </row>
        <row r="85">
          <cell r="A85" t="str">
            <v>ORD-2024-10084</v>
          </cell>
          <cell r="B85" t="str">
            <v>26-10-2024</v>
          </cell>
          <cell r="D85" t="str">
            <v>29-10-2024</v>
          </cell>
          <cell r="F85" t="str">
            <v>Valid</v>
          </cell>
          <cell r="H85" t="str">
            <v>Valid</v>
          </cell>
          <cell r="N85" t="str">
            <v>West</v>
          </cell>
          <cell r="V85" t="str">
            <v>Second Class</v>
          </cell>
          <cell r="Z85">
            <v>0.2</v>
          </cell>
          <cell r="AB85" t="str">
            <v>Valid</v>
          </cell>
          <cell r="AC85">
            <v>948.53</v>
          </cell>
          <cell r="AE85">
            <v>948.52800000000013</v>
          </cell>
          <cell r="AH85">
            <v>674.62</v>
          </cell>
          <cell r="AI85">
            <v>273.91000000000003</v>
          </cell>
          <cell r="AO85" t="str">
            <v>Paid</v>
          </cell>
          <cell r="AP85" t="str">
            <v>Completed</v>
          </cell>
        </row>
        <row r="86">
          <cell r="A86" t="str">
            <v>ORD-2024-10085</v>
          </cell>
          <cell r="B86" t="str">
            <v>01 Oct 2024</v>
          </cell>
          <cell r="D86" t="str">
            <v>2024-10-03</v>
          </cell>
          <cell r="F86" t="str">
            <v>Valid</v>
          </cell>
          <cell r="H86" t="str">
            <v>Valid</v>
          </cell>
          <cell r="N86" t="str">
            <v>South</v>
          </cell>
          <cell r="V86" t="str">
            <v>Second Class</v>
          </cell>
          <cell r="Z86">
            <v>0.2</v>
          </cell>
          <cell r="AB86" t="str">
            <v>Valid</v>
          </cell>
          <cell r="AC86">
            <v>2737.34</v>
          </cell>
          <cell r="AE86">
            <v>2737.3440000000001</v>
          </cell>
          <cell r="AH86">
            <v>2085.44</v>
          </cell>
          <cell r="AI86">
            <v>651.9</v>
          </cell>
          <cell r="AO86" t="str">
            <v>Paid</v>
          </cell>
          <cell r="AP86" t="str">
            <v>Completed</v>
          </cell>
        </row>
        <row r="87">
          <cell r="A87" t="str">
            <v>ORD-2024-10086</v>
          </cell>
          <cell r="B87" t="str">
            <v>2024-07-30</v>
          </cell>
          <cell r="D87" t="str">
            <v>08/05/2024</v>
          </cell>
          <cell r="F87" t="str">
            <v>Valid</v>
          </cell>
          <cell r="H87" t="str">
            <v>Valid</v>
          </cell>
          <cell r="N87" t="str">
            <v>North</v>
          </cell>
          <cell r="V87" t="str">
            <v>Standard Class</v>
          </cell>
          <cell r="Z87">
            <v>0</v>
          </cell>
          <cell r="AB87" t="str">
            <v>Valid</v>
          </cell>
          <cell r="AC87">
            <v>608.64</v>
          </cell>
          <cell r="AE87">
            <v>608.64</v>
          </cell>
          <cell r="AH87">
            <v>343.99</v>
          </cell>
          <cell r="AI87">
            <v>264.64999999999998</v>
          </cell>
          <cell r="AO87" t="str">
            <v>Paid</v>
          </cell>
          <cell r="AP87" t="str">
            <v>Cancelled</v>
          </cell>
        </row>
        <row r="88">
          <cell r="A88" t="str">
            <v>ORD-2024-10087</v>
          </cell>
          <cell r="B88" t="str">
            <v>01 Jul 2024</v>
          </cell>
          <cell r="D88" t="str">
            <v>01 Jul 2024</v>
          </cell>
          <cell r="F88" t="str">
            <v>Valid</v>
          </cell>
          <cell r="H88" t="str">
            <v>Valid</v>
          </cell>
          <cell r="N88" t="str">
            <v>North</v>
          </cell>
          <cell r="V88" t="str">
            <v>Second Class</v>
          </cell>
          <cell r="Z88">
            <v>0.1</v>
          </cell>
          <cell r="AB88" t="str">
            <v>Valid</v>
          </cell>
          <cell r="AC88">
            <v>2390.2600000000002</v>
          </cell>
          <cell r="AE88">
            <v>2390.2560000000003</v>
          </cell>
          <cell r="AH88">
            <v>1495.94</v>
          </cell>
          <cell r="AI88">
            <v>894.32</v>
          </cell>
          <cell r="AO88" t="str">
            <v>Refunded</v>
          </cell>
          <cell r="AP88" t="str">
            <v>Cancelled</v>
          </cell>
        </row>
        <row r="89">
          <cell r="A89" t="str">
            <v>ORD-2024-10088</v>
          </cell>
          <cell r="B89" t="str">
            <v>02-08-2024</v>
          </cell>
          <cell r="D89" t="str">
            <v>2024-08-03</v>
          </cell>
          <cell r="F89" t="str">
            <v>Valid</v>
          </cell>
          <cell r="H89" t="str">
            <v>Valid</v>
          </cell>
          <cell r="N89" t="str">
            <v>East</v>
          </cell>
          <cell r="V89" t="str">
            <v>Standard Class</v>
          </cell>
          <cell r="Z89">
            <v>0</v>
          </cell>
          <cell r="AB89" t="str">
            <v>Valid</v>
          </cell>
          <cell r="AC89">
            <v>23416.54</v>
          </cell>
          <cell r="AE89">
            <v>23416.539999999997</v>
          </cell>
          <cell r="AH89">
            <v>15490.89</v>
          </cell>
          <cell r="AI89">
            <v>7925.65</v>
          </cell>
          <cell r="AO89" t="str">
            <v>Paid</v>
          </cell>
          <cell r="AP89" t="str">
            <v>Completed</v>
          </cell>
        </row>
        <row r="90">
          <cell r="A90" t="str">
            <v>ORD-2024-10089</v>
          </cell>
          <cell r="B90" t="str">
            <v>03/24/2024</v>
          </cell>
          <cell r="D90" t="str">
            <v>27 Mar 2024</v>
          </cell>
          <cell r="F90" t="str">
            <v>Valid</v>
          </cell>
          <cell r="H90" t="str">
            <v>Valid</v>
          </cell>
          <cell r="N90" t="str">
            <v>West</v>
          </cell>
          <cell r="V90" t="str">
            <v>Standard Class</v>
          </cell>
          <cell r="Z90">
            <v>0.05</v>
          </cell>
          <cell r="AB90" t="str">
            <v>Valid</v>
          </cell>
          <cell r="AC90">
            <v>6241.02</v>
          </cell>
          <cell r="AE90">
            <v>6241.0249999999996</v>
          </cell>
          <cell r="AH90">
            <v>5345.88</v>
          </cell>
          <cell r="AI90">
            <v>895.14</v>
          </cell>
          <cell r="AO90" t="str">
            <v>Paid</v>
          </cell>
          <cell r="AP90" t="str">
            <v>Completed</v>
          </cell>
        </row>
        <row r="91">
          <cell r="A91" t="str">
            <v>ORD-2024-10090</v>
          </cell>
          <cell r="B91" t="str">
            <v>05 Sep 2024</v>
          </cell>
          <cell r="D91" t="str">
            <v>05 Sep 2024</v>
          </cell>
          <cell r="F91" t="str">
            <v>Valid</v>
          </cell>
          <cell r="H91" t="str">
            <v>Valid</v>
          </cell>
          <cell r="N91" t="str">
            <v>South</v>
          </cell>
          <cell r="V91" t="str">
            <v>Standard Class</v>
          </cell>
          <cell r="Z91">
            <v>0.2</v>
          </cell>
          <cell r="AB91" t="str">
            <v>Valid</v>
          </cell>
          <cell r="AC91">
            <v>21062.1</v>
          </cell>
          <cell r="AE91">
            <v>21062.104000000003</v>
          </cell>
          <cell r="AH91">
            <v>12057.13</v>
          </cell>
          <cell r="AI91">
            <v>9004.9699999999993</v>
          </cell>
          <cell r="AO91" t="str">
            <v>Pending</v>
          </cell>
          <cell r="AP91" t="str">
            <v>Cancelled</v>
          </cell>
        </row>
        <row r="92">
          <cell r="A92" t="str">
            <v>ORD-2025-10091</v>
          </cell>
          <cell r="B92" t="str">
            <v>08/24/2025</v>
          </cell>
          <cell r="D92" t="str">
            <v>29 Aug 2025</v>
          </cell>
          <cell r="F92" t="str">
            <v>Valid</v>
          </cell>
          <cell r="H92" t="str">
            <v>Valid</v>
          </cell>
          <cell r="N92" t="str">
            <v>East</v>
          </cell>
          <cell r="V92" t="str">
            <v>First Class</v>
          </cell>
          <cell r="Z92">
            <v>0.15</v>
          </cell>
          <cell r="AB92" t="str">
            <v>Valid</v>
          </cell>
          <cell r="AC92">
            <v>9445.1</v>
          </cell>
          <cell r="AE92">
            <v>9445.098</v>
          </cell>
          <cell r="AH92">
            <v>5586.28</v>
          </cell>
          <cell r="AI92">
            <v>3858.82</v>
          </cell>
          <cell r="AO92" t="str">
            <v>Paid</v>
          </cell>
          <cell r="AP92" t="str">
            <v>Completed</v>
          </cell>
        </row>
        <row r="93">
          <cell r="A93" t="str">
            <v>ORD-2025-10092</v>
          </cell>
          <cell r="B93" t="str">
            <v>02-03-2025</v>
          </cell>
          <cell r="D93" t="str">
            <v>03/08/2025</v>
          </cell>
          <cell r="F93" t="str">
            <v>Valid</v>
          </cell>
          <cell r="H93" t="str">
            <v>Valid</v>
          </cell>
          <cell r="N93" t="str">
            <v>West</v>
          </cell>
          <cell r="V93" t="str">
            <v>Second Class</v>
          </cell>
          <cell r="Z93">
            <v>0</v>
          </cell>
          <cell r="AB93" t="str">
            <v>Valid</v>
          </cell>
          <cell r="AC93">
            <v>2427.12</v>
          </cell>
          <cell r="AE93">
            <v>2427.12</v>
          </cell>
          <cell r="AH93">
            <v>1538.35</v>
          </cell>
          <cell r="AI93">
            <v>804.53</v>
          </cell>
          <cell r="AO93" t="str">
            <v>Paid</v>
          </cell>
          <cell r="AP93" t="str">
            <v>Completed</v>
          </cell>
        </row>
        <row r="94">
          <cell r="A94" t="str">
            <v>ORD-2025-10093</v>
          </cell>
          <cell r="B94" t="str">
            <v>23 Jan 2025</v>
          </cell>
          <cell r="D94" t="str">
            <v>01/26/2025</v>
          </cell>
          <cell r="F94" t="str">
            <v>Valid</v>
          </cell>
          <cell r="H94" t="str">
            <v>Valid</v>
          </cell>
          <cell r="N94" t="str">
            <v>West</v>
          </cell>
          <cell r="V94" t="str">
            <v>Standard Class</v>
          </cell>
          <cell r="Z94">
            <v>0.1</v>
          </cell>
          <cell r="AB94" t="str">
            <v>Valid</v>
          </cell>
          <cell r="AC94">
            <v>36111.910000000003</v>
          </cell>
          <cell r="AE94">
            <v>36111.906000000003</v>
          </cell>
          <cell r="AH94">
            <v>29194.5</v>
          </cell>
          <cell r="AI94">
            <v>6917.41</v>
          </cell>
          <cell r="AO94" t="str">
            <v>Paid</v>
          </cell>
          <cell r="AP94" t="str">
            <v>Completed</v>
          </cell>
        </row>
        <row r="95">
          <cell r="A95" t="str">
            <v>ORD-2024-10094</v>
          </cell>
          <cell r="B95" t="str">
            <v>01/07/2024</v>
          </cell>
          <cell r="D95" t="str">
            <v>13-01-2024</v>
          </cell>
          <cell r="F95" t="str">
            <v>Valid</v>
          </cell>
          <cell r="H95" t="str">
            <v>Valid</v>
          </cell>
          <cell r="N95" t="str">
            <v>North</v>
          </cell>
          <cell r="V95" t="str">
            <v>Standard Class</v>
          </cell>
          <cell r="Z95">
            <v>-0.09</v>
          </cell>
          <cell r="AB95" t="str">
            <v>Invalid - Negative Discount</v>
          </cell>
          <cell r="AC95">
            <v>19522.79</v>
          </cell>
          <cell r="AE95">
            <v>21279.841099999998</v>
          </cell>
          <cell r="AH95">
            <v>12455.78</v>
          </cell>
          <cell r="AI95">
            <v>7067.01</v>
          </cell>
          <cell r="AO95" t="str">
            <v>Paid</v>
          </cell>
          <cell r="AP95" t="str">
            <v>Completed</v>
          </cell>
        </row>
        <row r="96">
          <cell r="A96" t="str">
            <v>ORD-2024-10095</v>
          </cell>
          <cell r="B96" t="str">
            <v>09/06/2024</v>
          </cell>
          <cell r="D96" t="str">
            <v>09 Sep 2024</v>
          </cell>
          <cell r="F96" t="str">
            <v>Valid</v>
          </cell>
          <cell r="H96" t="str">
            <v>Valid</v>
          </cell>
          <cell r="N96" t="str">
            <v>North</v>
          </cell>
          <cell r="V96" t="str">
            <v>Second Class</v>
          </cell>
          <cell r="Z96">
            <v>0</v>
          </cell>
          <cell r="AB96" t="str">
            <v>Valid</v>
          </cell>
          <cell r="AC96">
            <v>26470.71</v>
          </cell>
          <cell r="AE96">
            <v>26470.710000000003</v>
          </cell>
          <cell r="AH96">
            <v>21367.599999999999</v>
          </cell>
          <cell r="AI96">
            <v>5103.1099999999997</v>
          </cell>
          <cell r="AO96" t="str">
            <v>Pending</v>
          </cell>
          <cell r="AP96" t="str">
            <v>Cancelled</v>
          </cell>
        </row>
        <row r="97">
          <cell r="A97" t="str">
            <v>ORD-2025-10096</v>
          </cell>
          <cell r="B97" t="str">
            <v>05-09-2025</v>
          </cell>
          <cell r="D97" t="str">
            <v>09/10/2025</v>
          </cell>
          <cell r="F97" t="str">
            <v>Valid</v>
          </cell>
          <cell r="H97" t="str">
            <v>Valid</v>
          </cell>
          <cell r="N97" t="str">
            <v>West</v>
          </cell>
          <cell r="V97" t="str">
            <v>Same Day</v>
          </cell>
          <cell r="Z97">
            <v>0</v>
          </cell>
          <cell r="AB97" t="str">
            <v>Valid</v>
          </cell>
          <cell r="AC97">
            <v>10524.78</v>
          </cell>
          <cell r="AE97">
            <v>10524.78</v>
          </cell>
          <cell r="AH97">
            <v>8841.0499999999993</v>
          </cell>
          <cell r="AI97">
            <v>1683.73</v>
          </cell>
          <cell r="AO97" t="str">
            <v>Paid</v>
          </cell>
          <cell r="AP97" t="str">
            <v>Completed</v>
          </cell>
        </row>
        <row r="98">
          <cell r="A98" t="str">
            <v>ORD-2024-10097</v>
          </cell>
          <cell r="B98" t="str">
            <v>05 Jun 2024</v>
          </cell>
          <cell r="D98" t="str">
            <v>07-06-2024</v>
          </cell>
          <cell r="F98" t="str">
            <v>Valid</v>
          </cell>
          <cell r="H98" t="str">
            <v>Valid</v>
          </cell>
          <cell r="N98" t="str">
            <v>East</v>
          </cell>
          <cell r="V98" t="str">
            <v>Second Class</v>
          </cell>
          <cell r="Z98">
            <v>0.15</v>
          </cell>
          <cell r="AB98" t="str">
            <v>Valid</v>
          </cell>
          <cell r="AC98">
            <v>3840.71</v>
          </cell>
          <cell r="AE98">
            <v>3840.7079999999996</v>
          </cell>
          <cell r="AH98">
            <v>2516.29</v>
          </cell>
          <cell r="AI98">
            <v>1324.42</v>
          </cell>
          <cell r="AO98" t="str">
            <v>Paid</v>
          </cell>
          <cell r="AP98" t="str">
            <v>Completed</v>
          </cell>
        </row>
        <row r="99">
          <cell r="A99" t="str">
            <v>ORD-2025-10098</v>
          </cell>
          <cell r="B99" t="str">
            <v>08 Aug 2025</v>
          </cell>
          <cell r="D99" t="str">
            <v>2025-08-11</v>
          </cell>
          <cell r="F99" t="str">
            <v>Valid</v>
          </cell>
          <cell r="H99" t="str">
            <v>Valid</v>
          </cell>
          <cell r="N99" t="str">
            <v>West</v>
          </cell>
          <cell r="V99" t="str">
            <v>Same Day</v>
          </cell>
          <cell r="Z99">
            <v>0.2</v>
          </cell>
          <cell r="AB99" t="str">
            <v>Valid</v>
          </cell>
          <cell r="AC99">
            <v>14409.44</v>
          </cell>
          <cell r="AE99">
            <v>14409.44</v>
          </cell>
          <cell r="AH99">
            <v>8809.9699999999993</v>
          </cell>
          <cell r="AI99">
            <v>5599.47</v>
          </cell>
          <cell r="AO99" t="str">
            <v>Pending</v>
          </cell>
          <cell r="AP99" t="str">
            <v>Returned</v>
          </cell>
        </row>
        <row r="100">
          <cell r="A100" t="str">
            <v>ORD-2024-10099</v>
          </cell>
          <cell r="B100" t="str">
            <v>2024-01-26</v>
          </cell>
          <cell r="D100" t="str">
            <v>02/01/2024</v>
          </cell>
          <cell r="F100" t="str">
            <v>Valid</v>
          </cell>
          <cell r="H100" t="str">
            <v>Valid</v>
          </cell>
          <cell r="N100" t="str">
            <v>South</v>
          </cell>
          <cell r="Z100">
            <v>0.1</v>
          </cell>
          <cell r="AB100" t="str">
            <v>Valid</v>
          </cell>
          <cell r="AC100">
            <v>15184.3</v>
          </cell>
          <cell r="AE100">
            <v>15184.295999999998</v>
          </cell>
          <cell r="AH100">
            <v>11270.74</v>
          </cell>
          <cell r="AI100">
            <v>3913.56</v>
          </cell>
          <cell r="AO100" t="str">
            <v>Paid</v>
          </cell>
          <cell r="AP100" t="str">
            <v>Completed</v>
          </cell>
        </row>
        <row r="101">
          <cell r="A101" t="str">
            <v>ORD-2025-10100</v>
          </cell>
          <cell r="B101" t="str">
            <v>11-01-2025</v>
          </cell>
          <cell r="D101" t="str">
            <v>11-01-2025</v>
          </cell>
          <cell r="F101" t="str">
            <v>Valid</v>
          </cell>
          <cell r="H101" t="str">
            <v>Valid</v>
          </cell>
          <cell r="N101" t="str">
            <v>West</v>
          </cell>
          <cell r="V101" t="str">
            <v>Same Day</v>
          </cell>
          <cell r="Z101">
            <v>0</v>
          </cell>
          <cell r="AB101" t="str">
            <v>Valid</v>
          </cell>
          <cell r="AC101">
            <v>6495.87</v>
          </cell>
          <cell r="AE101">
            <v>6495.87</v>
          </cell>
          <cell r="AH101">
            <v>4700.8900000000003</v>
          </cell>
          <cell r="AI101">
            <v>1794.98</v>
          </cell>
          <cell r="AO101" t="str">
            <v>Paid</v>
          </cell>
          <cell r="AP101" t="str">
            <v>Completed</v>
          </cell>
        </row>
        <row r="102">
          <cell r="A102" t="str">
            <v>ORD-2025-10101</v>
          </cell>
          <cell r="B102" t="str">
            <v>12 Sep 2025</v>
          </cell>
          <cell r="D102" t="str">
            <v>18 Sep 2025</v>
          </cell>
          <cell r="F102" t="str">
            <v>Valid</v>
          </cell>
          <cell r="H102" t="str">
            <v>Valid</v>
          </cell>
          <cell r="N102" t="str">
            <v>South</v>
          </cell>
          <cell r="V102" t="str">
            <v>Standard Class</v>
          </cell>
          <cell r="Z102">
            <v>0.05</v>
          </cell>
          <cell r="AB102" t="str">
            <v>Valid</v>
          </cell>
          <cell r="AC102">
            <v>9540.66</v>
          </cell>
          <cell r="AE102">
            <v>9540.659999999998</v>
          </cell>
          <cell r="AH102">
            <v>5561.49</v>
          </cell>
          <cell r="AI102">
            <v>3979.17</v>
          </cell>
          <cell r="AO102" t="str">
            <v>Paid</v>
          </cell>
          <cell r="AP102" t="str">
            <v>Completed</v>
          </cell>
        </row>
        <row r="103">
          <cell r="A103" t="str">
            <v>ORD-2024-10102</v>
          </cell>
          <cell r="B103" t="str">
            <v>06/22/2024</v>
          </cell>
          <cell r="D103" t="str">
            <v>26-06-2024</v>
          </cell>
          <cell r="F103" t="str">
            <v>Valid</v>
          </cell>
          <cell r="H103" t="str">
            <v>Valid</v>
          </cell>
          <cell r="N103" t="str">
            <v>East</v>
          </cell>
          <cell r="V103" t="str">
            <v>First Class</v>
          </cell>
          <cell r="Z103">
            <v>0.25</v>
          </cell>
          <cell r="AB103" t="str">
            <v>Valid</v>
          </cell>
          <cell r="AC103">
            <v>16486.95</v>
          </cell>
          <cell r="AE103">
            <v>16486.95</v>
          </cell>
          <cell r="AH103">
            <v>12054.14</v>
          </cell>
          <cell r="AI103">
            <v>4432.8100000000004</v>
          </cell>
          <cell r="AO103" t="str">
            <v>Paid</v>
          </cell>
          <cell r="AP103" t="str">
            <v>Completed</v>
          </cell>
        </row>
        <row r="104">
          <cell r="A104" t="str">
            <v>ORD-2025-10103</v>
          </cell>
          <cell r="B104" t="str">
            <v>12 Jul 2025</v>
          </cell>
          <cell r="D104" t="str">
            <v>2025-07-16</v>
          </cell>
          <cell r="F104" t="str">
            <v>Valid</v>
          </cell>
          <cell r="H104" t="str">
            <v>Valid</v>
          </cell>
          <cell r="N104" t="str">
            <v>South</v>
          </cell>
          <cell r="V104" t="str">
            <v>First Class</v>
          </cell>
          <cell r="Z104">
            <v>0</v>
          </cell>
          <cell r="AB104" t="str">
            <v>Valid</v>
          </cell>
          <cell r="AC104">
            <v>11462.84</v>
          </cell>
          <cell r="AE104">
            <v>11462.84</v>
          </cell>
          <cell r="AH104">
            <v>8979.7800000000007</v>
          </cell>
          <cell r="AI104">
            <v>2483.06</v>
          </cell>
          <cell r="AO104" t="str">
            <v>Refunded</v>
          </cell>
          <cell r="AP104" t="str">
            <v>Cancelled</v>
          </cell>
        </row>
        <row r="105">
          <cell r="A105" t="str">
            <v>ORD-2025-10104</v>
          </cell>
          <cell r="B105" t="str">
            <v>05/02/2025</v>
          </cell>
          <cell r="D105" t="str">
            <v>05/10/2025</v>
          </cell>
          <cell r="F105" t="str">
            <v>Valid</v>
          </cell>
          <cell r="H105" t="str">
            <v>Valid</v>
          </cell>
          <cell r="N105" t="str">
            <v>West</v>
          </cell>
          <cell r="V105" t="str">
            <v>First Class</v>
          </cell>
          <cell r="Z105">
            <v>0.2</v>
          </cell>
          <cell r="AB105" t="str">
            <v>Valid</v>
          </cell>
          <cell r="AC105">
            <v>7809.09</v>
          </cell>
          <cell r="AE105">
            <v>7809.0880000000006</v>
          </cell>
          <cell r="AH105">
            <v>6657.75</v>
          </cell>
          <cell r="AI105">
            <v>1151.3399999999999</v>
          </cell>
          <cell r="AO105" t="str">
            <v>Paid</v>
          </cell>
          <cell r="AP105" t="str">
            <v>Completed</v>
          </cell>
        </row>
        <row r="106">
          <cell r="A106" t="str">
            <v>ORD-2025-10105</v>
          </cell>
          <cell r="B106" t="str">
            <v>2025-02-01</v>
          </cell>
          <cell r="D106" t="str">
            <v>02/08/2025</v>
          </cell>
          <cell r="F106" t="str">
            <v>Valid</v>
          </cell>
          <cell r="H106" t="str">
            <v>Valid</v>
          </cell>
          <cell r="N106" t="str">
            <v>South</v>
          </cell>
          <cell r="V106" t="str">
            <v>Same Day</v>
          </cell>
          <cell r="Z106">
            <v>0.25</v>
          </cell>
          <cell r="AB106" t="str">
            <v>Valid</v>
          </cell>
          <cell r="AC106">
            <v>8260.4599999999991</v>
          </cell>
          <cell r="AE106">
            <v>7922.0250000000005</v>
          </cell>
          <cell r="AH106">
            <v>5619.95</v>
          </cell>
          <cell r="AI106">
            <v>2302.08</v>
          </cell>
          <cell r="AO106" t="str">
            <v>Paid</v>
          </cell>
          <cell r="AP106" t="str">
            <v>Cancelled</v>
          </cell>
        </row>
        <row r="107">
          <cell r="A107" t="str">
            <v>ORD-2024-10106</v>
          </cell>
          <cell r="B107" t="str">
            <v>06/24/2024</v>
          </cell>
          <cell r="D107" t="str">
            <v>29-06-2024</v>
          </cell>
          <cell r="F107" t="str">
            <v>Valid</v>
          </cell>
          <cell r="H107" t="str">
            <v>Valid</v>
          </cell>
          <cell r="N107" t="str">
            <v>East</v>
          </cell>
          <cell r="V107" t="str">
            <v>Second Class</v>
          </cell>
          <cell r="Z107">
            <v>0.1</v>
          </cell>
          <cell r="AB107" t="str">
            <v>Valid</v>
          </cell>
          <cell r="AC107">
            <v>1233</v>
          </cell>
          <cell r="AE107">
            <v>1233</v>
          </cell>
          <cell r="AH107">
            <v>1006.9</v>
          </cell>
          <cell r="AI107">
            <v>226.1</v>
          </cell>
          <cell r="AO107" t="str">
            <v>Paid</v>
          </cell>
          <cell r="AP107" t="str">
            <v>Completed</v>
          </cell>
        </row>
        <row r="108">
          <cell r="A108" t="str">
            <v>ORD-2024-10107</v>
          </cell>
          <cell r="B108" t="str">
            <v>20-02-2024</v>
          </cell>
          <cell r="D108" t="str">
            <v>28 Feb 2024</v>
          </cell>
          <cell r="F108" t="str">
            <v>Valid</v>
          </cell>
          <cell r="H108" t="str">
            <v>Valid</v>
          </cell>
          <cell r="N108" t="str">
            <v>East</v>
          </cell>
          <cell r="V108" t="str">
            <v>Standard Class</v>
          </cell>
          <cell r="AB108" t="str">
            <v>Valid</v>
          </cell>
          <cell r="AC108">
            <v>7207.27</v>
          </cell>
          <cell r="AE108">
            <v>8008.08</v>
          </cell>
          <cell r="AH108">
            <v>5709.39</v>
          </cell>
          <cell r="AI108">
            <v>1497.88</v>
          </cell>
          <cell r="AO108" t="str">
            <v>Paid</v>
          </cell>
          <cell r="AP108" t="str">
            <v>Cancelled</v>
          </cell>
        </row>
        <row r="109">
          <cell r="A109" t="str">
            <v>ORD-2024-10108</v>
          </cell>
          <cell r="B109" t="str">
            <v>29 Oct 2024</v>
          </cell>
          <cell r="D109" t="str">
            <v>2024-11-04</v>
          </cell>
          <cell r="F109" t="str">
            <v>Valid</v>
          </cell>
          <cell r="H109" t="str">
            <v>Valid</v>
          </cell>
          <cell r="N109" t="str">
            <v>East</v>
          </cell>
          <cell r="V109" t="str">
            <v>First Class</v>
          </cell>
          <cell r="Z109">
            <v>0.05</v>
          </cell>
          <cell r="AB109" t="str">
            <v>Valid</v>
          </cell>
          <cell r="AC109">
            <v>12263.24</v>
          </cell>
          <cell r="AE109">
            <v>12263.236500000001</v>
          </cell>
          <cell r="AH109">
            <v>8925.57</v>
          </cell>
          <cell r="AI109">
            <v>3337.67</v>
          </cell>
          <cell r="AO109" t="str">
            <v>Paid</v>
          </cell>
          <cell r="AP109" t="str">
            <v>Completed</v>
          </cell>
        </row>
        <row r="110">
          <cell r="A110" t="str">
            <v>ORD-2024-10109</v>
          </cell>
          <cell r="B110" t="str">
            <v>15 Aug 2024</v>
          </cell>
          <cell r="D110" t="str">
            <v>08/23/2024</v>
          </cell>
          <cell r="F110" t="str">
            <v>Valid</v>
          </cell>
          <cell r="H110" t="str">
            <v>Valid</v>
          </cell>
          <cell r="N110" t="str">
            <v>East</v>
          </cell>
          <cell r="V110" t="str">
            <v>Same Day</v>
          </cell>
          <cell r="Z110">
            <v>0.25</v>
          </cell>
          <cell r="AB110" t="str">
            <v>Valid</v>
          </cell>
          <cell r="AC110">
            <v>806.31</v>
          </cell>
          <cell r="AE110">
            <v>806.31</v>
          </cell>
          <cell r="AH110">
            <v>498.5</v>
          </cell>
          <cell r="AI110">
            <v>307.81</v>
          </cell>
          <cell r="AO110" t="str">
            <v>Paid</v>
          </cell>
          <cell r="AP110" t="str">
            <v>Completed</v>
          </cell>
        </row>
        <row r="111">
          <cell r="A111" t="str">
            <v>ORD-2025-10110</v>
          </cell>
          <cell r="B111" t="str">
            <v>23-08-2025</v>
          </cell>
          <cell r="D111" t="str">
            <v>08/27/2025</v>
          </cell>
          <cell r="F111" t="str">
            <v>Valid</v>
          </cell>
          <cell r="H111" t="str">
            <v>Valid</v>
          </cell>
          <cell r="N111" t="str">
            <v>North</v>
          </cell>
          <cell r="V111" t="str">
            <v>Second Class</v>
          </cell>
          <cell r="Z111">
            <v>0.25</v>
          </cell>
          <cell r="AB111" t="str">
            <v>Valid</v>
          </cell>
          <cell r="AC111">
            <v>2091.4699999999998</v>
          </cell>
          <cell r="AE111">
            <v>2091.4650000000001</v>
          </cell>
          <cell r="AH111">
            <v>1317.22</v>
          </cell>
          <cell r="AI111">
            <v>774.25</v>
          </cell>
          <cell r="AO111" t="str">
            <v>Paid</v>
          </cell>
          <cell r="AP111" t="str">
            <v>Completed</v>
          </cell>
        </row>
        <row r="112">
          <cell r="A112" t="str">
            <v>ORD-2024-10111</v>
          </cell>
          <cell r="B112" t="str">
            <v>10/18/2024</v>
          </cell>
          <cell r="D112" t="str">
            <v>2024-10-24</v>
          </cell>
          <cell r="F112" t="str">
            <v>Valid</v>
          </cell>
          <cell r="H112" t="str">
            <v>Valid</v>
          </cell>
          <cell r="N112" t="str">
            <v>South</v>
          </cell>
          <cell r="V112" t="str">
            <v>First Class</v>
          </cell>
          <cell r="Z112">
            <v>0</v>
          </cell>
          <cell r="AB112" t="str">
            <v>Valid</v>
          </cell>
          <cell r="AC112">
            <v>4500.9399999999996</v>
          </cell>
          <cell r="AE112">
            <v>4500.9399999999996</v>
          </cell>
          <cell r="AH112">
            <v>2607.73</v>
          </cell>
          <cell r="AI112">
            <v>1893.21</v>
          </cell>
          <cell r="AO112" t="str">
            <v>Refunded</v>
          </cell>
          <cell r="AP112" t="str">
            <v>Cancelled</v>
          </cell>
        </row>
        <row r="113">
          <cell r="A113" t="str">
            <v>ORD-2025-10112</v>
          </cell>
          <cell r="B113" t="str">
            <v>06/27/2025</v>
          </cell>
          <cell r="D113" t="str">
            <v>2025-06-30</v>
          </cell>
          <cell r="F113" t="str">
            <v>Valid</v>
          </cell>
          <cell r="H113" t="str">
            <v>Valid</v>
          </cell>
          <cell r="N113" t="str">
            <v>East</v>
          </cell>
          <cell r="V113" t="str">
            <v>First Class</v>
          </cell>
          <cell r="Z113">
            <v>0.05</v>
          </cell>
          <cell r="AB113" t="str">
            <v>Valid</v>
          </cell>
          <cell r="AC113">
            <v>1623.02</v>
          </cell>
          <cell r="AE113">
            <v>1623.018</v>
          </cell>
          <cell r="AH113">
            <v>1077.46</v>
          </cell>
          <cell r="AI113">
            <v>545.55999999999995</v>
          </cell>
          <cell r="AO113" t="str">
            <v>Pending</v>
          </cell>
          <cell r="AP113" t="str">
            <v>Cancelled</v>
          </cell>
        </row>
        <row r="114">
          <cell r="A114" t="str">
            <v>ORD-2024-10113</v>
          </cell>
          <cell r="B114" t="str">
            <v>10 Jan 2024</v>
          </cell>
          <cell r="D114" t="str">
            <v>14-01-2024</v>
          </cell>
          <cell r="F114" t="str">
            <v>Valid</v>
          </cell>
          <cell r="H114" t="str">
            <v>Valid</v>
          </cell>
          <cell r="V114" t="str">
            <v>Standard Class</v>
          </cell>
          <cell r="Z114">
            <v>0.05</v>
          </cell>
          <cell r="AB114" t="str">
            <v>Valid</v>
          </cell>
          <cell r="AC114">
            <v>10914.02</v>
          </cell>
          <cell r="AE114">
            <v>10914.018</v>
          </cell>
          <cell r="AH114">
            <v>6548.74</v>
          </cell>
          <cell r="AI114">
            <v>4365.28</v>
          </cell>
          <cell r="AO114" t="str">
            <v>Paid</v>
          </cell>
          <cell r="AP114" t="str">
            <v>Completed</v>
          </cell>
        </row>
        <row r="115">
          <cell r="A115" t="str">
            <v>ORD-2024-10114</v>
          </cell>
          <cell r="B115" t="str">
            <v>12-02-2024</v>
          </cell>
          <cell r="D115" t="str">
            <v>12-02-2024</v>
          </cell>
          <cell r="F115" t="str">
            <v>Valid</v>
          </cell>
          <cell r="H115" t="str">
            <v>Valid</v>
          </cell>
          <cell r="N115" t="str">
            <v>South</v>
          </cell>
          <cell r="V115" t="str">
            <v>Standard Class</v>
          </cell>
          <cell r="Z115">
            <v>0.25</v>
          </cell>
          <cell r="AB115" t="str">
            <v>Valid</v>
          </cell>
          <cell r="AC115">
            <v>2450.59</v>
          </cell>
          <cell r="AE115">
            <v>2450.5875000000001</v>
          </cell>
          <cell r="AH115">
            <v>1639.89</v>
          </cell>
          <cell r="AI115">
            <v>810.7</v>
          </cell>
          <cell r="AO115" t="str">
            <v>Paid</v>
          </cell>
          <cell r="AP115" t="str">
            <v>Completed</v>
          </cell>
        </row>
        <row r="116">
          <cell r="A116" t="str">
            <v>ORD-2024-10115</v>
          </cell>
          <cell r="B116" t="str">
            <v>2024-09-25</v>
          </cell>
          <cell r="D116" t="str">
            <v>30 Sep 2024</v>
          </cell>
          <cell r="F116" t="str">
            <v>Valid</v>
          </cell>
          <cell r="H116" t="str">
            <v>Valid</v>
          </cell>
          <cell r="N116" t="str">
            <v>North</v>
          </cell>
          <cell r="V116" t="str">
            <v>Second Class</v>
          </cell>
          <cell r="Z116">
            <v>0.1</v>
          </cell>
          <cell r="AB116" t="str">
            <v>Valid</v>
          </cell>
          <cell r="AC116">
            <v>3949.56</v>
          </cell>
          <cell r="AE116">
            <v>3949.56</v>
          </cell>
          <cell r="AH116">
            <v>3186.73</v>
          </cell>
          <cell r="AI116">
            <v>762.83</v>
          </cell>
          <cell r="AO116" t="str">
            <v>Pending</v>
          </cell>
          <cell r="AP116" t="str">
            <v>Cancelled</v>
          </cell>
        </row>
        <row r="117">
          <cell r="A117" t="str">
            <v>ORD-2024-10116</v>
          </cell>
          <cell r="B117" t="str">
            <v>2024-12-27</v>
          </cell>
          <cell r="D117" t="str">
            <v>01-01-2025</v>
          </cell>
          <cell r="F117" t="str">
            <v>Valid</v>
          </cell>
          <cell r="H117" t="str">
            <v>Valid</v>
          </cell>
          <cell r="N117" t="str">
            <v>South</v>
          </cell>
          <cell r="V117" t="str">
            <v>Same Day</v>
          </cell>
          <cell r="Z117">
            <v>0.15</v>
          </cell>
          <cell r="AB117" t="str">
            <v>Valid</v>
          </cell>
          <cell r="AC117">
            <v>758.78</v>
          </cell>
          <cell r="AE117">
            <v>758.77799999999991</v>
          </cell>
          <cell r="AH117">
            <v>490.74</v>
          </cell>
          <cell r="AI117">
            <v>268.04000000000002</v>
          </cell>
          <cell r="AO117" t="str">
            <v>Paid</v>
          </cell>
          <cell r="AP117" t="str">
            <v>Cancelled</v>
          </cell>
        </row>
        <row r="118">
          <cell r="A118" t="str">
            <v>ORD-2025-10117</v>
          </cell>
          <cell r="B118" t="str">
            <v>2025-02-15</v>
          </cell>
          <cell r="D118" t="str">
            <v>19 Feb 2025</v>
          </cell>
          <cell r="F118" t="str">
            <v>Valid</v>
          </cell>
          <cell r="H118" t="str">
            <v>Valid</v>
          </cell>
          <cell r="V118" t="str">
            <v>First Class</v>
          </cell>
          <cell r="Z118">
            <v>0.25</v>
          </cell>
          <cell r="AB118" t="str">
            <v>Valid</v>
          </cell>
          <cell r="AC118">
            <v>3590.93</v>
          </cell>
          <cell r="AE118">
            <v>3590.9324999999999</v>
          </cell>
          <cell r="AH118">
            <v>3061.39</v>
          </cell>
          <cell r="AI118">
            <v>529.54</v>
          </cell>
          <cell r="AO118" t="str">
            <v>Failed</v>
          </cell>
          <cell r="AP118" t="str">
            <v>Cancelled</v>
          </cell>
        </row>
        <row r="119">
          <cell r="A119" t="str">
            <v>ORD-2024-10118</v>
          </cell>
          <cell r="B119" t="str">
            <v>2024-02-15</v>
          </cell>
          <cell r="D119" t="str">
            <v>17 Feb 2024</v>
          </cell>
          <cell r="F119" t="str">
            <v>Valid</v>
          </cell>
          <cell r="H119" t="str">
            <v>Valid</v>
          </cell>
          <cell r="N119" t="str">
            <v>South</v>
          </cell>
          <cell r="V119" t="str">
            <v>Standard Class</v>
          </cell>
          <cell r="Z119" t="str">
            <v>70%</v>
          </cell>
          <cell r="AB119" t="str">
            <v>Invalid - Discount Above Limit</v>
          </cell>
          <cell r="AC119">
            <v>25432.81</v>
          </cell>
          <cell r="AE119">
            <v>8976.2850000000017</v>
          </cell>
          <cell r="AH119">
            <v>20370.16</v>
          </cell>
          <cell r="AI119">
            <v>5062.6499999999996</v>
          </cell>
          <cell r="AO119" t="str">
            <v>Paid</v>
          </cell>
          <cell r="AP119" t="str">
            <v>Completed</v>
          </cell>
        </row>
        <row r="120">
          <cell r="A120" t="str">
            <v>ORD-2024-10119</v>
          </cell>
          <cell r="B120" t="str">
            <v>06/10/2024</v>
          </cell>
          <cell r="D120" t="str">
            <v>2024-06-18</v>
          </cell>
          <cell r="F120" t="str">
            <v>Valid</v>
          </cell>
          <cell r="H120" t="str">
            <v>Valid</v>
          </cell>
          <cell r="N120" t="str">
            <v>South</v>
          </cell>
          <cell r="V120" t="str">
            <v>Same Day</v>
          </cell>
          <cell r="Z120">
            <v>0.2</v>
          </cell>
          <cell r="AB120" t="str">
            <v>Valid</v>
          </cell>
          <cell r="AC120">
            <v>6321.08</v>
          </cell>
          <cell r="AE120">
            <v>6321.0800000000008</v>
          </cell>
          <cell r="AH120">
            <v>4407.22</v>
          </cell>
          <cell r="AI120">
            <v>1913.86</v>
          </cell>
          <cell r="AO120" t="str">
            <v>Paid</v>
          </cell>
          <cell r="AP120" t="str">
            <v>Completed</v>
          </cell>
        </row>
        <row r="121">
          <cell r="A121" t="str">
            <v>ORD-2024-10120</v>
          </cell>
          <cell r="B121" t="str">
            <v>12 Jun 2024</v>
          </cell>
          <cell r="D121" t="str">
            <v>19 Jun 2024</v>
          </cell>
          <cell r="F121" t="str">
            <v>Valid</v>
          </cell>
          <cell r="H121" t="str">
            <v>Valid</v>
          </cell>
          <cell r="N121" t="str">
            <v>South</v>
          </cell>
          <cell r="V121" t="str">
            <v>Standard Class</v>
          </cell>
          <cell r="Z121">
            <v>0.25</v>
          </cell>
          <cell r="AB121" t="str">
            <v>Valid</v>
          </cell>
          <cell r="AC121">
            <v>1884.3</v>
          </cell>
          <cell r="AE121">
            <v>1884.3000000000002</v>
          </cell>
          <cell r="AH121">
            <v>1517.69</v>
          </cell>
          <cell r="AI121">
            <v>366.61</v>
          </cell>
          <cell r="AO121" t="str">
            <v>Refunded</v>
          </cell>
          <cell r="AP121" t="str">
            <v>Returned</v>
          </cell>
        </row>
        <row r="122">
          <cell r="A122" t="str">
            <v>ORD-2024-10121</v>
          </cell>
          <cell r="B122" t="str">
            <v>2024-08-10</v>
          </cell>
          <cell r="D122" t="str">
            <v>2024-08-18</v>
          </cell>
          <cell r="F122" t="str">
            <v>Valid</v>
          </cell>
          <cell r="H122" t="str">
            <v>Valid</v>
          </cell>
          <cell r="N122" t="str">
            <v>East</v>
          </cell>
          <cell r="V122" t="str">
            <v>Standard Class</v>
          </cell>
          <cell r="Z122">
            <v>0.2</v>
          </cell>
          <cell r="AB122" t="str">
            <v>Valid</v>
          </cell>
          <cell r="AC122">
            <v>1458.94</v>
          </cell>
          <cell r="AE122">
            <v>1458.9360000000001</v>
          </cell>
          <cell r="AH122">
            <v>893.2</v>
          </cell>
          <cell r="AI122">
            <v>565.74</v>
          </cell>
          <cell r="AO122" t="str">
            <v>Paid</v>
          </cell>
          <cell r="AP122" t="str">
            <v>Returned</v>
          </cell>
        </row>
        <row r="123">
          <cell r="A123" t="str">
            <v>ORD-2025-10122</v>
          </cell>
          <cell r="B123" t="str">
            <v>08/22/2025</v>
          </cell>
          <cell r="D123" t="str">
            <v>08/26/2025</v>
          </cell>
          <cell r="F123" t="str">
            <v>Valid</v>
          </cell>
          <cell r="H123" t="str">
            <v>Valid</v>
          </cell>
          <cell r="N123" t="str">
            <v>South</v>
          </cell>
          <cell r="V123" t="str">
            <v>Second Class</v>
          </cell>
          <cell r="Z123">
            <v>0</v>
          </cell>
          <cell r="AB123" t="str">
            <v>Valid</v>
          </cell>
          <cell r="AC123">
            <v>17414.599999999999</v>
          </cell>
          <cell r="AE123">
            <v>17414.599999999999</v>
          </cell>
          <cell r="AH123">
            <v>11760.91</v>
          </cell>
          <cell r="AI123">
            <v>5653.69</v>
          </cell>
          <cell r="AO123" t="str">
            <v>Refunded</v>
          </cell>
          <cell r="AP123" t="str">
            <v>Cancelled</v>
          </cell>
        </row>
        <row r="124">
          <cell r="A124" t="str">
            <v>ORD-2024-10123</v>
          </cell>
          <cell r="B124" t="str">
            <v>11/30/2024</v>
          </cell>
          <cell r="D124" t="str">
            <v>04-12-2024</v>
          </cell>
          <cell r="F124" t="str">
            <v>Valid</v>
          </cell>
          <cell r="H124" t="str">
            <v>Valid</v>
          </cell>
          <cell r="N124" t="str">
            <v>East</v>
          </cell>
          <cell r="V124" t="str">
            <v>Second Class</v>
          </cell>
          <cell r="Z124">
            <v>0</v>
          </cell>
          <cell r="AB124" t="str">
            <v>Valid</v>
          </cell>
          <cell r="AC124">
            <v>511.05</v>
          </cell>
          <cell r="AE124">
            <v>511.04999999999995</v>
          </cell>
          <cell r="AH124">
            <v>367.18</v>
          </cell>
          <cell r="AI124">
            <v>143.87</v>
          </cell>
          <cell r="AO124" t="str">
            <v>Paid</v>
          </cell>
          <cell r="AP124" t="str">
            <v>Completed</v>
          </cell>
        </row>
        <row r="125">
          <cell r="A125" t="str">
            <v>ORD-2024-10124</v>
          </cell>
          <cell r="B125" t="str">
            <v>05/24/2024</v>
          </cell>
          <cell r="D125" t="str">
            <v>25 May 2024</v>
          </cell>
          <cell r="F125" t="str">
            <v>Valid</v>
          </cell>
          <cell r="H125" t="str">
            <v>Valid</v>
          </cell>
          <cell r="N125" t="str">
            <v>NORTH</v>
          </cell>
          <cell r="V125" t="str">
            <v>Same Day</v>
          </cell>
          <cell r="Z125">
            <v>0</v>
          </cell>
          <cell r="AB125" t="str">
            <v>Valid</v>
          </cell>
          <cell r="AC125">
            <v>634.13</v>
          </cell>
          <cell r="AE125">
            <v>634.13</v>
          </cell>
          <cell r="AH125">
            <v>453.35</v>
          </cell>
          <cell r="AI125">
            <v>180.78</v>
          </cell>
          <cell r="AO125" t="str">
            <v>Refunded</v>
          </cell>
          <cell r="AP125" t="str">
            <v>Cancelled</v>
          </cell>
        </row>
        <row r="126">
          <cell r="A126" t="str">
            <v>ORD-2024-10125</v>
          </cell>
          <cell r="B126" t="str">
            <v>21 Jul 2024</v>
          </cell>
          <cell r="D126" t="str">
            <v>07/24/2024</v>
          </cell>
          <cell r="F126" t="str">
            <v>Valid</v>
          </cell>
          <cell r="H126" t="str">
            <v>Valid</v>
          </cell>
          <cell r="N126" t="str">
            <v>South</v>
          </cell>
          <cell r="V126" t="str">
            <v>Standard Class</v>
          </cell>
          <cell r="Z126">
            <v>-0.15</v>
          </cell>
          <cell r="AB126" t="str">
            <v>Invalid - Negative Discount</v>
          </cell>
          <cell r="AC126">
            <v>4185.54</v>
          </cell>
          <cell r="AE126">
            <v>4813.3709999999992</v>
          </cell>
          <cell r="AH126">
            <v>3443.74</v>
          </cell>
          <cell r="AI126">
            <v>741.8</v>
          </cell>
          <cell r="AO126" t="str">
            <v>Paid</v>
          </cell>
          <cell r="AP126" t="str">
            <v>Completed</v>
          </cell>
        </row>
        <row r="127">
          <cell r="A127" t="str">
            <v>ORD-2025-10126</v>
          </cell>
          <cell r="B127" t="str">
            <v>2025-07-17</v>
          </cell>
          <cell r="D127" t="str">
            <v>18-07-2025</v>
          </cell>
          <cell r="F127" t="str">
            <v>Valid</v>
          </cell>
          <cell r="H127" t="str">
            <v>Valid</v>
          </cell>
          <cell r="N127" t="str">
            <v>West</v>
          </cell>
          <cell r="V127" t="str">
            <v>Same Day</v>
          </cell>
          <cell r="Z127">
            <v>0.25</v>
          </cell>
          <cell r="AB127" t="str">
            <v>Valid</v>
          </cell>
          <cell r="AC127">
            <v>14558.72</v>
          </cell>
          <cell r="AE127">
            <v>14558.715</v>
          </cell>
          <cell r="AH127">
            <v>9591.48</v>
          </cell>
          <cell r="AI127">
            <v>4967.24</v>
          </cell>
          <cell r="AO127" t="str">
            <v>Refunded</v>
          </cell>
          <cell r="AP127" t="str">
            <v>Returned</v>
          </cell>
        </row>
        <row r="128">
          <cell r="A128" t="str">
            <v>ORD-2025-10127</v>
          </cell>
          <cell r="B128" t="str">
            <v>24-09-2025</v>
          </cell>
          <cell r="D128" t="str">
            <v>26 Sep 2025</v>
          </cell>
          <cell r="F128" t="str">
            <v>Valid</v>
          </cell>
          <cell r="H128" t="str">
            <v>Valid</v>
          </cell>
          <cell r="N128" t="str">
            <v>North</v>
          </cell>
          <cell r="V128" t="str">
            <v>Standard Class</v>
          </cell>
          <cell r="Z128">
            <v>0.1</v>
          </cell>
          <cell r="AB128" t="str">
            <v>Valid</v>
          </cell>
          <cell r="AC128">
            <v>4303.42</v>
          </cell>
          <cell r="AE128">
            <v>4303.4220000000005</v>
          </cell>
          <cell r="AH128">
            <v>2568.5700000000002</v>
          </cell>
          <cell r="AI128">
            <v>1734.85</v>
          </cell>
          <cell r="AO128" t="str">
            <v>Paid</v>
          </cell>
          <cell r="AP128" t="str">
            <v>Completed</v>
          </cell>
        </row>
        <row r="129">
          <cell r="A129" t="str">
            <v>ORD-2025-10128</v>
          </cell>
          <cell r="B129" t="str">
            <v>01/30/2025</v>
          </cell>
          <cell r="D129" t="str">
            <v>26-01-2025</v>
          </cell>
          <cell r="F129" t="str">
            <v>Invalid Shipping Record</v>
          </cell>
          <cell r="H129" t="str">
            <v>Invalid Shipping Record</v>
          </cell>
          <cell r="N129" t="str">
            <v>West</v>
          </cell>
          <cell r="V129" t="str">
            <v>Second Class</v>
          </cell>
          <cell r="Z129">
            <v>0.05</v>
          </cell>
          <cell r="AB129" t="str">
            <v>Valid</v>
          </cell>
          <cell r="AC129">
            <v>5774.67</v>
          </cell>
          <cell r="AE129">
            <v>5774.67</v>
          </cell>
          <cell r="AH129">
            <v>3518.36</v>
          </cell>
          <cell r="AI129">
            <v>2256.31</v>
          </cell>
          <cell r="AO129" t="str">
            <v>Paid</v>
          </cell>
          <cell r="AP129" t="str">
            <v>Completed</v>
          </cell>
        </row>
        <row r="130">
          <cell r="A130" t="str">
            <v>ORD-2024-10129</v>
          </cell>
          <cell r="B130" t="str">
            <v>13 Dec 2024</v>
          </cell>
          <cell r="D130" t="str">
            <v>16 Dec 2024</v>
          </cell>
          <cell r="F130" t="str">
            <v>Valid</v>
          </cell>
          <cell r="H130" t="str">
            <v>Valid</v>
          </cell>
          <cell r="N130" t="str">
            <v>East</v>
          </cell>
          <cell r="V130" t="str">
            <v>Standard Class</v>
          </cell>
          <cell r="Z130">
            <v>0.05</v>
          </cell>
          <cell r="AB130" t="str">
            <v>Valid</v>
          </cell>
          <cell r="AC130">
            <v>4386.3900000000003</v>
          </cell>
          <cell r="AE130">
            <v>4386.3874999999998</v>
          </cell>
          <cell r="AH130">
            <v>3366.88</v>
          </cell>
          <cell r="AI130">
            <v>1019.51</v>
          </cell>
          <cell r="AO130" t="str">
            <v>Paid</v>
          </cell>
          <cell r="AP130" t="str">
            <v>Returned</v>
          </cell>
        </row>
        <row r="131">
          <cell r="A131" t="str">
            <v>ORD-2024-10130</v>
          </cell>
          <cell r="B131" t="str">
            <v>2024-07-19</v>
          </cell>
          <cell r="D131" t="str">
            <v>25-07-2024</v>
          </cell>
          <cell r="F131" t="str">
            <v>Valid</v>
          </cell>
          <cell r="H131" t="str">
            <v>Valid</v>
          </cell>
          <cell r="N131" t="str">
            <v>West</v>
          </cell>
          <cell r="V131" t="str">
            <v>Standard Class</v>
          </cell>
          <cell r="Z131">
            <v>0.05</v>
          </cell>
          <cell r="AB131" t="str">
            <v>Valid</v>
          </cell>
          <cell r="AC131">
            <v>18229.580000000002</v>
          </cell>
          <cell r="AE131">
            <v>18229.5785</v>
          </cell>
          <cell r="AH131">
            <v>15139.15</v>
          </cell>
          <cell r="AI131">
            <v>3090.43</v>
          </cell>
          <cell r="AO131" t="str">
            <v>Paid</v>
          </cell>
          <cell r="AP131" t="str">
            <v>Completed</v>
          </cell>
        </row>
        <row r="132">
          <cell r="A132" t="str">
            <v>ORD-2024-10131</v>
          </cell>
          <cell r="B132" t="str">
            <v>2024-01-27</v>
          </cell>
          <cell r="D132" t="str">
            <v>02 Feb 2024</v>
          </cell>
          <cell r="F132" t="str">
            <v>Valid</v>
          </cell>
          <cell r="H132" t="str">
            <v>Valid</v>
          </cell>
          <cell r="N132" t="str">
            <v>West</v>
          </cell>
          <cell r="V132" t="str">
            <v>Same Day</v>
          </cell>
          <cell r="Z132">
            <v>0.2</v>
          </cell>
          <cell r="AB132" t="str">
            <v>Valid</v>
          </cell>
          <cell r="AC132">
            <v>873.68</v>
          </cell>
          <cell r="AE132">
            <v>873.68</v>
          </cell>
          <cell r="AH132">
            <v>661.72</v>
          </cell>
          <cell r="AI132">
            <v>211.96</v>
          </cell>
          <cell r="AO132" t="str">
            <v>Pending</v>
          </cell>
          <cell r="AP132" t="str">
            <v>Cancelled</v>
          </cell>
        </row>
        <row r="133">
          <cell r="A133" t="str">
            <v>ORD-2025-10132</v>
          </cell>
          <cell r="B133" t="str">
            <v>09/29/2025</v>
          </cell>
          <cell r="D133" t="str">
            <v>2025-10-04</v>
          </cell>
          <cell r="F133" t="str">
            <v>Valid</v>
          </cell>
          <cell r="H133" t="str">
            <v>Valid</v>
          </cell>
          <cell r="N133" t="str">
            <v>East</v>
          </cell>
          <cell r="V133" t="str">
            <v>Same Day</v>
          </cell>
          <cell r="Z133">
            <v>0.2</v>
          </cell>
          <cell r="AB133" t="str">
            <v>Valid</v>
          </cell>
          <cell r="AC133">
            <v>2692.15</v>
          </cell>
          <cell r="AE133">
            <v>2692.152</v>
          </cell>
          <cell r="AH133">
            <v>2044.49</v>
          </cell>
          <cell r="AI133">
            <v>647.66</v>
          </cell>
          <cell r="AO133" t="str">
            <v>Paid</v>
          </cell>
          <cell r="AP133" t="str">
            <v>Completed</v>
          </cell>
        </row>
        <row r="134">
          <cell r="A134" t="str">
            <v>ORD-2024-10133</v>
          </cell>
          <cell r="B134" t="str">
            <v>04 Nov 2024</v>
          </cell>
          <cell r="D134" t="str">
            <v>04 Nov 2024</v>
          </cell>
          <cell r="F134" t="str">
            <v>Valid</v>
          </cell>
          <cell r="H134" t="str">
            <v>Valid</v>
          </cell>
          <cell r="N134" t="str">
            <v>East</v>
          </cell>
          <cell r="V134" t="str">
            <v>First Class</v>
          </cell>
          <cell r="Z134">
            <v>0</v>
          </cell>
          <cell r="AB134" t="str">
            <v>Valid</v>
          </cell>
          <cell r="AC134">
            <v>1066.1600000000001</v>
          </cell>
          <cell r="AE134">
            <v>1066.1600000000001</v>
          </cell>
          <cell r="AH134">
            <v>656.3</v>
          </cell>
          <cell r="AI134">
            <v>409.86</v>
          </cell>
          <cell r="AO134" t="str">
            <v>Failed</v>
          </cell>
          <cell r="AP134" t="str">
            <v>Cancelled</v>
          </cell>
        </row>
        <row r="135">
          <cell r="A135" t="str">
            <v>ORD-2024-10134</v>
          </cell>
          <cell r="B135" t="str">
            <v>2024-12-13</v>
          </cell>
          <cell r="D135" t="str">
            <v>12/18/2024</v>
          </cell>
          <cell r="F135" t="str">
            <v>Valid</v>
          </cell>
          <cell r="H135" t="str">
            <v>Valid</v>
          </cell>
          <cell r="N135" t="str">
            <v>West</v>
          </cell>
          <cell r="V135" t="str">
            <v>Second Class</v>
          </cell>
          <cell r="Z135">
            <v>0.15</v>
          </cell>
          <cell r="AB135" t="str">
            <v>Valid</v>
          </cell>
          <cell r="AC135">
            <v>22930.62</v>
          </cell>
          <cell r="AE135">
            <v>22930.62</v>
          </cell>
          <cell r="AH135">
            <v>16875.55</v>
          </cell>
          <cell r="AI135">
            <v>6055.07</v>
          </cell>
          <cell r="AO135" t="str">
            <v>Paid</v>
          </cell>
          <cell r="AP135" t="str">
            <v>Completed</v>
          </cell>
        </row>
        <row r="136">
          <cell r="A136" t="str">
            <v>ORD-2025-10135</v>
          </cell>
          <cell r="B136" t="str">
            <v>07/14/2025</v>
          </cell>
          <cell r="D136" t="str">
            <v>2025-07-14</v>
          </cell>
          <cell r="F136" t="str">
            <v>Valid</v>
          </cell>
          <cell r="H136" t="str">
            <v>Valid</v>
          </cell>
          <cell r="N136" t="str">
            <v>East</v>
          </cell>
          <cell r="Z136">
            <v>0.25</v>
          </cell>
          <cell r="AB136" t="str">
            <v>Valid</v>
          </cell>
          <cell r="AC136">
            <v>1436.62</v>
          </cell>
          <cell r="AE136">
            <v>1436.625</v>
          </cell>
          <cell r="AH136">
            <v>912.52</v>
          </cell>
          <cell r="AI136">
            <v>524.1</v>
          </cell>
          <cell r="AO136" t="str">
            <v>Pending</v>
          </cell>
          <cell r="AP136" t="str">
            <v>Cancelled</v>
          </cell>
        </row>
        <row r="137">
          <cell r="A137" t="str">
            <v>ORD-2025-10136</v>
          </cell>
          <cell r="B137" t="str">
            <v>2025-08-24</v>
          </cell>
          <cell r="D137" t="str">
            <v>2025-08-24</v>
          </cell>
          <cell r="F137" t="str">
            <v>Valid</v>
          </cell>
          <cell r="H137" t="str">
            <v>Valid</v>
          </cell>
          <cell r="N137" t="str">
            <v>South</v>
          </cell>
          <cell r="V137" t="str">
            <v>Standard Class</v>
          </cell>
          <cell r="Z137">
            <v>0</v>
          </cell>
          <cell r="AB137" t="str">
            <v>Valid</v>
          </cell>
          <cell r="AC137">
            <v>3424.78</v>
          </cell>
          <cell r="AE137">
            <v>3424.78</v>
          </cell>
          <cell r="AH137">
            <v>1951.45</v>
          </cell>
          <cell r="AI137">
            <v>1473.33</v>
          </cell>
          <cell r="AO137" t="str">
            <v>Paid</v>
          </cell>
          <cell r="AP137" t="str">
            <v>Completed</v>
          </cell>
        </row>
        <row r="138">
          <cell r="A138" t="str">
            <v>ORD-2025-10137</v>
          </cell>
          <cell r="B138" t="str">
            <v>09-02-2025</v>
          </cell>
          <cell r="D138" t="str">
            <v>15-02-2025</v>
          </cell>
          <cell r="F138" t="str">
            <v>Valid</v>
          </cell>
          <cell r="H138" t="str">
            <v>Valid</v>
          </cell>
          <cell r="N138" t="str">
            <v>East</v>
          </cell>
          <cell r="V138" t="str">
            <v>Standard  Class</v>
          </cell>
          <cell r="Z138">
            <v>0.2</v>
          </cell>
          <cell r="AB138" t="str">
            <v>Valid</v>
          </cell>
          <cell r="AC138">
            <v>31178.38</v>
          </cell>
          <cell r="AE138">
            <v>31178.376000000004</v>
          </cell>
          <cell r="AH138">
            <v>21421.09</v>
          </cell>
          <cell r="AI138">
            <v>9757.2900000000009</v>
          </cell>
          <cell r="AO138" t="str">
            <v>Paid</v>
          </cell>
          <cell r="AP138" t="str">
            <v>Completed</v>
          </cell>
        </row>
        <row r="139">
          <cell r="A139" t="str">
            <v>ORD-2025-10138</v>
          </cell>
          <cell r="B139" t="str">
            <v>01/09/2025</v>
          </cell>
          <cell r="D139" t="str">
            <v>2025-01-09</v>
          </cell>
          <cell r="F139" t="str">
            <v>Valid</v>
          </cell>
          <cell r="H139" t="str">
            <v>Valid</v>
          </cell>
          <cell r="N139" t="str">
            <v>North</v>
          </cell>
          <cell r="V139" t="str">
            <v>Same Day</v>
          </cell>
          <cell r="Z139">
            <v>0.1</v>
          </cell>
          <cell r="AB139" t="str">
            <v>Valid</v>
          </cell>
          <cell r="AC139">
            <v>19202.900000000001</v>
          </cell>
          <cell r="AE139">
            <v>19202.904000000002</v>
          </cell>
          <cell r="AH139">
            <v>15526.62</v>
          </cell>
          <cell r="AI139">
            <v>3676.28</v>
          </cell>
          <cell r="AO139" t="str">
            <v>Paid</v>
          </cell>
          <cell r="AP139" t="str">
            <v>Completed</v>
          </cell>
        </row>
        <row r="140">
          <cell r="A140" t="str">
            <v>ORD-2024-10139</v>
          </cell>
          <cell r="B140" t="str">
            <v>2024-01-20</v>
          </cell>
          <cell r="D140" t="str">
            <v>26-01-2024</v>
          </cell>
          <cell r="F140" t="str">
            <v>Valid</v>
          </cell>
          <cell r="H140" t="str">
            <v>Valid</v>
          </cell>
          <cell r="N140" t="str">
            <v>East</v>
          </cell>
          <cell r="V140" t="str">
            <v>Standard Class</v>
          </cell>
          <cell r="Z140">
            <v>0.25</v>
          </cell>
          <cell r="AB140" t="str">
            <v>Valid</v>
          </cell>
          <cell r="AC140">
            <v>24018.3</v>
          </cell>
          <cell r="AE140">
            <v>24018.300000000003</v>
          </cell>
          <cell r="AH140">
            <v>14070.78</v>
          </cell>
          <cell r="AI140">
            <v>9947.52</v>
          </cell>
          <cell r="AO140" t="str">
            <v>Paid</v>
          </cell>
          <cell r="AP140" t="str">
            <v>Completed</v>
          </cell>
        </row>
        <row r="141">
          <cell r="A141" t="str">
            <v>ORD-2025-10140</v>
          </cell>
          <cell r="B141" t="str">
            <v>03/02/2025</v>
          </cell>
          <cell r="D141" t="str">
            <v>07-03-2025</v>
          </cell>
          <cell r="F141" t="str">
            <v>Valid</v>
          </cell>
          <cell r="H141" t="str">
            <v>Valid</v>
          </cell>
          <cell r="N141" t="str">
            <v>South</v>
          </cell>
          <cell r="V141" t="str">
            <v>Standard Class</v>
          </cell>
          <cell r="Z141">
            <v>0</v>
          </cell>
          <cell r="AB141" t="str">
            <v>Valid</v>
          </cell>
          <cell r="AC141">
            <v>10301.040000000001</v>
          </cell>
          <cell r="AE141">
            <v>10301.040000000001</v>
          </cell>
          <cell r="AH141">
            <v>6564.06</v>
          </cell>
          <cell r="AI141">
            <v>3736.98</v>
          </cell>
          <cell r="AO141" t="str">
            <v>Paid</v>
          </cell>
          <cell r="AP141" t="str">
            <v>Completed</v>
          </cell>
        </row>
        <row r="142">
          <cell r="A142" t="str">
            <v>ORD-2024-10141</v>
          </cell>
          <cell r="B142" t="str">
            <v>31-05-2024</v>
          </cell>
          <cell r="D142" t="str">
            <v>01 Jun 2024</v>
          </cell>
          <cell r="F142" t="str">
            <v>Valid</v>
          </cell>
          <cell r="H142" t="str">
            <v>Valid</v>
          </cell>
          <cell r="N142" t="str">
            <v>South</v>
          </cell>
          <cell r="V142" t="str">
            <v>Same Day</v>
          </cell>
          <cell r="Z142">
            <v>0</v>
          </cell>
          <cell r="AB142" t="str">
            <v>Valid</v>
          </cell>
          <cell r="AC142">
            <v>8743.65</v>
          </cell>
          <cell r="AE142">
            <v>8743.6500000000015</v>
          </cell>
          <cell r="AH142">
            <v>6603.76</v>
          </cell>
          <cell r="AI142">
            <v>2139.89</v>
          </cell>
          <cell r="AO142" t="str">
            <v>Paid</v>
          </cell>
          <cell r="AP142" t="str">
            <v>Completed</v>
          </cell>
        </row>
        <row r="143">
          <cell r="A143" t="str">
            <v>ORD-2024-10142</v>
          </cell>
          <cell r="B143" t="str">
            <v>03/23/2024</v>
          </cell>
          <cell r="D143" t="str">
            <v>2024-03-29</v>
          </cell>
          <cell r="F143" t="str">
            <v>Valid</v>
          </cell>
          <cell r="H143" t="str">
            <v>Valid</v>
          </cell>
          <cell r="N143" t="str">
            <v>North</v>
          </cell>
          <cell r="V143" t="str">
            <v>Same Day</v>
          </cell>
          <cell r="Z143">
            <v>0.1</v>
          </cell>
          <cell r="AB143" t="str">
            <v>Valid</v>
          </cell>
          <cell r="AC143">
            <v>3996.03</v>
          </cell>
          <cell r="AE143">
            <v>3996.027</v>
          </cell>
          <cell r="AH143">
            <v>2859.51</v>
          </cell>
          <cell r="AI143">
            <v>1136.52</v>
          </cell>
          <cell r="AO143" t="str">
            <v>Paid</v>
          </cell>
          <cell r="AP143" t="str">
            <v>Returned</v>
          </cell>
        </row>
        <row r="144">
          <cell r="A144" t="str">
            <v>ORD-2024-10143</v>
          </cell>
          <cell r="B144" t="str">
            <v>30 Mar 2024</v>
          </cell>
          <cell r="D144" t="str">
            <v>26 Mar 2024</v>
          </cell>
          <cell r="F144" t="str">
            <v>Invalid Shipping Record</v>
          </cell>
          <cell r="H144" t="str">
            <v>Invalid Shipping Record</v>
          </cell>
          <cell r="N144" t="str">
            <v>North</v>
          </cell>
          <cell r="V144" t="str">
            <v>Second Class</v>
          </cell>
          <cell r="Z144">
            <v>0.15</v>
          </cell>
          <cell r="AB144" t="str">
            <v>Valid</v>
          </cell>
          <cell r="AC144">
            <v>3857.04</v>
          </cell>
          <cell r="AE144">
            <v>3857.0449999999996</v>
          </cell>
          <cell r="AH144">
            <v>2769.26</v>
          </cell>
          <cell r="AI144">
            <v>1087.78</v>
          </cell>
          <cell r="AO144" t="str">
            <v>Paid</v>
          </cell>
          <cell r="AP144" t="str">
            <v>Completed</v>
          </cell>
        </row>
        <row r="145">
          <cell r="A145" t="str">
            <v>ORD-2024-10144</v>
          </cell>
          <cell r="B145" t="str">
            <v>03/24/2024</v>
          </cell>
          <cell r="D145" t="str">
            <v>2024-03-26</v>
          </cell>
          <cell r="F145" t="str">
            <v>Valid</v>
          </cell>
          <cell r="H145" t="str">
            <v>Valid</v>
          </cell>
          <cell r="N145" t="str">
            <v>West</v>
          </cell>
          <cell r="V145" t="str">
            <v>Second Class</v>
          </cell>
          <cell r="Z145">
            <v>0.1</v>
          </cell>
          <cell r="AB145" t="str">
            <v>Valid</v>
          </cell>
          <cell r="AC145">
            <v>3068.55</v>
          </cell>
          <cell r="AE145">
            <v>3068.55</v>
          </cell>
          <cell r="AH145">
            <v>1916.16</v>
          </cell>
          <cell r="AI145">
            <v>1152.3900000000001</v>
          </cell>
          <cell r="AO145" t="str">
            <v>Paid</v>
          </cell>
          <cell r="AP145" t="str">
            <v>Returned</v>
          </cell>
        </row>
        <row r="146">
          <cell r="A146" t="str">
            <v>ORD-2024-10145</v>
          </cell>
          <cell r="B146" t="str">
            <v>07-06-2024</v>
          </cell>
          <cell r="D146" t="str">
            <v>2024-06-15</v>
          </cell>
          <cell r="F146" t="str">
            <v>Valid</v>
          </cell>
          <cell r="H146" t="str">
            <v>Valid</v>
          </cell>
          <cell r="N146" t="str">
            <v>South</v>
          </cell>
          <cell r="V146" t="str">
            <v>First Class</v>
          </cell>
          <cell r="Z146">
            <v>0.25</v>
          </cell>
          <cell r="AB146" t="str">
            <v>Valid</v>
          </cell>
          <cell r="AC146">
            <v>11276.95</v>
          </cell>
          <cell r="AE146">
            <v>11276.947499999998</v>
          </cell>
          <cell r="AH146">
            <v>6908.76</v>
          </cell>
          <cell r="AI146">
            <v>4368.1899999999996</v>
          </cell>
          <cell r="AO146" t="str">
            <v>Refunded</v>
          </cell>
          <cell r="AP146" t="str">
            <v>Returned</v>
          </cell>
        </row>
        <row r="147">
          <cell r="A147" t="str">
            <v>ORD-2025-10146</v>
          </cell>
          <cell r="B147" t="str">
            <v>11-04-2025</v>
          </cell>
          <cell r="D147" t="str">
            <v>04/13/2025</v>
          </cell>
          <cell r="F147" t="str">
            <v>Valid</v>
          </cell>
          <cell r="H147" t="str">
            <v>Valid</v>
          </cell>
          <cell r="N147" t="str">
            <v>West</v>
          </cell>
          <cell r="V147" t="str">
            <v>Standard Class</v>
          </cell>
          <cell r="Z147">
            <v>0.1</v>
          </cell>
          <cell r="AB147" t="str">
            <v>Valid</v>
          </cell>
          <cell r="AC147">
            <v>15055.74</v>
          </cell>
          <cell r="AE147">
            <v>15055.74</v>
          </cell>
          <cell r="AH147">
            <v>9808.83</v>
          </cell>
          <cell r="AI147">
            <v>5246.91</v>
          </cell>
          <cell r="AO147" t="str">
            <v>Paid</v>
          </cell>
          <cell r="AP147" t="str">
            <v>Completed</v>
          </cell>
        </row>
        <row r="148">
          <cell r="A148" t="str">
            <v>ORD-2025-10147</v>
          </cell>
          <cell r="B148" t="str">
            <v>30 Jul 2025</v>
          </cell>
          <cell r="D148" t="str">
            <v>08/01/2025</v>
          </cell>
          <cell r="F148" t="str">
            <v>Valid</v>
          </cell>
          <cell r="H148" t="str">
            <v>Valid</v>
          </cell>
          <cell r="N148" t="str">
            <v>South</v>
          </cell>
          <cell r="V148" t="str">
            <v>Same Day</v>
          </cell>
          <cell r="Z148">
            <v>0.1</v>
          </cell>
          <cell r="AB148" t="str">
            <v>Valid</v>
          </cell>
          <cell r="AC148">
            <v>25639.98</v>
          </cell>
          <cell r="AE148">
            <v>25639.983</v>
          </cell>
          <cell r="AH148">
            <v>21635.08</v>
          </cell>
          <cell r="AI148">
            <v>4004.9</v>
          </cell>
          <cell r="AO148" t="str">
            <v>Paid</v>
          </cell>
          <cell r="AP148" t="str">
            <v>Completed</v>
          </cell>
        </row>
        <row r="149">
          <cell r="A149" t="str">
            <v>ORD-2024-10148</v>
          </cell>
          <cell r="B149" t="str">
            <v>23-12-2024</v>
          </cell>
          <cell r="D149" t="str">
            <v>2024-12-30</v>
          </cell>
          <cell r="F149" t="str">
            <v>Valid</v>
          </cell>
          <cell r="H149" t="str">
            <v>Valid</v>
          </cell>
          <cell r="N149" t="str">
            <v>West</v>
          </cell>
          <cell r="V149" t="str">
            <v>First Class</v>
          </cell>
          <cell r="Z149">
            <v>0.1</v>
          </cell>
          <cell r="AB149" t="str">
            <v>Valid</v>
          </cell>
          <cell r="AC149">
            <v>2779.92</v>
          </cell>
          <cell r="AE149">
            <v>2779.92</v>
          </cell>
          <cell r="AH149">
            <v>1744.05</v>
          </cell>
          <cell r="AI149">
            <v>1035.8699999999999</v>
          </cell>
          <cell r="AO149" t="str">
            <v>Paid</v>
          </cell>
          <cell r="AP149" t="str">
            <v>Completed</v>
          </cell>
        </row>
        <row r="150">
          <cell r="A150" t="str">
            <v>ORD-2025-10149</v>
          </cell>
          <cell r="B150" t="str">
            <v>09 Feb 2025</v>
          </cell>
          <cell r="D150" t="str">
            <v>13-02-2025</v>
          </cell>
          <cell r="F150" t="str">
            <v>Valid</v>
          </cell>
          <cell r="H150" t="str">
            <v>Valid</v>
          </cell>
          <cell r="N150" t="str">
            <v>West</v>
          </cell>
          <cell r="Z150">
            <v>0.25</v>
          </cell>
          <cell r="AB150" t="str">
            <v>Valid</v>
          </cell>
          <cell r="AC150">
            <v>10176.42</v>
          </cell>
          <cell r="AE150">
            <v>10176.42</v>
          </cell>
          <cell r="AH150">
            <v>7604.47</v>
          </cell>
          <cell r="AI150">
            <v>2571.9499999999998</v>
          </cell>
          <cell r="AO150" t="str">
            <v>Paid</v>
          </cell>
          <cell r="AP150" t="str">
            <v>Completed</v>
          </cell>
        </row>
        <row r="151">
          <cell r="A151" t="str">
            <v>ORD-2024-10150</v>
          </cell>
          <cell r="B151" t="str">
            <v>30-01-2024</v>
          </cell>
          <cell r="D151" t="str">
            <v>30-01-2024</v>
          </cell>
          <cell r="F151" t="str">
            <v>Valid</v>
          </cell>
          <cell r="H151" t="str">
            <v>Valid</v>
          </cell>
          <cell r="N151" t="str">
            <v>west</v>
          </cell>
          <cell r="V151" t="str">
            <v>Same Day</v>
          </cell>
          <cell r="Z151">
            <v>0.25</v>
          </cell>
          <cell r="AB151" t="str">
            <v>Valid</v>
          </cell>
          <cell r="AC151">
            <v>13269.95</v>
          </cell>
          <cell r="AE151">
            <v>13269.952499999999</v>
          </cell>
          <cell r="AH151">
            <v>8977.1</v>
          </cell>
          <cell r="AI151">
            <v>4292.8500000000004</v>
          </cell>
          <cell r="AO151" t="str">
            <v>Paid</v>
          </cell>
          <cell r="AP151" t="str">
            <v>Completed</v>
          </cell>
        </row>
        <row r="152">
          <cell r="A152" t="str">
            <v>ORD-2024-10151</v>
          </cell>
          <cell r="B152" t="str">
            <v>04-03-2024</v>
          </cell>
          <cell r="D152" t="str">
            <v>2024-03-12</v>
          </cell>
          <cell r="F152" t="str">
            <v>Valid</v>
          </cell>
          <cell r="H152" t="str">
            <v>Valid</v>
          </cell>
          <cell r="V152" t="str">
            <v>First Class</v>
          </cell>
          <cell r="Z152">
            <v>0.1</v>
          </cell>
          <cell r="AB152" t="str">
            <v>Valid</v>
          </cell>
          <cell r="AC152">
            <v>1398.71</v>
          </cell>
          <cell r="AE152">
            <v>1398.7079999999999</v>
          </cell>
          <cell r="AH152">
            <v>1056.92</v>
          </cell>
          <cell r="AI152">
            <v>341.79</v>
          </cell>
          <cell r="AO152" t="str">
            <v>Paid</v>
          </cell>
          <cell r="AP152" t="str">
            <v>Completed</v>
          </cell>
        </row>
        <row r="153">
          <cell r="A153" t="str">
            <v>ORD-2024-10152</v>
          </cell>
          <cell r="B153" t="str">
            <v>27 Jun 2024</v>
          </cell>
          <cell r="D153" t="str">
            <v>06/27/2024</v>
          </cell>
          <cell r="F153" t="str">
            <v>Valid</v>
          </cell>
          <cell r="H153" t="str">
            <v>Valid</v>
          </cell>
          <cell r="V153" t="str">
            <v>Standard Class</v>
          </cell>
          <cell r="Z153">
            <v>0</v>
          </cell>
          <cell r="AB153" t="str">
            <v>Valid</v>
          </cell>
          <cell r="AC153">
            <v>7718.22</v>
          </cell>
          <cell r="AE153">
            <v>7718.22</v>
          </cell>
          <cell r="AH153">
            <v>5355.93</v>
          </cell>
          <cell r="AI153">
            <v>2362.29</v>
          </cell>
          <cell r="AO153" t="str">
            <v>Pending</v>
          </cell>
          <cell r="AP153" t="str">
            <v>Returned</v>
          </cell>
        </row>
        <row r="154">
          <cell r="A154" t="str">
            <v>ORD-2024-10153</v>
          </cell>
          <cell r="B154" t="str">
            <v>14 Jun 2024</v>
          </cell>
          <cell r="D154" t="str">
            <v>06/17/2024</v>
          </cell>
          <cell r="F154" t="str">
            <v>Valid</v>
          </cell>
          <cell r="H154" t="str">
            <v>Valid</v>
          </cell>
          <cell r="N154" t="str">
            <v>South</v>
          </cell>
          <cell r="V154" t="str">
            <v>Second Class</v>
          </cell>
          <cell r="Z154">
            <v>0.1</v>
          </cell>
          <cell r="AB154" t="str">
            <v>Valid</v>
          </cell>
          <cell r="AC154">
            <v>5875.42</v>
          </cell>
          <cell r="AE154">
            <v>5875.4160000000002</v>
          </cell>
          <cell r="AH154">
            <v>4380.55</v>
          </cell>
          <cell r="AI154">
            <v>1494.87</v>
          </cell>
          <cell r="AO154" t="str">
            <v>Pending</v>
          </cell>
          <cell r="AP154" t="str">
            <v>Returned</v>
          </cell>
        </row>
        <row r="155">
          <cell r="A155" t="str">
            <v>ORD-2025-10154</v>
          </cell>
          <cell r="B155" t="str">
            <v>23 Sep 2025</v>
          </cell>
          <cell r="D155" t="str">
            <v>2025-09-25</v>
          </cell>
          <cell r="F155" t="str">
            <v>Valid</v>
          </cell>
          <cell r="H155" t="str">
            <v>Valid</v>
          </cell>
          <cell r="N155" t="str">
            <v>East</v>
          </cell>
          <cell r="V155" t="str">
            <v>Standard Class</v>
          </cell>
          <cell r="Z155">
            <v>0</v>
          </cell>
          <cell r="AB155" t="str">
            <v>Valid</v>
          </cell>
          <cell r="AC155">
            <v>22962.17</v>
          </cell>
          <cell r="AE155">
            <v>22962.17</v>
          </cell>
          <cell r="AH155">
            <v>15716.5</v>
          </cell>
          <cell r="AI155">
            <v>7245.67</v>
          </cell>
          <cell r="AO155" t="str">
            <v>Refunded</v>
          </cell>
          <cell r="AP155" t="str">
            <v>Returned</v>
          </cell>
        </row>
        <row r="156">
          <cell r="A156" t="str">
            <v>ORD-2024-10155</v>
          </cell>
          <cell r="B156" t="str">
            <v>12 Feb 2024</v>
          </cell>
          <cell r="D156" t="str">
            <v>02/11/2024</v>
          </cell>
          <cell r="F156" t="str">
            <v>Invalid Shipping Record</v>
          </cell>
          <cell r="H156" t="str">
            <v>Invalid Shipping Record</v>
          </cell>
          <cell r="N156" t="str">
            <v>South</v>
          </cell>
          <cell r="V156" t="str">
            <v>Same Day</v>
          </cell>
          <cell r="Z156">
            <v>0.15</v>
          </cell>
          <cell r="AB156" t="str">
            <v>Valid</v>
          </cell>
          <cell r="AC156">
            <v>2209.25</v>
          </cell>
          <cell r="AE156">
            <v>2209.252</v>
          </cell>
          <cell r="AH156">
            <v>1523.78</v>
          </cell>
          <cell r="AI156">
            <v>685.47</v>
          </cell>
          <cell r="AO156" t="str">
            <v>Paid</v>
          </cell>
          <cell r="AP156" t="str">
            <v>Completed</v>
          </cell>
        </row>
        <row r="157">
          <cell r="A157" t="str">
            <v>ORD-2025-10156</v>
          </cell>
          <cell r="B157" t="str">
            <v>01/26/2025</v>
          </cell>
          <cell r="D157" t="str">
            <v>03 Feb 2025</v>
          </cell>
          <cell r="F157" t="str">
            <v>Valid</v>
          </cell>
          <cell r="H157" t="str">
            <v>Valid</v>
          </cell>
          <cell r="N157" t="str">
            <v>West</v>
          </cell>
          <cell r="V157" t="str">
            <v>Same Day</v>
          </cell>
          <cell r="Z157">
            <v>0.1</v>
          </cell>
          <cell r="AB157" t="str">
            <v>Valid</v>
          </cell>
          <cell r="AC157">
            <v>7720.16</v>
          </cell>
          <cell r="AE157">
            <v>7720.1640000000007</v>
          </cell>
          <cell r="AH157">
            <v>5881</v>
          </cell>
          <cell r="AI157">
            <v>1839.16</v>
          </cell>
          <cell r="AO157" t="str">
            <v>Refunded</v>
          </cell>
          <cell r="AP157" t="str">
            <v>Returned</v>
          </cell>
        </row>
        <row r="158">
          <cell r="A158" t="str">
            <v>ORD-2025-10157</v>
          </cell>
          <cell r="B158" t="str">
            <v>27-03-2025</v>
          </cell>
          <cell r="D158" t="str">
            <v>27 Mar 2025</v>
          </cell>
          <cell r="F158" t="str">
            <v>Valid</v>
          </cell>
          <cell r="H158" t="str">
            <v>Valid</v>
          </cell>
          <cell r="N158" t="str">
            <v>East</v>
          </cell>
          <cell r="V158" t="str">
            <v>Second Class</v>
          </cell>
          <cell r="Z158">
            <v>0.25</v>
          </cell>
          <cell r="AB158" t="str">
            <v>Valid</v>
          </cell>
          <cell r="AC158">
            <v>12103.19</v>
          </cell>
          <cell r="AE158">
            <v>12103.192500000001</v>
          </cell>
          <cell r="AH158">
            <v>6717.87</v>
          </cell>
          <cell r="AI158">
            <v>5385.32</v>
          </cell>
          <cell r="AO158" t="str">
            <v>Paid</v>
          </cell>
          <cell r="AP158" t="str">
            <v>Completed</v>
          </cell>
        </row>
        <row r="159">
          <cell r="A159" t="str">
            <v>ORD-2024-10158</v>
          </cell>
          <cell r="B159" t="str">
            <v>10/22/2024</v>
          </cell>
          <cell r="D159" t="str">
            <v>24-10-2024</v>
          </cell>
          <cell r="F159" t="str">
            <v>Valid</v>
          </cell>
          <cell r="H159" t="str">
            <v>Valid</v>
          </cell>
          <cell r="N159" t="str">
            <v>South</v>
          </cell>
          <cell r="V159" t="str">
            <v>Standard Class</v>
          </cell>
          <cell r="Z159">
            <v>0.15</v>
          </cell>
          <cell r="AB159" t="str">
            <v>Valid</v>
          </cell>
          <cell r="AC159">
            <v>2335.39</v>
          </cell>
          <cell r="AE159">
            <v>2335.3919999999998</v>
          </cell>
          <cell r="AH159">
            <v>1466.15</v>
          </cell>
          <cell r="AI159">
            <v>869.24</v>
          </cell>
          <cell r="AO159" t="str">
            <v>Paid</v>
          </cell>
          <cell r="AP159" t="str">
            <v>Completed</v>
          </cell>
        </row>
        <row r="160">
          <cell r="A160" t="str">
            <v>ORD-2024-10159</v>
          </cell>
          <cell r="B160" t="str">
            <v>2024-09-09</v>
          </cell>
          <cell r="D160" t="str">
            <v>09/11/2024</v>
          </cell>
          <cell r="F160" t="str">
            <v>Valid</v>
          </cell>
          <cell r="H160" t="str">
            <v>Valid</v>
          </cell>
          <cell r="N160" t="str">
            <v>South</v>
          </cell>
          <cell r="V160" t="str">
            <v>First Class</v>
          </cell>
          <cell r="Z160">
            <v>0.05</v>
          </cell>
          <cell r="AB160" t="str">
            <v>Valid</v>
          </cell>
          <cell r="AC160">
            <v>3989.56</v>
          </cell>
          <cell r="AE160">
            <v>3989.5629999999996</v>
          </cell>
          <cell r="AH160">
            <v>2381.38</v>
          </cell>
          <cell r="AI160">
            <v>1608.18</v>
          </cell>
          <cell r="AO160" t="str">
            <v>Paid</v>
          </cell>
          <cell r="AP160" t="str">
            <v>Completed</v>
          </cell>
        </row>
        <row r="161">
          <cell r="A161" t="str">
            <v>ORD-2025-10160</v>
          </cell>
          <cell r="B161" t="str">
            <v>2025-01-30</v>
          </cell>
          <cell r="D161" t="str">
            <v>04-02-2025</v>
          </cell>
          <cell r="F161" t="str">
            <v>Valid</v>
          </cell>
          <cell r="H161" t="str">
            <v>Valid</v>
          </cell>
          <cell r="N161" t="str">
            <v>North</v>
          </cell>
          <cell r="V161" t="str">
            <v>Same Day</v>
          </cell>
          <cell r="Z161">
            <v>0.15</v>
          </cell>
          <cell r="AB161" t="str">
            <v>Valid</v>
          </cell>
          <cell r="AC161">
            <v>33893.32</v>
          </cell>
          <cell r="AE161">
            <v>33893.324999999997</v>
          </cell>
          <cell r="AH161">
            <v>25750.35</v>
          </cell>
          <cell r="AI161">
            <v>8142.97</v>
          </cell>
          <cell r="AO161" t="str">
            <v>Pending</v>
          </cell>
          <cell r="AP161" t="str">
            <v>Cancelled</v>
          </cell>
        </row>
        <row r="162">
          <cell r="A162" t="str">
            <v>ORD-2025-10161</v>
          </cell>
          <cell r="B162" t="str">
            <v>08-10-2025</v>
          </cell>
          <cell r="D162" t="str">
            <v>10/06/2025</v>
          </cell>
          <cell r="F162" t="str">
            <v>Invalid Shipping Record</v>
          </cell>
          <cell r="H162" t="str">
            <v>Invalid Shipping Record</v>
          </cell>
          <cell r="N162" t="str">
            <v>West</v>
          </cell>
          <cell r="V162" t="str">
            <v>Second Class</v>
          </cell>
          <cell r="Z162">
            <v>0.05</v>
          </cell>
          <cell r="AB162" t="str">
            <v>Valid</v>
          </cell>
          <cell r="AC162">
            <v>4789.6000000000004</v>
          </cell>
          <cell r="AE162">
            <v>4789.5960000000005</v>
          </cell>
          <cell r="AH162">
            <v>4037.64</v>
          </cell>
          <cell r="AI162">
            <v>751.96</v>
          </cell>
          <cell r="AO162" t="str">
            <v>Pending</v>
          </cell>
          <cell r="AP162" t="str">
            <v>Cancelled</v>
          </cell>
        </row>
        <row r="163">
          <cell r="A163" t="str">
            <v>ORD-2025-10162</v>
          </cell>
          <cell r="B163" t="str">
            <v>2025-07-24</v>
          </cell>
          <cell r="D163" t="str">
            <v>30-07-2025</v>
          </cell>
          <cell r="F163" t="str">
            <v>Valid</v>
          </cell>
          <cell r="H163" t="str">
            <v>Valid</v>
          </cell>
          <cell r="N163" t="str">
            <v>West</v>
          </cell>
          <cell r="V163" t="str">
            <v>Standard Class</v>
          </cell>
          <cell r="Z163">
            <v>0</v>
          </cell>
          <cell r="AB163" t="str">
            <v>Valid</v>
          </cell>
          <cell r="AC163">
            <v>1643.41</v>
          </cell>
          <cell r="AE163">
            <v>1643.41</v>
          </cell>
          <cell r="AH163">
            <v>907.4</v>
          </cell>
          <cell r="AI163">
            <v>736.01</v>
          </cell>
          <cell r="AO163" t="str">
            <v>Pending</v>
          </cell>
          <cell r="AP163" t="str">
            <v>Cancelled</v>
          </cell>
        </row>
        <row r="164">
          <cell r="A164" t="str">
            <v>ORD-2024-10163</v>
          </cell>
          <cell r="B164" t="str">
            <v>2024-03-09</v>
          </cell>
          <cell r="D164" t="str">
            <v>14 Mar 2024</v>
          </cell>
          <cell r="F164" t="str">
            <v>Valid</v>
          </cell>
          <cell r="H164" t="str">
            <v>Valid</v>
          </cell>
          <cell r="N164" t="str">
            <v>West</v>
          </cell>
          <cell r="V164" t="str">
            <v>Second Class</v>
          </cell>
          <cell r="Z164">
            <v>0</v>
          </cell>
          <cell r="AB164" t="str">
            <v>Valid</v>
          </cell>
          <cell r="AC164">
            <v>35997.620000000003</v>
          </cell>
          <cell r="AE164">
            <v>35782.720000000001</v>
          </cell>
          <cell r="AH164">
            <v>26424.41</v>
          </cell>
          <cell r="AI164">
            <v>9358.31</v>
          </cell>
          <cell r="AO164" t="str">
            <v>Pending</v>
          </cell>
          <cell r="AP164" t="str">
            <v>Returned</v>
          </cell>
        </row>
        <row r="165">
          <cell r="A165" t="str">
            <v>ORD-2025-10164</v>
          </cell>
          <cell r="B165" t="str">
            <v>09/21/2025</v>
          </cell>
          <cell r="D165" t="str">
            <v>26 Sep 2025</v>
          </cell>
          <cell r="F165" t="str">
            <v>Valid</v>
          </cell>
          <cell r="H165" t="str">
            <v>Valid</v>
          </cell>
          <cell r="N165" t="str">
            <v>West</v>
          </cell>
          <cell r="Z165">
            <v>0.1</v>
          </cell>
          <cell r="AB165" t="str">
            <v>Valid</v>
          </cell>
          <cell r="AC165">
            <v>15679.33</v>
          </cell>
          <cell r="AE165">
            <v>15679.332</v>
          </cell>
          <cell r="AH165">
            <v>12477.82</v>
          </cell>
          <cell r="AI165">
            <v>3201.51</v>
          </cell>
          <cell r="AO165" t="str">
            <v>Pending</v>
          </cell>
          <cell r="AP165" t="str">
            <v>Returned</v>
          </cell>
        </row>
        <row r="166">
          <cell r="A166" t="str">
            <v>ORD-2025-10165</v>
          </cell>
          <cell r="B166" t="str">
            <v>09 Sep 2025</v>
          </cell>
          <cell r="D166" t="str">
            <v>09/14/2025</v>
          </cell>
          <cell r="F166" t="str">
            <v>Valid</v>
          </cell>
          <cell r="H166" t="str">
            <v>Valid</v>
          </cell>
          <cell r="N166" t="str">
            <v>East</v>
          </cell>
          <cell r="V166" t="str">
            <v>Second Class</v>
          </cell>
          <cell r="Z166">
            <v>0.25</v>
          </cell>
          <cell r="AB166" t="str">
            <v>Valid</v>
          </cell>
          <cell r="AC166">
            <v>2365.8200000000002</v>
          </cell>
          <cell r="AE166">
            <v>2365.8150000000001</v>
          </cell>
          <cell r="AH166">
            <v>1547.99</v>
          </cell>
          <cell r="AI166">
            <v>817.83</v>
          </cell>
          <cell r="AO166" t="str">
            <v>Paid</v>
          </cell>
          <cell r="AP166" t="str">
            <v>Completed</v>
          </cell>
        </row>
        <row r="167">
          <cell r="A167" t="str">
            <v>ORD-2024-10166</v>
          </cell>
          <cell r="B167" t="str">
            <v>11/22/2024</v>
          </cell>
          <cell r="D167" t="str">
            <v>29-11-2024</v>
          </cell>
          <cell r="F167" t="str">
            <v>Valid</v>
          </cell>
          <cell r="H167" t="str">
            <v>Valid</v>
          </cell>
          <cell r="N167" t="str">
            <v>East</v>
          </cell>
          <cell r="V167" t="str">
            <v>Standard Class</v>
          </cell>
          <cell r="Z167">
            <v>0.25</v>
          </cell>
          <cell r="AB167" t="str">
            <v>Valid</v>
          </cell>
          <cell r="AC167">
            <v>10268.969999999999</v>
          </cell>
          <cell r="AE167">
            <v>10268.969999999999</v>
          </cell>
          <cell r="AH167">
            <v>6470.92</v>
          </cell>
          <cell r="AI167">
            <v>3798.05</v>
          </cell>
          <cell r="AO167" t="str">
            <v>Paid</v>
          </cell>
          <cell r="AP167" t="str">
            <v>Completed</v>
          </cell>
        </row>
        <row r="168">
          <cell r="A168" t="str">
            <v>ORD-2025-10167</v>
          </cell>
          <cell r="B168" t="str">
            <v>20-02-2025</v>
          </cell>
          <cell r="D168" t="str">
            <v>26-02-2025</v>
          </cell>
          <cell r="F168" t="str">
            <v>Valid</v>
          </cell>
          <cell r="H168" t="str">
            <v>Valid</v>
          </cell>
          <cell r="N168" t="str">
            <v>West</v>
          </cell>
          <cell r="V168" t="str">
            <v>First Class</v>
          </cell>
          <cell r="Z168">
            <v>0.2</v>
          </cell>
          <cell r="AB168" t="str">
            <v>Valid</v>
          </cell>
          <cell r="AC168">
            <v>2046.28</v>
          </cell>
          <cell r="AE168">
            <v>2046.28</v>
          </cell>
          <cell r="AH168">
            <v>1449.54</v>
          </cell>
          <cell r="AI168">
            <v>596.74</v>
          </cell>
          <cell r="AO168" t="str">
            <v>Paid</v>
          </cell>
          <cell r="AP168" t="str">
            <v>Completed</v>
          </cell>
        </row>
        <row r="169">
          <cell r="A169" t="str">
            <v>ORD-2025-10168</v>
          </cell>
          <cell r="B169" t="str">
            <v>2025-08-18</v>
          </cell>
          <cell r="D169" t="str">
            <v>08/18/2025</v>
          </cell>
          <cell r="F169" t="str">
            <v>Valid</v>
          </cell>
          <cell r="H169" t="str">
            <v>Valid</v>
          </cell>
          <cell r="N169" t="str">
            <v>South</v>
          </cell>
          <cell r="V169" t="str">
            <v>First Class</v>
          </cell>
          <cell r="Z169">
            <v>0.15</v>
          </cell>
          <cell r="AB169" t="str">
            <v>Valid</v>
          </cell>
          <cell r="AC169">
            <v>23186.61</v>
          </cell>
          <cell r="AE169">
            <v>23186.6145</v>
          </cell>
          <cell r="AH169">
            <v>17906.54</v>
          </cell>
          <cell r="AI169">
            <v>5280.07</v>
          </cell>
          <cell r="AO169" t="str">
            <v>Paid</v>
          </cell>
          <cell r="AP169" t="str">
            <v>Returned</v>
          </cell>
        </row>
        <row r="170">
          <cell r="A170" t="str">
            <v>ORD-2025-10169</v>
          </cell>
          <cell r="B170" t="str">
            <v>01/20/2025</v>
          </cell>
          <cell r="D170" t="str">
            <v>23 Jan 2025</v>
          </cell>
          <cell r="F170" t="str">
            <v>Valid</v>
          </cell>
          <cell r="H170" t="str">
            <v>Valid</v>
          </cell>
          <cell r="N170" t="str">
            <v>West</v>
          </cell>
          <cell r="V170" t="str">
            <v>Same Day</v>
          </cell>
          <cell r="Z170">
            <v>0.2</v>
          </cell>
          <cell r="AB170" t="str">
            <v>Valid</v>
          </cell>
          <cell r="AC170">
            <v>2557.08</v>
          </cell>
          <cell r="AE170">
            <v>2557.08</v>
          </cell>
          <cell r="AH170">
            <v>2025.69</v>
          </cell>
          <cell r="AI170">
            <v>531.39</v>
          </cell>
          <cell r="AO170" t="str">
            <v>Paid</v>
          </cell>
          <cell r="AP170" t="str">
            <v>Cancelled</v>
          </cell>
        </row>
        <row r="171">
          <cell r="A171" t="str">
            <v>ORD-2025-10170</v>
          </cell>
          <cell r="B171" t="str">
            <v>2025-09-13</v>
          </cell>
          <cell r="D171" t="str">
            <v>09/13/2025</v>
          </cell>
          <cell r="F171" t="str">
            <v>Valid</v>
          </cell>
          <cell r="H171" t="str">
            <v>Valid</v>
          </cell>
          <cell r="N171" t="str">
            <v>East</v>
          </cell>
          <cell r="V171" t="str">
            <v>Standard Class</v>
          </cell>
          <cell r="Z171">
            <v>0.05</v>
          </cell>
          <cell r="AB171" t="str">
            <v>Valid</v>
          </cell>
          <cell r="AC171">
            <v>5577.64</v>
          </cell>
          <cell r="AE171">
            <v>5577.6399999999994</v>
          </cell>
          <cell r="AH171">
            <v>3541.29</v>
          </cell>
          <cell r="AI171">
            <v>2036.35</v>
          </cell>
          <cell r="AO171" t="str">
            <v>Pending</v>
          </cell>
          <cell r="AP171" t="str">
            <v>Returned</v>
          </cell>
        </row>
        <row r="172">
          <cell r="A172" t="str">
            <v>ORD-2025-10171</v>
          </cell>
          <cell r="B172" t="str">
            <v>07-09-2025</v>
          </cell>
          <cell r="D172" t="str">
            <v>09/15/2025</v>
          </cell>
          <cell r="F172" t="str">
            <v>Valid</v>
          </cell>
          <cell r="H172" t="str">
            <v>Valid</v>
          </cell>
          <cell r="N172" t="str">
            <v>East</v>
          </cell>
          <cell r="V172" t="str">
            <v>Standard Class</v>
          </cell>
          <cell r="Z172">
            <v>0</v>
          </cell>
          <cell r="AB172" t="str">
            <v>Valid</v>
          </cell>
          <cell r="AC172">
            <v>5133.96</v>
          </cell>
          <cell r="AE172">
            <v>5133.96</v>
          </cell>
          <cell r="AH172">
            <v>3930</v>
          </cell>
          <cell r="AI172">
            <v>1203.96</v>
          </cell>
          <cell r="AO172" t="str">
            <v>Paid</v>
          </cell>
          <cell r="AP172" t="str">
            <v>Completed</v>
          </cell>
        </row>
        <row r="173">
          <cell r="A173" t="str">
            <v>ORD-2025-10172</v>
          </cell>
          <cell r="B173" t="str">
            <v>2025-02-23</v>
          </cell>
          <cell r="D173" t="str">
            <v>02/25/2025</v>
          </cell>
          <cell r="F173" t="str">
            <v>Valid</v>
          </cell>
          <cell r="H173" t="str">
            <v>Valid</v>
          </cell>
          <cell r="N173" t="str">
            <v>East</v>
          </cell>
          <cell r="V173" t="str">
            <v>Same Day</v>
          </cell>
          <cell r="Z173">
            <v>0.25</v>
          </cell>
          <cell r="AB173" t="str">
            <v>Valid</v>
          </cell>
          <cell r="AC173">
            <v>15923.51</v>
          </cell>
          <cell r="AE173">
            <v>15923.512500000001</v>
          </cell>
          <cell r="AH173">
            <v>11291.8</v>
          </cell>
          <cell r="AI173">
            <v>4631.71</v>
          </cell>
          <cell r="AO173" t="str">
            <v>Paid</v>
          </cell>
          <cell r="AP173" t="str">
            <v>Completed</v>
          </cell>
        </row>
        <row r="174">
          <cell r="A174" t="str">
            <v>ORD-2025-10173</v>
          </cell>
          <cell r="B174" t="str">
            <v>02-08-2025</v>
          </cell>
          <cell r="D174" t="str">
            <v>10-08-2025</v>
          </cell>
          <cell r="F174" t="str">
            <v>Valid</v>
          </cell>
          <cell r="H174" t="str">
            <v>Valid</v>
          </cell>
          <cell r="N174" t="str">
            <v>North</v>
          </cell>
          <cell r="V174" t="str">
            <v>Same Day</v>
          </cell>
          <cell r="Z174">
            <v>0.1</v>
          </cell>
          <cell r="AB174" t="str">
            <v>Valid</v>
          </cell>
          <cell r="AC174">
            <v>23997.22</v>
          </cell>
          <cell r="AE174">
            <v>23997.221999999998</v>
          </cell>
          <cell r="AH174">
            <v>16134.63</v>
          </cell>
          <cell r="AI174">
            <v>7862.59</v>
          </cell>
          <cell r="AO174" t="str">
            <v>Refunded</v>
          </cell>
          <cell r="AP174" t="str">
            <v>Returned</v>
          </cell>
        </row>
        <row r="175">
          <cell r="A175" t="str">
            <v>ORD-2024-10174</v>
          </cell>
          <cell r="B175" t="str">
            <v>02-05-2024</v>
          </cell>
          <cell r="D175" t="str">
            <v>08 May 2024</v>
          </cell>
          <cell r="F175" t="str">
            <v>Valid</v>
          </cell>
          <cell r="H175" t="str">
            <v>Valid</v>
          </cell>
          <cell r="N175" t="str">
            <v>North</v>
          </cell>
          <cell r="V175" t="str">
            <v>Second Class</v>
          </cell>
          <cell r="Z175">
            <v>0.25</v>
          </cell>
          <cell r="AB175" t="str">
            <v>Valid</v>
          </cell>
          <cell r="AC175">
            <v>1734.19</v>
          </cell>
          <cell r="AE175">
            <v>1734.1875</v>
          </cell>
          <cell r="AH175">
            <v>1386.07</v>
          </cell>
          <cell r="AI175">
            <v>348.12</v>
          </cell>
          <cell r="AO175" t="str">
            <v>Paid</v>
          </cell>
          <cell r="AP175" t="str">
            <v>Completed</v>
          </cell>
        </row>
        <row r="176">
          <cell r="A176" t="str">
            <v>ORD-2025-10175</v>
          </cell>
          <cell r="B176" t="str">
            <v>28 Sep 2025</v>
          </cell>
          <cell r="D176" t="str">
            <v>04-10-2025</v>
          </cell>
          <cell r="F176" t="str">
            <v>Valid</v>
          </cell>
          <cell r="H176" t="str">
            <v>Valid</v>
          </cell>
          <cell r="N176" t="str">
            <v>South</v>
          </cell>
          <cell r="V176" t="str">
            <v>First Class</v>
          </cell>
          <cell r="Z176">
            <v>0.15</v>
          </cell>
          <cell r="AB176" t="str">
            <v>Valid</v>
          </cell>
          <cell r="AC176">
            <v>8264.7000000000007</v>
          </cell>
          <cell r="AE176">
            <v>8264.7029999999995</v>
          </cell>
          <cell r="AH176">
            <v>4768.75</v>
          </cell>
          <cell r="AI176">
            <v>3495.95</v>
          </cell>
          <cell r="AO176" t="str">
            <v>Pending</v>
          </cell>
          <cell r="AP176" t="str">
            <v>Returned</v>
          </cell>
        </row>
        <row r="177">
          <cell r="A177" t="str">
            <v>ORD-2024-10176</v>
          </cell>
          <cell r="B177" t="str">
            <v>2024-01-27</v>
          </cell>
          <cell r="D177" t="str">
            <v>2024-02-03</v>
          </cell>
          <cell r="F177" t="str">
            <v>Valid</v>
          </cell>
          <cell r="H177" t="str">
            <v>Valid</v>
          </cell>
          <cell r="N177" t="str">
            <v>East</v>
          </cell>
          <cell r="V177" t="str">
            <v>Same Day</v>
          </cell>
          <cell r="Z177">
            <v>0.15</v>
          </cell>
          <cell r="AB177" t="str">
            <v>Valid</v>
          </cell>
          <cell r="AC177">
            <v>15906.85</v>
          </cell>
          <cell r="AE177">
            <v>15906.849000000002</v>
          </cell>
          <cell r="AH177">
            <v>11014.46</v>
          </cell>
          <cell r="AI177">
            <v>4892.3900000000003</v>
          </cell>
          <cell r="AO177" t="str">
            <v>Paid</v>
          </cell>
          <cell r="AP177" t="str">
            <v>Returned</v>
          </cell>
        </row>
        <row r="178">
          <cell r="A178" t="str">
            <v>ORD-2025-10177</v>
          </cell>
          <cell r="B178" t="str">
            <v>18-03-2025</v>
          </cell>
          <cell r="D178" t="str">
            <v>03/26/2025</v>
          </cell>
          <cell r="F178" t="str">
            <v>Valid</v>
          </cell>
          <cell r="H178" t="str">
            <v>Valid</v>
          </cell>
          <cell r="N178" t="str">
            <v>East</v>
          </cell>
          <cell r="V178" t="str">
            <v>Standard Class</v>
          </cell>
          <cell r="Z178">
            <v>0.15</v>
          </cell>
          <cell r="AB178" t="str">
            <v>Valid</v>
          </cell>
          <cell r="AC178">
            <v>24229.01</v>
          </cell>
          <cell r="AE178">
            <v>24229.011999999999</v>
          </cell>
          <cell r="AH178">
            <v>13910.64</v>
          </cell>
          <cell r="AI178">
            <v>10318.370000000001</v>
          </cell>
          <cell r="AO178" t="str">
            <v>Paid</v>
          </cell>
          <cell r="AP178" t="str">
            <v>Completed</v>
          </cell>
        </row>
        <row r="179">
          <cell r="A179" t="str">
            <v>ORD-2024-10178</v>
          </cell>
          <cell r="B179" t="str">
            <v>01-06-2024</v>
          </cell>
          <cell r="D179" t="str">
            <v>06/03/2024</v>
          </cell>
          <cell r="F179" t="str">
            <v>Valid</v>
          </cell>
          <cell r="H179" t="str">
            <v>Valid</v>
          </cell>
          <cell r="V179" t="str">
            <v>Same Day</v>
          </cell>
          <cell r="Z179">
            <v>0</v>
          </cell>
          <cell r="AB179" t="str">
            <v>Valid</v>
          </cell>
          <cell r="AC179">
            <v>31039.599999999999</v>
          </cell>
          <cell r="AE179">
            <v>31039.599999999999</v>
          </cell>
          <cell r="AH179">
            <v>20866.72</v>
          </cell>
          <cell r="AI179">
            <v>10172.879999999999</v>
          </cell>
          <cell r="AO179" t="str">
            <v>Paid</v>
          </cell>
          <cell r="AP179" t="str">
            <v>Completed</v>
          </cell>
        </row>
        <row r="180">
          <cell r="A180" t="str">
            <v>ORD-2024-10179</v>
          </cell>
          <cell r="B180" t="str">
            <v>30-09-2024</v>
          </cell>
          <cell r="D180" t="str">
            <v>2024-09-30</v>
          </cell>
          <cell r="F180" t="str">
            <v>Valid</v>
          </cell>
          <cell r="H180" t="str">
            <v>Valid</v>
          </cell>
          <cell r="N180" t="str">
            <v>South</v>
          </cell>
          <cell r="V180" t="str">
            <v>Standard Class</v>
          </cell>
          <cell r="Z180">
            <v>0</v>
          </cell>
          <cell r="AB180" t="str">
            <v>Valid</v>
          </cell>
          <cell r="AC180">
            <v>13126.96</v>
          </cell>
          <cell r="AE180">
            <v>13126.96</v>
          </cell>
          <cell r="AH180">
            <v>10732.44</v>
          </cell>
          <cell r="AI180">
            <v>2394.52</v>
          </cell>
          <cell r="AO180" t="str">
            <v>Paid</v>
          </cell>
          <cell r="AP180" t="str">
            <v>Completed</v>
          </cell>
        </row>
        <row r="181">
          <cell r="A181" t="str">
            <v>ORD-2024-10180</v>
          </cell>
          <cell r="B181" t="str">
            <v>2024-03-15</v>
          </cell>
          <cell r="D181" t="str">
            <v>03/19/2024</v>
          </cell>
          <cell r="F181" t="str">
            <v>Valid</v>
          </cell>
          <cell r="H181" t="str">
            <v>Valid</v>
          </cell>
          <cell r="N181" t="str">
            <v>South</v>
          </cell>
          <cell r="V181" t="str">
            <v>Standard Class</v>
          </cell>
          <cell r="Z181">
            <v>0.25</v>
          </cell>
          <cell r="AB181" t="str">
            <v>Valid</v>
          </cell>
          <cell r="AC181">
            <v>9558.9</v>
          </cell>
          <cell r="AE181">
            <v>9558.9000000000015</v>
          </cell>
          <cell r="AH181">
            <v>5516.76</v>
          </cell>
          <cell r="AI181">
            <v>4042.14</v>
          </cell>
          <cell r="AO181" t="str">
            <v>Refunded</v>
          </cell>
          <cell r="AP181" t="str">
            <v>Returned</v>
          </cell>
        </row>
        <row r="182">
          <cell r="A182" t="str">
            <v>ORD-2024-10181</v>
          </cell>
          <cell r="B182" t="str">
            <v>2024-08-26</v>
          </cell>
          <cell r="D182" t="str">
            <v>26-08-2024</v>
          </cell>
          <cell r="F182" t="str">
            <v>Valid</v>
          </cell>
          <cell r="H182" t="str">
            <v>Valid</v>
          </cell>
          <cell r="N182" t="str">
            <v>North</v>
          </cell>
          <cell r="V182" t="str">
            <v>First Class</v>
          </cell>
          <cell r="Z182">
            <v>0.1</v>
          </cell>
          <cell r="AB182" t="str">
            <v>Valid</v>
          </cell>
          <cell r="AC182">
            <v>5320.92</v>
          </cell>
          <cell r="AE182">
            <v>5320.9170000000004</v>
          </cell>
          <cell r="AH182">
            <v>3041.5</v>
          </cell>
          <cell r="AI182">
            <v>2279.42</v>
          </cell>
          <cell r="AO182" t="str">
            <v>Paid</v>
          </cell>
          <cell r="AP182" t="str">
            <v>Completed</v>
          </cell>
        </row>
        <row r="183">
          <cell r="A183" t="str">
            <v>ORD-2025-10182</v>
          </cell>
          <cell r="B183" t="str">
            <v>09/09/2025</v>
          </cell>
          <cell r="D183" t="str">
            <v>10-09-2025</v>
          </cell>
          <cell r="F183" t="str">
            <v>Valid</v>
          </cell>
          <cell r="H183" t="str">
            <v>Valid</v>
          </cell>
          <cell r="N183" t="str">
            <v>South</v>
          </cell>
          <cell r="V183" t="str">
            <v>Second Class</v>
          </cell>
          <cell r="Z183">
            <v>0</v>
          </cell>
          <cell r="AB183" t="str">
            <v>Valid</v>
          </cell>
          <cell r="AC183">
            <v>10205.799999999999</v>
          </cell>
          <cell r="AE183">
            <v>10205.799999999999</v>
          </cell>
          <cell r="AH183">
            <v>5986.31</v>
          </cell>
          <cell r="AI183">
            <v>4219.49</v>
          </cell>
          <cell r="AO183" t="str">
            <v>Paid</v>
          </cell>
          <cell r="AP183" t="str">
            <v>Completed</v>
          </cell>
        </row>
        <row r="184">
          <cell r="A184" t="str">
            <v>ORD-2024-10183</v>
          </cell>
          <cell r="B184" t="str">
            <v>16 Oct 2024</v>
          </cell>
          <cell r="D184" t="str">
            <v>16 Oct 2024</v>
          </cell>
          <cell r="F184" t="str">
            <v>Valid</v>
          </cell>
          <cell r="H184" t="str">
            <v>Valid</v>
          </cell>
          <cell r="N184" t="str">
            <v>East</v>
          </cell>
          <cell r="V184" t="str">
            <v>Standard Class</v>
          </cell>
          <cell r="Z184">
            <v>0</v>
          </cell>
          <cell r="AB184" t="str">
            <v>Valid</v>
          </cell>
          <cell r="AC184">
            <v>5430.39</v>
          </cell>
          <cell r="AE184">
            <v>5430.3899999999994</v>
          </cell>
          <cell r="AH184">
            <v>3707.66</v>
          </cell>
          <cell r="AI184">
            <v>1722.73</v>
          </cell>
          <cell r="AO184" t="str">
            <v>Paid</v>
          </cell>
          <cell r="AP184" t="str">
            <v>Completed</v>
          </cell>
        </row>
        <row r="185">
          <cell r="A185" t="str">
            <v>ORD-2025-10184</v>
          </cell>
          <cell r="B185" t="str">
            <v>2025-06-24</v>
          </cell>
          <cell r="D185" t="str">
            <v>27-06-2025</v>
          </cell>
          <cell r="F185" t="str">
            <v>Valid</v>
          </cell>
          <cell r="H185" t="str">
            <v>Valid</v>
          </cell>
          <cell r="N185" t="str">
            <v>South</v>
          </cell>
          <cell r="V185" t="str">
            <v>Standard Class</v>
          </cell>
          <cell r="Z185">
            <v>0.2</v>
          </cell>
          <cell r="AB185" t="str">
            <v>Valid</v>
          </cell>
          <cell r="AC185">
            <v>12907.22</v>
          </cell>
          <cell r="AE185">
            <v>12907.216</v>
          </cell>
          <cell r="AH185">
            <v>8327.89</v>
          </cell>
          <cell r="AI185">
            <v>4579.33</v>
          </cell>
          <cell r="AO185" t="str">
            <v>Paid</v>
          </cell>
          <cell r="AP185" t="str">
            <v>Returned</v>
          </cell>
        </row>
        <row r="186">
          <cell r="A186" t="str">
            <v>ORD-2024-10185</v>
          </cell>
          <cell r="B186" t="str">
            <v>2024-04-02</v>
          </cell>
          <cell r="D186" t="str">
            <v>2024-04-06</v>
          </cell>
          <cell r="F186" t="str">
            <v>Valid</v>
          </cell>
          <cell r="H186" t="str">
            <v>Valid</v>
          </cell>
          <cell r="N186" t="str">
            <v>West</v>
          </cell>
          <cell r="V186" t="str">
            <v>Standard Class</v>
          </cell>
          <cell r="Z186">
            <v>0</v>
          </cell>
          <cell r="AB186" t="str">
            <v>Valid</v>
          </cell>
          <cell r="AC186">
            <v>1777.96</v>
          </cell>
          <cell r="AE186">
            <v>1777.96</v>
          </cell>
          <cell r="AH186">
            <v>1021.16</v>
          </cell>
          <cell r="AI186">
            <v>756.8</v>
          </cell>
          <cell r="AO186" t="str">
            <v>Refunded</v>
          </cell>
          <cell r="AP186" t="str">
            <v>Returned</v>
          </cell>
        </row>
        <row r="187">
          <cell r="A187" t="str">
            <v>ORD-2024-10186</v>
          </cell>
          <cell r="B187" t="str">
            <v>11/05/2024</v>
          </cell>
          <cell r="D187" t="str">
            <v>2024-11-13</v>
          </cell>
          <cell r="F187" t="str">
            <v>Valid</v>
          </cell>
          <cell r="H187" t="str">
            <v>Valid</v>
          </cell>
          <cell r="V187" t="str">
            <v>Second Class</v>
          </cell>
          <cell r="Z187">
            <v>0.2</v>
          </cell>
          <cell r="AB187" t="str">
            <v>Valid</v>
          </cell>
          <cell r="AC187">
            <v>1605.07</v>
          </cell>
          <cell r="AE187">
            <v>1605.0720000000001</v>
          </cell>
          <cell r="AH187">
            <v>1337.28</v>
          </cell>
          <cell r="AI187">
            <v>267.79000000000002</v>
          </cell>
          <cell r="AO187" t="str">
            <v>Paid</v>
          </cell>
          <cell r="AP187" t="str">
            <v>Completed</v>
          </cell>
        </row>
        <row r="188">
          <cell r="A188" t="str">
            <v>ORD-2024-10187</v>
          </cell>
          <cell r="B188" t="str">
            <v>19-07-2024</v>
          </cell>
          <cell r="D188" t="str">
            <v>20 Jul 2024</v>
          </cell>
          <cell r="F188" t="str">
            <v>Valid</v>
          </cell>
          <cell r="H188" t="str">
            <v>Valid</v>
          </cell>
          <cell r="N188" t="str">
            <v>South</v>
          </cell>
          <cell r="V188" t="str">
            <v>First Class</v>
          </cell>
          <cell r="Z188">
            <v>0.05</v>
          </cell>
          <cell r="AB188" t="str">
            <v>Valid</v>
          </cell>
          <cell r="AC188">
            <v>23996.06</v>
          </cell>
          <cell r="AE188">
            <v>23996.059499999996</v>
          </cell>
          <cell r="AH188">
            <v>20167.28</v>
          </cell>
          <cell r="AI188">
            <v>3828.78</v>
          </cell>
          <cell r="AO188" t="str">
            <v>Paid</v>
          </cell>
          <cell r="AP188" t="str">
            <v>Completed</v>
          </cell>
        </row>
        <row r="189">
          <cell r="A189" t="str">
            <v>ORD-2025-10188</v>
          </cell>
          <cell r="B189" t="str">
            <v>2025-05-01</v>
          </cell>
          <cell r="D189" t="str">
            <v>02 May 2025</v>
          </cell>
          <cell r="F189" t="str">
            <v>Valid</v>
          </cell>
          <cell r="H189" t="str">
            <v>Valid</v>
          </cell>
          <cell r="N189" t="str">
            <v>West</v>
          </cell>
          <cell r="V189" t="str">
            <v>Same Day</v>
          </cell>
          <cell r="Z189">
            <v>0</v>
          </cell>
          <cell r="AB189" t="str">
            <v>Valid</v>
          </cell>
          <cell r="AC189">
            <v>8717.2199999999993</v>
          </cell>
          <cell r="AE189">
            <v>8717.2199999999993</v>
          </cell>
          <cell r="AH189">
            <v>6215.96</v>
          </cell>
          <cell r="AI189">
            <v>2501.2600000000002</v>
          </cell>
          <cell r="AO189" t="str">
            <v>Paid</v>
          </cell>
          <cell r="AP189" t="str">
            <v>Returned</v>
          </cell>
        </row>
        <row r="190">
          <cell r="A190" t="str">
            <v>ORD-2025-10189</v>
          </cell>
          <cell r="B190" t="str">
            <v>2025-05-21</v>
          </cell>
          <cell r="D190" t="str">
            <v>28 May 2025</v>
          </cell>
          <cell r="F190" t="str">
            <v>Valid</v>
          </cell>
          <cell r="H190" t="str">
            <v>Valid</v>
          </cell>
          <cell r="N190" t="str">
            <v>East</v>
          </cell>
          <cell r="V190" t="str">
            <v>Same Day</v>
          </cell>
          <cell r="Z190">
            <v>0.1</v>
          </cell>
          <cell r="AB190" t="str">
            <v>Valid</v>
          </cell>
          <cell r="AC190">
            <v>6553.95</v>
          </cell>
          <cell r="AE190">
            <v>6407.2260000000006</v>
          </cell>
          <cell r="AH190">
            <v>4923.09</v>
          </cell>
          <cell r="AI190">
            <v>1484.14</v>
          </cell>
          <cell r="AO190" t="str">
            <v>Paid</v>
          </cell>
          <cell r="AP190" t="str">
            <v>Completed</v>
          </cell>
        </row>
        <row r="191">
          <cell r="A191" t="str">
            <v>ORD-2025-10190</v>
          </cell>
          <cell r="B191" t="str">
            <v>2025-05-06</v>
          </cell>
          <cell r="D191" t="str">
            <v>07 May 2025</v>
          </cell>
          <cell r="F191" t="str">
            <v>Valid</v>
          </cell>
          <cell r="H191" t="str">
            <v>Valid</v>
          </cell>
          <cell r="N191" t="str">
            <v>West</v>
          </cell>
          <cell r="V191" t="str">
            <v>First Class</v>
          </cell>
          <cell r="AB191" t="str">
            <v>Valid</v>
          </cell>
          <cell r="AC191">
            <v>25384.54</v>
          </cell>
          <cell r="AE191">
            <v>29864.159999999996</v>
          </cell>
          <cell r="AH191">
            <v>16872.39</v>
          </cell>
          <cell r="AI191">
            <v>8512.15</v>
          </cell>
          <cell r="AO191" t="str">
            <v>Paid</v>
          </cell>
          <cell r="AP191" t="str">
            <v>completed</v>
          </cell>
        </row>
        <row r="192">
          <cell r="A192" t="str">
            <v>ORD-2025-10191</v>
          </cell>
          <cell r="B192" t="str">
            <v>20-04-2025</v>
          </cell>
          <cell r="D192" t="str">
            <v>04/21/2025</v>
          </cell>
          <cell r="F192" t="str">
            <v>Valid</v>
          </cell>
          <cell r="H192" t="str">
            <v>Valid</v>
          </cell>
          <cell r="N192" t="str">
            <v>South</v>
          </cell>
          <cell r="V192" t="str">
            <v>First Class</v>
          </cell>
          <cell r="Z192">
            <v>0.1</v>
          </cell>
          <cell r="AB192" t="str">
            <v>Valid</v>
          </cell>
          <cell r="AC192">
            <v>1458.24</v>
          </cell>
          <cell r="AE192">
            <v>1458.2429999999999</v>
          </cell>
          <cell r="AH192">
            <v>943.32</v>
          </cell>
          <cell r="AI192">
            <v>514.91999999999996</v>
          </cell>
          <cell r="AO192" t="str">
            <v>Paid</v>
          </cell>
          <cell r="AP192" t="str">
            <v>Completed</v>
          </cell>
        </row>
        <row r="193">
          <cell r="A193" t="str">
            <v>ORD-2024-10192</v>
          </cell>
          <cell r="B193" t="str">
            <v>19-10-2024</v>
          </cell>
          <cell r="D193" t="str">
            <v>2024-10-24</v>
          </cell>
          <cell r="F193" t="str">
            <v>Valid</v>
          </cell>
          <cell r="H193" t="str">
            <v>Valid</v>
          </cell>
          <cell r="N193" t="str">
            <v>South</v>
          </cell>
          <cell r="V193" t="str">
            <v>Second Class</v>
          </cell>
          <cell r="Z193">
            <v>0.65</v>
          </cell>
          <cell r="AB193" t="str">
            <v>Valid</v>
          </cell>
          <cell r="AC193">
            <v>25850.400000000001</v>
          </cell>
          <cell r="AE193">
            <v>9047.64</v>
          </cell>
          <cell r="AH193">
            <v>19397.68</v>
          </cell>
          <cell r="AI193">
            <v>6452.72</v>
          </cell>
          <cell r="AO193" t="str">
            <v>Paid</v>
          </cell>
          <cell r="AP193" t="str">
            <v>Completed</v>
          </cell>
        </row>
        <row r="194">
          <cell r="A194" t="str">
            <v>ORD-2024-10193</v>
          </cell>
          <cell r="B194" t="str">
            <v>2024-12-09</v>
          </cell>
          <cell r="D194" t="str">
            <v>12/16/2024</v>
          </cell>
          <cell r="F194" t="str">
            <v>Valid</v>
          </cell>
          <cell r="H194" t="str">
            <v>Valid</v>
          </cell>
          <cell r="N194" t="str">
            <v>West</v>
          </cell>
          <cell r="V194" t="str">
            <v>First Class</v>
          </cell>
          <cell r="Z194">
            <v>0</v>
          </cell>
          <cell r="AB194" t="str">
            <v>Valid</v>
          </cell>
          <cell r="AC194">
            <v>8764.1200000000008</v>
          </cell>
          <cell r="AE194">
            <v>8764.1200000000008</v>
          </cell>
          <cell r="AH194">
            <v>7220.05</v>
          </cell>
          <cell r="AI194">
            <v>1544.07</v>
          </cell>
          <cell r="AO194" t="str">
            <v>Paid</v>
          </cell>
          <cell r="AP194" t="str">
            <v>Completed</v>
          </cell>
        </row>
        <row r="195">
          <cell r="A195" t="str">
            <v>ORD-2024-10194</v>
          </cell>
          <cell r="B195" t="str">
            <v>2024-06-23</v>
          </cell>
          <cell r="D195" t="str">
            <v>28-06-2024</v>
          </cell>
          <cell r="F195" t="str">
            <v>Valid</v>
          </cell>
          <cell r="H195" t="str">
            <v>Valid</v>
          </cell>
          <cell r="N195" t="str">
            <v>North</v>
          </cell>
          <cell r="V195" t="str">
            <v>Same Day</v>
          </cell>
          <cell r="Z195">
            <v>0.2</v>
          </cell>
          <cell r="AB195" t="str">
            <v>Valid</v>
          </cell>
          <cell r="AC195">
            <v>9391.82</v>
          </cell>
          <cell r="AE195">
            <v>9391.8240000000005</v>
          </cell>
          <cell r="AH195">
            <v>6013.22</v>
          </cell>
          <cell r="AI195">
            <v>3378.6</v>
          </cell>
          <cell r="AO195" t="str">
            <v>Refunded</v>
          </cell>
          <cell r="AP195" t="str">
            <v>Returned</v>
          </cell>
        </row>
        <row r="196">
          <cell r="A196" t="str">
            <v>ORD-2025-10195</v>
          </cell>
          <cell r="B196" t="str">
            <v>2025-01-28</v>
          </cell>
          <cell r="D196" t="str">
            <v>01/31/2025</v>
          </cell>
          <cell r="F196" t="str">
            <v>Valid</v>
          </cell>
          <cell r="H196" t="str">
            <v>Valid</v>
          </cell>
          <cell r="N196" t="str">
            <v>WEST</v>
          </cell>
          <cell r="V196" t="str">
            <v>First Class</v>
          </cell>
          <cell r="Z196">
            <v>0.05</v>
          </cell>
          <cell r="AB196" t="str">
            <v>Valid</v>
          </cell>
          <cell r="AC196">
            <v>7339.23</v>
          </cell>
          <cell r="AE196">
            <v>7339.2344999999996</v>
          </cell>
          <cell r="AH196">
            <v>5434.12</v>
          </cell>
          <cell r="AI196">
            <v>1905.11</v>
          </cell>
          <cell r="AO196" t="str">
            <v>Pending</v>
          </cell>
          <cell r="AP196" t="str">
            <v>Returned</v>
          </cell>
        </row>
        <row r="197">
          <cell r="A197" t="str">
            <v>ORD-2025-10196</v>
          </cell>
          <cell r="B197" t="str">
            <v>22 Jul 2025</v>
          </cell>
          <cell r="D197" t="str">
            <v>07/24/2025</v>
          </cell>
          <cell r="F197" t="str">
            <v>Valid</v>
          </cell>
          <cell r="H197" t="str">
            <v>Valid</v>
          </cell>
          <cell r="N197" t="str">
            <v>South</v>
          </cell>
          <cell r="V197" t="str">
            <v>Same Day</v>
          </cell>
          <cell r="Z197">
            <v>0</v>
          </cell>
          <cell r="AB197" t="str">
            <v>Valid</v>
          </cell>
          <cell r="AC197">
            <v>9614.15</v>
          </cell>
          <cell r="AE197">
            <v>9614.15</v>
          </cell>
          <cell r="AH197">
            <v>7576.84</v>
          </cell>
          <cell r="AI197">
            <v>2037.31</v>
          </cell>
          <cell r="AO197" t="str">
            <v>Paid</v>
          </cell>
          <cell r="AP197" t="str">
            <v>Completed</v>
          </cell>
        </row>
        <row r="198">
          <cell r="A198" t="str">
            <v>ORD-2024-10197</v>
          </cell>
          <cell r="B198" t="str">
            <v>22-01-2024</v>
          </cell>
          <cell r="D198" t="str">
            <v>25 Jan 2024</v>
          </cell>
          <cell r="F198" t="str">
            <v>Valid</v>
          </cell>
          <cell r="H198" t="str">
            <v>Valid</v>
          </cell>
          <cell r="N198" t="str">
            <v>North</v>
          </cell>
          <cell r="V198" t="str">
            <v>First Class</v>
          </cell>
          <cell r="Z198">
            <v>0.1</v>
          </cell>
          <cell r="AB198" t="str">
            <v>Valid</v>
          </cell>
          <cell r="AC198">
            <v>3272.48</v>
          </cell>
          <cell r="AE198">
            <v>3272.4810000000002</v>
          </cell>
          <cell r="AH198">
            <v>2517.44</v>
          </cell>
          <cell r="AI198">
            <v>755.04</v>
          </cell>
          <cell r="AO198" t="str">
            <v>Paid</v>
          </cell>
          <cell r="AP198" t="str">
            <v>Completed</v>
          </cell>
        </row>
        <row r="199">
          <cell r="A199" t="str">
            <v>ORD-2025-10198</v>
          </cell>
          <cell r="B199" t="str">
            <v>31 Mar 2025</v>
          </cell>
          <cell r="D199" t="str">
            <v>07-04-2025</v>
          </cell>
          <cell r="F199" t="str">
            <v>Valid</v>
          </cell>
          <cell r="H199" t="str">
            <v>Valid</v>
          </cell>
          <cell r="N199" t="str">
            <v>East</v>
          </cell>
          <cell r="V199" t="str">
            <v>Second Class</v>
          </cell>
          <cell r="Z199">
            <v>0.15</v>
          </cell>
          <cell r="AB199" t="str">
            <v>Valid</v>
          </cell>
          <cell r="AC199">
            <v>17409.87</v>
          </cell>
          <cell r="AE199">
            <v>17409.869999999995</v>
          </cell>
          <cell r="AH199">
            <v>14076.25</v>
          </cell>
          <cell r="AI199">
            <v>3333.62</v>
          </cell>
          <cell r="AO199" t="str">
            <v>Paid</v>
          </cell>
          <cell r="AP199" t="str">
            <v>Completed</v>
          </cell>
        </row>
        <row r="200">
          <cell r="A200" t="str">
            <v>ORD-2024-10199</v>
          </cell>
          <cell r="B200" t="str">
            <v>05-06-2024</v>
          </cell>
          <cell r="D200" t="str">
            <v>06/06/2024</v>
          </cell>
          <cell r="F200" t="str">
            <v>Valid</v>
          </cell>
          <cell r="H200" t="str">
            <v>Valid</v>
          </cell>
          <cell r="N200" t="str">
            <v>West</v>
          </cell>
          <cell r="V200" t="str">
            <v>Second Class</v>
          </cell>
          <cell r="Z200">
            <v>0.05</v>
          </cell>
          <cell r="AB200" t="str">
            <v>Valid</v>
          </cell>
          <cell r="AC200">
            <v>1125.3499999999999</v>
          </cell>
          <cell r="AE200">
            <v>1125.3509999999999</v>
          </cell>
          <cell r="AH200">
            <v>676.97</v>
          </cell>
          <cell r="AI200">
            <v>448.38</v>
          </cell>
          <cell r="AO200" t="str">
            <v>Failed</v>
          </cell>
          <cell r="AP200" t="str">
            <v>Cancelled</v>
          </cell>
        </row>
        <row r="201">
          <cell r="A201" t="str">
            <v>ORD-2024-10200</v>
          </cell>
          <cell r="B201" t="str">
            <v>03/12/2024</v>
          </cell>
          <cell r="D201" t="str">
            <v>12-03-2024</v>
          </cell>
          <cell r="F201" t="str">
            <v>Valid</v>
          </cell>
          <cell r="H201" t="str">
            <v>Valid</v>
          </cell>
          <cell r="N201" t="str">
            <v>East</v>
          </cell>
          <cell r="Z201">
            <v>0.25</v>
          </cell>
          <cell r="AB201" t="str">
            <v>Valid</v>
          </cell>
          <cell r="AC201">
            <v>9835.11</v>
          </cell>
          <cell r="AE201">
            <v>9835.11</v>
          </cell>
          <cell r="AH201">
            <v>5437.64</v>
          </cell>
          <cell r="AI201">
            <v>4397.47</v>
          </cell>
          <cell r="AO201" t="str">
            <v>Paid</v>
          </cell>
          <cell r="AP201" t="str">
            <v>Completed</v>
          </cell>
        </row>
        <row r="202">
          <cell r="A202" t="str">
            <v>ORD-2025-10201</v>
          </cell>
          <cell r="B202" t="str">
            <v>27-06-2025</v>
          </cell>
          <cell r="D202" t="str">
            <v>05 Jul 2025</v>
          </cell>
          <cell r="F202" t="str">
            <v>Valid</v>
          </cell>
          <cell r="H202" t="str">
            <v>Valid</v>
          </cell>
          <cell r="N202" t="str">
            <v>North</v>
          </cell>
          <cell r="V202" t="str">
            <v>First Class</v>
          </cell>
          <cell r="Z202">
            <v>0.1</v>
          </cell>
          <cell r="AB202" t="str">
            <v>Valid</v>
          </cell>
          <cell r="AC202">
            <v>12907.98</v>
          </cell>
          <cell r="AE202">
            <v>12907.980000000001</v>
          </cell>
          <cell r="AH202">
            <v>9197.08</v>
          </cell>
          <cell r="AI202">
            <v>3710.9</v>
          </cell>
          <cell r="AO202" t="str">
            <v>Pending</v>
          </cell>
          <cell r="AP202" t="str">
            <v>Cancelled</v>
          </cell>
        </row>
        <row r="203">
          <cell r="A203" t="str">
            <v>ORD-2025-10202</v>
          </cell>
          <cell r="B203" t="str">
            <v>26-07-2025</v>
          </cell>
          <cell r="D203" t="str">
            <v>08/03/2025</v>
          </cell>
          <cell r="F203" t="str">
            <v>Valid</v>
          </cell>
          <cell r="H203" t="str">
            <v>Valid</v>
          </cell>
          <cell r="N203" t="str">
            <v>West</v>
          </cell>
          <cell r="V203" t="str">
            <v>Second Class</v>
          </cell>
          <cell r="Z203">
            <v>-0.16</v>
          </cell>
          <cell r="AB203" t="str">
            <v>Invalid - Negative Discount</v>
          </cell>
          <cell r="AC203">
            <v>4756.71</v>
          </cell>
          <cell r="AE203">
            <v>5808.1895999999997</v>
          </cell>
          <cell r="AH203">
            <v>2954.86</v>
          </cell>
          <cell r="AI203">
            <v>1801.85</v>
          </cell>
          <cell r="AO203" t="str">
            <v>Refunded</v>
          </cell>
          <cell r="AP203" t="str">
            <v>Cancelled</v>
          </cell>
        </row>
        <row r="204">
          <cell r="A204" t="str">
            <v>ORD-2025-10203</v>
          </cell>
          <cell r="B204" t="str">
            <v>2025-03-28</v>
          </cell>
          <cell r="D204" t="str">
            <v>28 Mar 2025</v>
          </cell>
          <cell r="F204" t="str">
            <v>Valid</v>
          </cell>
          <cell r="H204" t="str">
            <v>Valid</v>
          </cell>
          <cell r="N204" t="str">
            <v>West</v>
          </cell>
          <cell r="V204" t="str">
            <v>Standard Class</v>
          </cell>
          <cell r="Z204">
            <v>0.05</v>
          </cell>
          <cell r="AB204" t="str">
            <v>Valid</v>
          </cell>
          <cell r="AC204">
            <v>13231.14</v>
          </cell>
          <cell r="AE204">
            <v>13231.144</v>
          </cell>
          <cell r="AH204">
            <v>11290.06</v>
          </cell>
          <cell r="AI204">
            <v>1941.08</v>
          </cell>
          <cell r="AO204" t="str">
            <v>Paid</v>
          </cell>
          <cell r="AP204" t="str">
            <v>Completed</v>
          </cell>
        </row>
        <row r="205">
          <cell r="A205" t="str">
            <v>ORD-2024-10204</v>
          </cell>
          <cell r="B205" t="str">
            <v>28 Mar 2024</v>
          </cell>
          <cell r="D205" t="str">
            <v>2024-03-30</v>
          </cell>
          <cell r="F205" t="str">
            <v>Valid</v>
          </cell>
          <cell r="H205" t="str">
            <v>Valid</v>
          </cell>
          <cell r="N205" t="str">
            <v>West</v>
          </cell>
          <cell r="V205" t="str">
            <v>Second Class</v>
          </cell>
          <cell r="Z205">
            <v>0.15</v>
          </cell>
          <cell r="AB205" t="str">
            <v>Valid</v>
          </cell>
          <cell r="AC205">
            <v>484.79</v>
          </cell>
          <cell r="AE205">
            <v>484.78899999999999</v>
          </cell>
          <cell r="AH205">
            <v>333.54</v>
          </cell>
          <cell r="AI205">
            <v>151.25</v>
          </cell>
          <cell r="AO205" t="str">
            <v>Paid</v>
          </cell>
          <cell r="AP205" t="str">
            <v>Completed</v>
          </cell>
        </row>
        <row r="206">
          <cell r="A206" t="str">
            <v>ORD-2025-10205</v>
          </cell>
          <cell r="B206" t="str">
            <v>20-07-2025</v>
          </cell>
          <cell r="D206" t="str">
            <v>2025-07-23</v>
          </cell>
          <cell r="F206" t="str">
            <v>Valid</v>
          </cell>
          <cell r="H206" t="str">
            <v>Valid</v>
          </cell>
          <cell r="N206" t="str">
            <v>East</v>
          </cell>
          <cell r="V206" t="str">
            <v>Second Class</v>
          </cell>
          <cell r="Z206">
            <v>0.15</v>
          </cell>
          <cell r="AB206" t="str">
            <v>Valid</v>
          </cell>
          <cell r="AC206">
            <v>1624.15</v>
          </cell>
          <cell r="AE206">
            <v>1624.146</v>
          </cell>
          <cell r="AH206">
            <v>1217.99</v>
          </cell>
          <cell r="AI206">
            <v>406.16</v>
          </cell>
          <cell r="AO206" t="str">
            <v>Paid</v>
          </cell>
          <cell r="AP206" t="str">
            <v>Completed</v>
          </cell>
        </row>
        <row r="207">
          <cell r="A207" t="str">
            <v>ORD-2025-10206</v>
          </cell>
          <cell r="B207" t="str">
            <v>21-04-2025</v>
          </cell>
          <cell r="D207" t="str">
            <v>04/26/2025</v>
          </cell>
          <cell r="F207" t="str">
            <v>Valid</v>
          </cell>
          <cell r="H207" t="str">
            <v>Valid</v>
          </cell>
          <cell r="N207" t="str">
            <v>West</v>
          </cell>
          <cell r="V207" t="str">
            <v>Same Day</v>
          </cell>
          <cell r="Z207">
            <v>0.2</v>
          </cell>
          <cell r="AB207" t="str">
            <v>Valid</v>
          </cell>
          <cell r="AC207">
            <v>4193.2299999999996</v>
          </cell>
          <cell r="AE207">
            <v>4193.232</v>
          </cell>
          <cell r="AH207">
            <v>3329.99</v>
          </cell>
          <cell r="AI207">
            <v>863.24</v>
          </cell>
          <cell r="AO207" t="str">
            <v>Paid</v>
          </cell>
          <cell r="AP207" t="str">
            <v>Completed</v>
          </cell>
        </row>
        <row r="208">
          <cell r="A208" t="str">
            <v>ORD-2025-10207</v>
          </cell>
          <cell r="B208" t="str">
            <v>05/18/2025</v>
          </cell>
          <cell r="D208" t="str">
            <v>20 May 2025</v>
          </cell>
          <cell r="F208" t="str">
            <v>Valid</v>
          </cell>
          <cell r="H208" t="str">
            <v>Valid</v>
          </cell>
          <cell r="N208" t="str">
            <v>North</v>
          </cell>
          <cell r="V208" t="str">
            <v>First Class</v>
          </cell>
          <cell r="Z208">
            <v>0</v>
          </cell>
          <cell r="AB208" t="str">
            <v>Valid</v>
          </cell>
          <cell r="AC208">
            <v>430.26</v>
          </cell>
          <cell r="AE208">
            <v>430.26</v>
          </cell>
          <cell r="AH208">
            <v>286.38</v>
          </cell>
          <cell r="AI208">
            <v>143.88</v>
          </cell>
          <cell r="AO208" t="str">
            <v>Paid</v>
          </cell>
          <cell r="AP208" t="str">
            <v>Completed</v>
          </cell>
        </row>
        <row r="209">
          <cell r="A209" t="str">
            <v>ORD-2024-10208</v>
          </cell>
          <cell r="B209" t="str">
            <v>10 Jul 2024</v>
          </cell>
          <cell r="D209" t="str">
            <v>2024-07-16</v>
          </cell>
          <cell r="F209" t="str">
            <v>Valid</v>
          </cell>
          <cell r="H209" t="str">
            <v>Valid</v>
          </cell>
          <cell r="N209" t="str">
            <v>West</v>
          </cell>
          <cell r="V209" t="str">
            <v>Second Class</v>
          </cell>
          <cell r="Z209">
            <v>0.2</v>
          </cell>
          <cell r="AB209" t="str">
            <v>Valid</v>
          </cell>
          <cell r="AC209">
            <v>1752.72</v>
          </cell>
          <cell r="AE209">
            <v>1752.7200000000003</v>
          </cell>
          <cell r="AH209">
            <v>996.41</v>
          </cell>
          <cell r="AI209">
            <v>756.31</v>
          </cell>
          <cell r="AO209" t="str">
            <v>Paid</v>
          </cell>
          <cell r="AP209" t="str">
            <v>Completed</v>
          </cell>
        </row>
        <row r="210">
          <cell r="A210" t="str">
            <v>ORD-2025-10209</v>
          </cell>
          <cell r="B210" t="str">
            <v>06/29/2025</v>
          </cell>
          <cell r="D210" t="str">
            <v>05-07-2025</v>
          </cell>
          <cell r="F210" t="str">
            <v>Valid</v>
          </cell>
          <cell r="H210" t="str">
            <v>Valid</v>
          </cell>
          <cell r="N210" t="str">
            <v>North</v>
          </cell>
          <cell r="V210" t="str">
            <v>Same Day</v>
          </cell>
          <cell r="Z210">
            <v>0</v>
          </cell>
          <cell r="AB210" t="str">
            <v>Valid</v>
          </cell>
          <cell r="AC210">
            <v>999.83</v>
          </cell>
          <cell r="AE210">
            <v>999.83</v>
          </cell>
          <cell r="AH210">
            <v>634.91</v>
          </cell>
          <cell r="AI210">
            <v>364.92</v>
          </cell>
          <cell r="AO210" t="str">
            <v>Paid</v>
          </cell>
          <cell r="AP210" t="str">
            <v>Completed</v>
          </cell>
        </row>
        <row r="211">
          <cell r="A211" t="str">
            <v>ORD-2025-10210</v>
          </cell>
          <cell r="B211" t="str">
            <v>08/13/2025</v>
          </cell>
          <cell r="D211" t="str">
            <v>08/14/2025</v>
          </cell>
          <cell r="F211" t="str">
            <v>Valid</v>
          </cell>
          <cell r="H211" t="str">
            <v>Valid</v>
          </cell>
          <cell r="N211" t="str">
            <v>South</v>
          </cell>
          <cell r="V211" t="str">
            <v>First Class</v>
          </cell>
          <cell r="Z211">
            <v>0.1</v>
          </cell>
          <cell r="AB211" t="str">
            <v>Valid</v>
          </cell>
          <cell r="AC211">
            <v>7006.34</v>
          </cell>
          <cell r="AE211">
            <v>7006.3379999999997</v>
          </cell>
          <cell r="AH211">
            <v>4640.88</v>
          </cell>
          <cell r="AI211">
            <v>2365.46</v>
          </cell>
          <cell r="AO211" t="str">
            <v>Paid</v>
          </cell>
          <cell r="AP211" t="str">
            <v>Completed</v>
          </cell>
        </row>
        <row r="212">
          <cell r="A212" t="str">
            <v>ORD-2024-10211</v>
          </cell>
          <cell r="B212" t="str">
            <v>03/15/2024</v>
          </cell>
          <cell r="D212" t="str">
            <v>18-03-2024</v>
          </cell>
          <cell r="F212" t="str">
            <v>Valid</v>
          </cell>
          <cell r="H212" t="str">
            <v>Valid</v>
          </cell>
          <cell r="N212" t="str">
            <v>South</v>
          </cell>
          <cell r="V212" t="str">
            <v>Second Class</v>
          </cell>
          <cell r="Z212">
            <v>0</v>
          </cell>
          <cell r="AB212" t="str">
            <v>Valid</v>
          </cell>
          <cell r="AC212">
            <v>4131.3599999999997</v>
          </cell>
          <cell r="AE212">
            <v>4131.3599999999997</v>
          </cell>
          <cell r="AH212">
            <v>2937.07</v>
          </cell>
          <cell r="AI212">
            <v>1194.29</v>
          </cell>
          <cell r="AO212" t="str">
            <v>Failed</v>
          </cell>
          <cell r="AP212" t="str">
            <v>Returned</v>
          </cell>
        </row>
        <row r="213">
          <cell r="A213" t="str">
            <v>ORD-2024-10212</v>
          </cell>
          <cell r="B213" t="str">
            <v>05/16/2024</v>
          </cell>
          <cell r="D213" t="str">
            <v>05/17/2024</v>
          </cell>
          <cell r="F213" t="str">
            <v>Valid</v>
          </cell>
          <cell r="H213" t="str">
            <v>Valid</v>
          </cell>
          <cell r="N213" t="str">
            <v>EAST</v>
          </cell>
          <cell r="V213" t="str">
            <v>Second Class</v>
          </cell>
          <cell r="Z213">
            <v>0.2</v>
          </cell>
          <cell r="AB213" t="str">
            <v>Valid</v>
          </cell>
          <cell r="AC213">
            <v>27020.48</v>
          </cell>
          <cell r="AE213">
            <v>27020.48</v>
          </cell>
          <cell r="AH213">
            <v>22885.24</v>
          </cell>
          <cell r="AI213">
            <v>4135.24</v>
          </cell>
          <cell r="AO213" t="str">
            <v>Paid</v>
          </cell>
          <cell r="AP213" t="str">
            <v>Completed</v>
          </cell>
        </row>
        <row r="214">
          <cell r="A214" t="str">
            <v>ORD-2024-10213</v>
          </cell>
          <cell r="B214" t="str">
            <v>09/21/2024</v>
          </cell>
          <cell r="D214" t="str">
            <v>2024-09-21</v>
          </cell>
          <cell r="F214" t="str">
            <v>Valid</v>
          </cell>
          <cell r="H214" t="str">
            <v>Valid</v>
          </cell>
          <cell r="N214" t="str">
            <v>East</v>
          </cell>
          <cell r="V214" t="str">
            <v>Same Day</v>
          </cell>
          <cell r="Z214">
            <v>0.15</v>
          </cell>
          <cell r="AB214" t="str">
            <v>Valid</v>
          </cell>
          <cell r="AC214">
            <v>364.65</v>
          </cell>
          <cell r="AE214">
            <v>364.65</v>
          </cell>
          <cell r="AH214">
            <v>280.74</v>
          </cell>
          <cell r="AI214">
            <v>83.91</v>
          </cell>
          <cell r="AO214" t="str">
            <v>Paid</v>
          </cell>
          <cell r="AP214" t="str">
            <v>Completed</v>
          </cell>
        </row>
        <row r="215">
          <cell r="A215" t="str">
            <v>ORD-2024-10214</v>
          </cell>
          <cell r="B215" t="str">
            <v>15 May 2024</v>
          </cell>
          <cell r="D215" t="str">
            <v>21-05-2024</v>
          </cell>
          <cell r="F215" t="str">
            <v>Valid</v>
          </cell>
          <cell r="H215" t="str">
            <v>Valid</v>
          </cell>
          <cell r="N215" t="str">
            <v>East</v>
          </cell>
          <cell r="V215" t="str">
            <v>Second Class</v>
          </cell>
          <cell r="Z215">
            <v>0.2</v>
          </cell>
          <cell r="AB215" t="str">
            <v>Valid</v>
          </cell>
          <cell r="AC215">
            <v>13864.74</v>
          </cell>
          <cell r="AE215">
            <v>13864.735999999999</v>
          </cell>
          <cell r="AH215">
            <v>11294.06</v>
          </cell>
          <cell r="AI215">
            <v>2570.6799999999998</v>
          </cell>
          <cell r="AO215" t="str">
            <v>Paid</v>
          </cell>
          <cell r="AP215" t="str">
            <v>Completed</v>
          </cell>
        </row>
        <row r="216">
          <cell r="A216" t="str">
            <v>ORD-2024-10215</v>
          </cell>
          <cell r="B216" t="str">
            <v>17 Mar 2024</v>
          </cell>
          <cell r="D216" t="str">
            <v>23-03-2024</v>
          </cell>
          <cell r="F216" t="str">
            <v>Valid</v>
          </cell>
          <cell r="H216" t="str">
            <v>Valid</v>
          </cell>
          <cell r="N216" t="str">
            <v>North</v>
          </cell>
          <cell r="V216" t="str">
            <v>First Class</v>
          </cell>
          <cell r="Z216">
            <v>0.05</v>
          </cell>
          <cell r="AB216" t="str">
            <v>Valid</v>
          </cell>
          <cell r="AC216">
            <v>707.31</v>
          </cell>
          <cell r="AE216">
            <v>707.31299999999999</v>
          </cell>
          <cell r="AH216">
            <v>569</v>
          </cell>
          <cell r="AI216">
            <v>138.31</v>
          </cell>
          <cell r="AO216" t="str">
            <v>Paid</v>
          </cell>
          <cell r="AP216" t="str">
            <v>Completed</v>
          </cell>
        </row>
        <row r="217">
          <cell r="A217" t="str">
            <v>ORD-2024-10216</v>
          </cell>
          <cell r="B217" t="str">
            <v>01-03-2024</v>
          </cell>
          <cell r="D217" t="str">
            <v>2024-03-04</v>
          </cell>
          <cell r="F217" t="str">
            <v>Valid</v>
          </cell>
          <cell r="H217" t="str">
            <v>Valid</v>
          </cell>
          <cell r="N217" t="str">
            <v>West</v>
          </cell>
          <cell r="V217" t="str">
            <v>First Class</v>
          </cell>
          <cell r="Z217">
            <v>0.25</v>
          </cell>
          <cell r="AB217" t="str">
            <v>Valid</v>
          </cell>
          <cell r="AC217">
            <v>19214.400000000001</v>
          </cell>
          <cell r="AE217">
            <v>19214.400000000001</v>
          </cell>
          <cell r="AH217">
            <v>10916.01</v>
          </cell>
          <cell r="AI217">
            <v>8298.39</v>
          </cell>
          <cell r="AO217" t="str">
            <v>Paid</v>
          </cell>
          <cell r="AP217" t="str">
            <v>Completed</v>
          </cell>
        </row>
        <row r="218">
          <cell r="A218" t="str">
            <v>ORD-2025-10217</v>
          </cell>
          <cell r="B218" t="str">
            <v>04/10/2025</v>
          </cell>
          <cell r="D218" t="str">
            <v>15 Apr 2025</v>
          </cell>
          <cell r="F218" t="str">
            <v>Valid</v>
          </cell>
          <cell r="H218" t="str">
            <v>Valid</v>
          </cell>
          <cell r="N218" t="str">
            <v>West</v>
          </cell>
          <cell r="V218" t="str">
            <v>Standard Class</v>
          </cell>
          <cell r="Z218">
            <v>0.25</v>
          </cell>
          <cell r="AB218" t="str">
            <v>Valid</v>
          </cell>
          <cell r="AC218">
            <v>11039.22</v>
          </cell>
          <cell r="AE218">
            <v>11039.22</v>
          </cell>
          <cell r="AH218">
            <v>7642.91</v>
          </cell>
          <cell r="AI218">
            <v>3396.31</v>
          </cell>
          <cell r="AO218" t="str">
            <v>Failed</v>
          </cell>
          <cell r="AP218" t="str">
            <v>Returned</v>
          </cell>
        </row>
        <row r="219">
          <cell r="A219" t="str">
            <v>ORD-2025-10218</v>
          </cell>
          <cell r="B219" t="str">
            <v>01-04-2025</v>
          </cell>
          <cell r="D219" t="str">
            <v>04/08/2025</v>
          </cell>
          <cell r="F219" t="str">
            <v>Valid</v>
          </cell>
          <cell r="H219" t="str">
            <v>Valid</v>
          </cell>
          <cell r="N219" t="str">
            <v>East</v>
          </cell>
          <cell r="V219" t="str">
            <v>Second Class</v>
          </cell>
          <cell r="Z219">
            <v>0.1</v>
          </cell>
          <cell r="AB219" t="str">
            <v>Valid</v>
          </cell>
          <cell r="AC219">
            <v>4595.76</v>
          </cell>
          <cell r="AE219">
            <v>4595.76</v>
          </cell>
          <cell r="AH219">
            <v>3396.8</v>
          </cell>
          <cell r="AI219">
            <v>1198.96</v>
          </cell>
          <cell r="AO219" t="str">
            <v>Refunded</v>
          </cell>
          <cell r="AP219" t="str">
            <v>Cancelled</v>
          </cell>
        </row>
        <row r="220">
          <cell r="A220" t="str">
            <v>ORD-2025-10219</v>
          </cell>
          <cell r="B220" t="str">
            <v>26 Feb 2025</v>
          </cell>
          <cell r="D220" t="str">
            <v>27-02-2025</v>
          </cell>
          <cell r="F220" t="str">
            <v>Valid</v>
          </cell>
          <cell r="H220" t="str">
            <v>Valid</v>
          </cell>
          <cell r="N220" t="str">
            <v>West</v>
          </cell>
          <cell r="V220" t="str">
            <v>Standard Class</v>
          </cell>
          <cell r="Z220">
            <v>0</v>
          </cell>
          <cell r="AB220" t="str">
            <v>Valid</v>
          </cell>
          <cell r="AC220">
            <v>1291.4000000000001</v>
          </cell>
          <cell r="AE220">
            <v>1291.3999999999999</v>
          </cell>
          <cell r="AH220">
            <v>756.93</v>
          </cell>
          <cell r="AI220">
            <v>534.47</v>
          </cell>
          <cell r="AO220" t="str">
            <v>Paid</v>
          </cell>
          <cell r="AP220" t="str">
            <v>Completed</v>
          </cell>
        </row>
        <row r="221">
          <cell r="A221" t="str">
            <v>ORD-2024-10220</v>
          </cell>
          <cell r="B221" t="str">
            <v>2024-06-18</v>
          </cell>
          <cell r="D221" t="str">
            <v>06/19/2024</v>
          </cell>
          <cell r="F221" t="str">
            <v>Valid</v>
          </cell>
          <cell r="H221" t="str">
            <v>Valid</v>
          </cell>
          <cell r="N221" t="str">
            <v>East</v>
          </cell>
          <cell r="V221" t="str">
            <v>First Class</v>
          </cell>
          <cell r="Z221" t="str">
            <v>85%</v>
          </cell>
          <cell r="AB221" t="str">
            <v>Invalid - Discount Above Limit</v>
          </cell>
          <cell r="AC221">
            <v>242.98</v>
          </cell>
          <cell r="AE221">
            <v>36.447000000000003</v>
          </cell>
          <cell r="AH221">
            <v>161.41999999999999</v>
          </cell>
          <cell r="AI221">
            <v>81.56</v>
          </cell>
          <cell r="AO221" t="str">
            <v>Paid</v>
          </cell>
          <cell r="AP221" t="str">
            <v>Completed</v>
          </cell>
        </row>
        <row r="222">
          <cell r="A222" t="str">
            <v>ORD-2024-10221</v>
          </cell>
          <cell r="B222" t="str">
            <v>09/03/2024</v>
          </cell>
          <cell r="D222" t="str">
            <v>09/03/2024</v>
          </cell>
          <cell r="F222" t="str">
            <v>Valid</v>
          </cell>
          <cell r="H222" t="str">
            <v>Valid</v>
          </cell>
          <cell r="N222" t="str">
            <v>South</v>
          </cell>
          <cell r="V222" t="str">
            <v>First Class</v>
          </cell>
          <cell r="Z222">
            <v>0.15</v>
          </cell>
          <cell r="AB222" t="str">
            <v>Valid</v>
          </cell>
          <cell r="AC222">
            <v>9554.58</v>
          </cell>
          <cell r="AE222">
            <v>9554.5779999999995</v>
          </cell>
          <cell r="AH222">
            <v>6068.47</v>
          </cell>
          <cell r="AI222">
            <v>3486.11</v>
          </cell>
          <cell r="AO222" t="str">
            <v>Refunded</v>
          </cell>
          <cell r="AP222" t="str">
            <v>Cancelled</v>
          </cell>
        </row>
        <row r="223">
          <cell r="A223" t="str">
            <v>ORD-2025-10222</v>
          </cell>
          <cell r="B223" t="str">
            <v>12-01-2025</v>
          </cell>
          <cell r="D223" t="str">
            <v>2025-01-15</v>
          </cell>
          <cell r="F223" t="str">
            <v>Valid</v>
          </cell>
          <cell r="H223" t="str">
            <v>Valid</v>
          </cell>
          <cell r="N223" t="str">
            <v>South</v>
          </cell>
          <cell r="V223" t="str">
            <v>Same Day</v>
          </cell>
          <cell r="Z223">
            <v>0.2</v>
          </cell>
          <cell r="AB223" t="str">
            <v>Valid</v>
          </cell>
          <cell r="AC223">
            <v>4900.8999999999996</v>
          </cell>
          <cell r="AE223">
            <v>4900.8959999999997</v>
          </cell>
          <cell r="AH223">
            <v>3552.69</v>
          </cell>
          <cell r="AI223">
            <v>1348.21</v>
          </cell>
          <cell r="AO223" t="str">
            <v>Paid</v>
          </cell>
          <cell r="AP223" t="str">
            <v>Completed</v>
          </cell>
        </row>
        <row r="224">
          <cell r="A224" t="str">
            <v>ORD-2025-10223</v>
          </cell>
          <cell r="B224" t="str">
            <v>04/29/2025</v>
          </cell>
          <cell r="D224" t="str">
            <v>02 May 2025</v>
          </cell>
          <cell r="F224" t="str">
            <v>Valid</v>
          </cell>
          <cell r="H224" t="str">
            <v>Valid</v>
          </cell>
          <cell r="N224" t="str">
            <v>West</v>
          </cell>
          <cell r="V224" t="str">
            <v>First Class</v>
          </cell>
          <cell r="Z224">
            <v>0</v>
          </cell>
          <cell r="AB224" t="str">
            <v>Valid</v>
          </cell>
          <cell r="AC224">
            <v>25848.54</v>
          </cell>
          <cell r="AE224">
            <v>25848.54</v>
          </cell>
          <cell r="AH224">
            <v>17729.09</v>
          </cell>
          <cell r="AI224">
            <v>8119.45</v>
          </cell>
          <cell r="AO224" t="str">
            <v>Paid</v>
          </cell>
          <cell r="AP224" t="str">
            <v>Completed</v>
          </cell>
        </row>
        <row r="225">
          <cell r="A225" t="str">
            <v>ORD-2025-10224</v>
          </cell>
          <cell r="B225" t="str">
            <v>19-02-2025</v>
          </cell>
          <cell r="D225" t="str">
            <v>02/26/2025</v>
          </cell>
          <cell r="F225" t="str">
            <v>Valid</v>
          </cell>
          <cell r="H225" t="str">
            <v>Valid</v>
          </cell>
          <cell r="N225" t="str">
            <v>West</v>
          </cell>
          <cell r="V225" t="str">
            <v>First Class</v>
          </cell>
          <cell r="Z225">
            <v>0.2</v>
          </cell>
          <cell r="AB225" t="str">
            <v>Valid</v>
          </cell>
          <cell r="AC225">
            <v>1176.72</v>
          </cell>
          <cell r="AE225">
            <v>1176.72</v>
          </cell>
          <cell r="AH225">
            <v>654.33000000000004</v>
          </cell>
          <cell r="AI225">
            <v>522.39</v>
          </cell>
          <cell r="AO225" t="str">
            <v>Pending</v>
          </cell>
          <cell r="AP225" t="str">
            <v>Returned</v>
          </cell>
        </row>
        <row r="226">
          <cell r="A226" t="str">
            <v>ORD-2025-10225</v>
          </cell>
          <cell r="B226" t="str">
            <v>10/02/2025</v>
          </cell>
          <cell r="D226" t="str">
            <v>08 Oct 2025</v>
          </cell>
          <cell r="F226" t="str">
            <v>Valid</v>
          </cell>
          <cell r="H226" t="str">
            <v>Valid</v>
          </cell>
          <cell r="N226" t="str">
            <v>North</v>
          </cell>
          <cell r="V226" t="str">
            <v>Standard Class</v>
          </cell>
          <cell r="Z226">
            <v>0.25</v>
          </cell>
          <cell r="AB226" t="str">
            <v>Valid</v>
          </cell>
          <cell r="AC226">
            <v>11833.92</v>
          </cell>
          <cell r="AE226">
            <v>11833.92</v>
          </cell>
          <cell r="AH226">
            <v>6682.92</v>
          </cell>
          <cell r="AI226">
            <v>5151</v>
          </cell>
          <cell r="AO226" t="str">
            <v>Paid</v>
          </cell>
          <cell r="AP226" t="str">
            <v>Cancelled</v>
          </cell>
        </row>
        <row r="227">
          <cell r="A227" t="str">
            <v>ORD-2024-10226</v>
          </cell>
          <cell r="B227" t="str">
            <v>02 Sep 2024</v>
          </cell>
          <cell r="D227" t="str">
            <v>2024-09-10</v>
          </cell>
          <cell r="F227" t="str">
            <v>Valid</v>
          </cell>
          <cell r="H227" t="str">
            <v>Valid</v>
          </cell>
          <cell r="N227" t="str">
            <v>West</v>
          </cell>
          <cell r="V227" t="str">
            <v>Standard Class</v>
          </cell>
          <cell r="Z227">
            <v>0.15</v>
          </cell>
          <cell r="AB227" t="str">
            <v>Valid</v>
          </cell>
          <cell r="AC227">
            <v>5265.6</v>
          </cell>
          <cell r="AE227">
            <v>5265.5969999999998</v>
          </cell>
          <cell r="AH227">
            <v>4293.1099999999997</v>
          </cell>
          <cell r="AI227">
            <v>787.57</v>
          </cell>
          <cell r="AO227" t="str">
            <v>Paid</v>
          </cell>
          <cell r="AP227" t="str">
            <v>Completed</v>
          </cell>
        </row>
        <row r="228">
          <cell r="A228" t="str">
            <v>ORD-2025-10227</v>
          </cell>
          <cell r="B228" t="str">
            <v>10-04-2025</v>
          </cell>
          <cell r="D228" t="str">
            <v>15 Apr 2025</v>
          </cell>
          <cell r="F228" t="str">
            <v>Valid</v>
          </cell>
          <cell r="H228" t="str">
            <v>Valid</v>
          </cell>
          <cell r="V228" t="str">
            <v>Same Day</v>
          </cell>
          <cell r="Z228">
            <v>0.1</v>
          </cell>
          <cell r="AB228" t="str">
            <v>Valid</v>
          </cell>
          <cell r="AC228">
            <v>1987.44</v>
          </cell>
          <cell r="AE228">
            <v>1987.443</v>
          </cell>
          <cell r="AH228">
            <v>1110.23</v>
          </cell>
          <cell r="AI228">
            <v>877.21</v>
          </cell>
          <cell r="AO228" t="str">
            <v>Paid</v>
          </cell>
          <cell r="AP228" t="str">
            <v>Completed</v>
          </cell>
        </row>
        <row r="229">
          <cell r="A229" t="str">
            <v>ORD-2024-10228</v>
          </cell>
          <cell r="B229" t="str">
            <v>2024-07-05</v>
          </cell>
          <cell r="D229" t="str">
            <v>12 Jul 2024</v>
          </cell>
          <cell r="F229" t="str">
            <v>Valid</v>
          </cell>
          <cell r="H229" t="str">
            <v>Valid</v>
          </cell>
          <cell r="N229" t="str">
            <v>West</v>
          </cell>
          <cell r="V229" t="str">
            <v>First Class</v>
          </cell>
          <cell r="Z229">
            <v>0.15</v>
          </cell>
          <cell r="AB229" t="str">
            <v>Valid</v>
          </cell>
          <cell r="AC229">
            <v>1473.26</v>
          </cell>
          <cell r="AE229">
            <v>1473.2625</v>
          </cell>
          <cell r="AH229">
            <v>899.86</v>
          </cell>
          <cell r="AI229">
            <v>573.4</v>
          </cell>
          <cell r="AO229" t="str">
            <v>Paid</v>
          </cell>
          <cell r="AP229" t="str">
            <v>Completed</v>
          </cell>
        </row>
        <row r="230">
          <cell r="A230" t="str">
            <v>ORD-2024-10229</v>
          </cell>
          <cell r="B230" t="str">
            <v>24-04-2024</v>
          </cell>
          <cell r="D230" t="str">
            <v>28 Apr 2024</v>
          </cell>
          <cell r="F230" t="str">
            <v>Valid</v>
          </cell>
          <cell r="H230" t="str">
            <v>Valid</v>
          </cell>
          <cell r="N230" t="str">
            <v>South</v>
          </cell>
          <cell r="V230" t="str">
            <v>Second Class</v>
          </cell>
          <cell r="Z230">
            <v>0.15</v>
          </cell>
          <cell r="AB230" t="str">
            <v>Valid</v>
          </cell>
          <cell r="AC230">
            <v>2715.21</v>
          </cell>
          <cell r="AE230">
            <v>2715.2145</v>
          </cell>
          <cell r="AH230">
            <v>1551.55</v>
          </cell>
          <cell r="AI230">
            <v>1163.6600000000001</v>
          </cell>
          <cell r="AO230" t="str">
            <v>Paid</v>
          </cell>
          <cell r="AP230" t="str">
            <v>Completed</v>
          </cell>
        </row>
        <row r="231">
          <cell r="A231" t="str">
            <v>ORD-2025-10230</v>
          </cell>
          <cell r="B231" t="str">
            <v>2025-06-28</v>
          </cell>
          <cell r="D231" t="str">
            <v>07/04/2025</v>
          </cell>
          <cell r="F231" t="str">
            <v>Valid</v>
          </cell>
          <cell r="H231" t="str">
            <v>Valid</v>
          </cell>
          <cell r="N231" t="str">
            <v>South</v>
          </cell>
          <cell r="V231" t="str">
            <v>First Class</v>
          </cell>
          <cell r="Z231">
            <v>0</v>
          </cell>
          <cell r="AB231" t="str">
            <v>Valid</v>
          </cell>
          <cell r="AC231">
            <v>8658.69</v>
          </cell>
          <cell r="AE231">
            <v>8658.69</v>
          </cell>
          <cell r="AH231">
            <v>5535.94</v>
          </cell>
          <cell r="AI231">
            <v>3122.75</v>
          </cell>
          <cell r="AO231" t="str">
            <v>Refunded</v>
          </cell>
          <cell r="AP231" t="str">
            <v>Returned</v>
          </cell>
        </row>
        <row r="232">
          <cell r="A232" t="str">
            <v>ORD-2024-10231</v>
          </cell>
          <cell r="B232" t="str">
            <v>28-05-2024</v>
          </cell>
          <cell r="D232" t="str">
            <v>03-06-2024</v>
          </cell>
          <cell r="F232" t="str">
            <v>Valid</v>
          </cell>
          <cell r="H232" t="str">
            <v>Valid</v>
          </cell>
          <cell r="N232" t="str">
            <v>North</v>
          </cell>
          <cell r="V232" t="str">
            <v>Standard Class</v>
          </cell>
          <cell r="Z232">
            <v>0.1</v>
          </cell>
          <cell r="AB232" t="str">
            <v>Valid</v>
          </cell>
          <cell r="AC232">
            <v>11090.38</v>
          </cell>
          <cell r="AE232">
            <v>11090.376</v>
          </cell>
          <cell r="AH232">
            <v>8840.9500000000007</v>
          </cell>
          <cell r="AI232">
            <v>2249.4299999999998</v>
          </cell>
          <cell r="AO232" t="str">
            <v>Paid</v>
          </cell>
          <cell r="AP232" t="str">
            <v>Completed</v>
          </cell>
        </row>
        <row r="233">
          <cell r="A233" t="str">
            <v>ORD-2024-10232</v>
          </cell>
          <cell r="B233" t="str">
            <v>2024-05-02</v>
          </cell>
          <cell r="D233" t="str">
            <v>05/02/2024</v>
          </cell>
          <cell r="F233" t="str">
            <v>Valid</v>
          </cell>
          <cell r="H233" t="str">
            <v>Valid</v>
          </cell>
          <cell r="N233" t="str">
            <v>North</v>
          </cell>
          <cell r="V233" t="str">
            <v>First Class</v>
          </cell>
          <cell r="Z233">
            <v>0.25</v>
          </cell>
          <cell r="AB233" t="str">
            <v>Valid</v>
          </cell>
          <cell r="AC233">
            <v>11462.74</v>
          </cell>
          <cell r="AE233">
            <v>11462.744999999999</v>
          </cell>
          <cell r="AH233">
            <v>7163.54</v>
          </cell>
          <cell r="AI233">
            <v>4299.2</v>
          </cell>
          <cell r="AO233" t="str">
            <v>Refunded</v>
          </cell>
          <cell r="AP233" t="str">
            <v>Cancelled</v>
          </cell>
        </row>
        <row r="234">
          <cell r="A234" t="str">
            <v>ORD-2025-10233</v>
          </cell>
          <cell r="B234" t="str">
            <v>2025-06-04</v>
          </cell>
          <cell r="D234" t="str">
            <v>2025-06-10</v>
          </cell>
          <cell r="F234" t="str">
            <v>Valid</v>
          </cell>
          <cell r="H234" t="str">
            <v>Valid</v>
          </cell>
          <cell r="N234" t="str">
            <v>South</v>
          </cell>
          <cell r="V234" t="str">
            <v>Standard Class</v>
          </cell>
          <cell r="Z234">
            <v>0.25</v>
          </cell>
          <cell r="AB234" t="str">
            <v>Valid</v>
          </cell>
          <cell r="AC234">
            <v>670.11</v>
          </cell>
          <cell r="AE234">
            <v>670.11</v>
          </cell>
          <cell r="AH234">
            <v>559.57000000000005</v>
          </cell>
          <cell r="AI234">
            <v>110.54</v>
          </cell>
          <cell r="AO234" t="str">
            <v>Paid</v>
          </cell>
          <cell r="AP234" t="str">
            <v>Completed</v>
          </cell>
        </row>
        <row r="235">
          <cell r="A235" t="str">
            <v>ORD-2024-10234</v>
          </cell>
          <cell r="B235" t="str">
            <v>14-10-2024</v>
          </cell>
          <cell r="D235" t="str">
            <v>10/14/2024</v>
          </cell>
          <cell r="F235" t="str">
            <v>Valid</v>
          </cell>
          <cell r="H235" t="str">
            <v>Valid</v>
          </cell>
          <cell r="N235" t="str">
            <v>South</v>
          </cell>
          <cell r="Z235">
            <v>0</v>
          </cell>
          <cell r="AB235" t="str">
            <v>Valid</v>
          </cell>
          <cell r="AC235">
            <v>31236.720000000001</v>
          </cell>
          <cell r="AE235">
            <v>31236.720000000001</v>
          </cell>
          <cell r="AH235">
            <v>26377.7</v>
          </cell>
          <cell r="AI235">
            <v>4859.0200000000004</v>
          </cell>
          <cell r="AO235" t="str">
            <v>Paid</v>
          </cell>
          <cell r="AP235" t="str">
            <v>Completed</v>
          </cell>
        </row>
        <row r="236">
          <cell r="A236" t="str">
            <v>ORD-2024-10235</v>
          </cell>
          <cell r="B236" t="str">
            <v>09/02/2024</v>
          </cell>
          <cell r="D236" t="str">
            <v>03 Sep 2024</v>
          </cell>
          <cell r="F236" t="str">
            <v>Valid</v>
          </cell>
          <cell r="H236" t="str">
            <v>Valid</v>
          </cell>
          <cell r="N236" t="str">
            <v>North</v>
          </cell>
          <cell r="V236" t="str">
            <v>First Class</v>
          </cell>
          <cell r="Z236">
            <v>0.1</v>
          </cell>
          <cell r="AB236" t="str">
            <v>Valid</v>
          </cell>
          <cell r="AC236">
            <v>10964.24</v>
          </cell>
          <cell r="AE236">
            <v>10964.241</v>
          </cell>
          <cell r="AH236">
            <v>9262.4699999999993</v>
          </cell>
          <cell r="AI236">
            <v>1701.77</v>
          </cell>
          <cell r="AO236" t="str">
            <v>Paid</v>
          </cell>
          <cell r="AP236" t="str">
            <v>Completed</v>
          </cell>
        </row>
        <row r="237">
          <cell r="A237" t="str">
            <v>ORD-2024-10236</v>
          </cell>
          <cell r="B237" t="str">
            <v>11/02/2024</v>
          </cell>
          <cell r="D237" t="str">
            <v>11/03/2024</v>
          </cell>
          <cell r="F237" t="str">
            <v>Valid</v>
          </cell>
          <cell r="H237" t="str">
            <v>Valid</v>
          </cell>
          <cell r="N237" t="str">
            <v>West</v>
          </cell>
          <cell r="V237" t="str">
            <v>Standard Class</v>
          </cell>
          <cell r="Z237">
            <v>0.05</v>
          </cell>
          <cell r="AB237" t="str">
            <v>Valid</v>
          </cell>
          <cell r="AC237">
            <v>15226.35</v>
          </cell>
          <cell r="AE237">
            <v>15226.352999999999</v>
          </cell>
          <cell r="AH237">
            <v>11145.28</v>
          </cell>
          <cell r="AI237">
            <v>4081.07</v>
          </cell>
          <cell r="AO237" t="str">
            <v>Paid</v>
          </cell>
          <cell r="AP237" t="str">
            <v>Completed</v>
          </cell>
        </row>
        <row r="238">
          <cell r="A238" t="str">
            <v>ORD-2024-10237</v>
          </cell>
          <cell r="B238" t="str">
            <v>10/14/2024</v>
          </cell>
          <cell r="D238" t="str">
            <v>21 Oct 2024</v>
          </cell>
          <cell r="F238" t="str">
            <v>Valid</v>
          </cell>
          <cell r="H238" t="str">
            <v>Valid</v>
          </cell>
          <cell r="N238" t="str">
            <v>North</v>
          </cell>
          <cell r="V238" t="str">
            <v>First Class</v>
          </cell>
          <cell r="Z238">
            <v>0</v>
          </cell>
          <cell r="AB238" t="str">
            <v>Valid</v>
          </cell>
          <cell r="AC238">
            <v>24376.68</v>
          </cell>
          <cell r="AE238">
            <v>24376.68</v>
          </cell>
          <cell r="AH238">
            <v>18533.39</v>
          </cell>
          <cell r="AI238">
            <v>5843.29</v>
          </cell>
          <cell r="AO238" t="str">
            <v>Paid</v>
          </cell>
          <cell r="AP238" t="str">
            <v>Completed</v>
          </cell>
        </row>
        <row r="239">
          <cell r="A239" t="str">
            <v>ORD-2024-10238</v>
          </cell>
          <cell r="B239" t="str">
            <v>2024-08-27</v>
          </cell>
          <cell r="D239" t="str">
            <v>2024-08-27</v>
          </cell>
          <cell r="F239" t="str">
            <v>Valid</v>
          </cell>
          <cell r="H239" t="str">
            <v>Valid</v>
          </cell>
          <cell r="N239" t="str">
            <v>North</v>
          </cell>
          <cell r="V239" t="str">
            <v>Standard Class</v>
          </cell>
          <cell r="Z239">
            <v>0</v>
          </cell>
          <cell r="AB239" t="str">
            <v>Valid</v>
          </cell>
          <cell r="AC239">
            <v>20972.7</v>
          </cell>
          <cell r="AE239">
            <v>20972.7</v>
          </cell>
          <cell r="AH239">
            <v>13504.88</v>
          </cell>
          <cell r="AI239">
            <v>7467.82</v>
          </cell>
          <cell r="AO239" t="str">
            <v>Paid</v>
          </cell>
          <cell r="AP239" t="str">
            <v>Completed</v>
          </cell>
        </row>
        <row r="240">
          <cell r="A240" t="str">
            <v>ORD-2024-10239</v>
          </cell>
          <cell r="B240" t="str">
            <v>01/12/2024</v>
          </cell>
          <cell r="D240" t="str">
            <v>01/17/2024</v>
          </cell>
          <cell r="F240" t="str">
            <v>Valid</v>
          </cell>
          <cell r="H240" t="str">
            <v>Valid</v>
          </cell>
          <cell r="N240" t="str">
            <v>South</v>
          </cell>
          <cell r="V240" t="str">
            <v>First Class</v>
          </cell>
          <cell r="Z240">
            <v>0.55000000000000004</v>
          </cell>
          <cell r="AB240" t="str">
            <v>Valid</v>
          </cell>
          <cell r="AC240">
            <v>26633.58</v>
          </cell>
          <cell r="AE240">
            <v>12615.907499999999</v>
          </cell>
          <cell r="AH240">
            <v>18838.75</v>
          </cell>
          <cell r="AI240">
            <v>7794.83</v>
          </cell>
          <cell r="AO240" t="str">
            <v>Paid</v>
          </cell>
          <cell r="AP240" t="str">
            <v>Completed</v>
          </cell>
        </row>
        <row r="241">
          <cell r="A241" t="str">
            <v>ORD-2024-10240</v>
          </cell>
          <cell r="B241" t="str">
            <v>21-09-2024</v>
          </cell>
          <cell r="D241" t="str">
            <v>09/21/2024</v>
          </cell>
          <cell r="F241" t="str">
            <v>Valid</v>
          </cell>
          <cell r="H241" t="str">
            <v>Valid</v>
          </cell>
          <cell r="N241" t="str">
            <v>South</v>
          </cell>
          <cell r="V241" t="str">
            <v>First Class</v>
          </cell>
          <cell r="Z241">
            <v>0.2</v>
          </cell>
          <cell r="AB241" t="str">
            <v>Valid</v>
          </cell>
          <cell r="AC241">
            <v>3136.1</v>
          </cell>
          <cell r="AE241">
            <v>3136.096</v>
          </cell>
          <cell r="AH241">
            <v>2279.4899999999998</v>
          </cell>
          <cell r="AI241">
            <v>856.61</v>
          </cell>
          <cell r="AO241" t="str">
            <v>Paid</v>
          </cell>
          <cell r="AP241" t="str">
            <v>Completed</v>
          </cell>
        </row>
        <row r="242">
          <cell r="A242" t="str">
            <v>ORD-2024-10241</v>
          </cell>
          <cell r="B242" t="str">
            <v>17 Dec 2024</v>
          </cell>
          <cell r="D242" t="str">
            <v>23-12-2024</v>
          </cell>
          <cell r="F242" t="str">
            <v>Valid</v>
          </cell>
          <cell r="H242" t="str">
            <v>Valid</v>
          </cell>
          <cell r="N242" t="str">
            <v>South</v>
          </cell>
          <cell r="V242" t="str">
            <v>First Class</v>
          </cell>
          <cell r="Z242">
            <v>0</v>
          </cell>
          <cell r="AB242" t="str">
            <v>Valid</v>
          </cell>
          <cell r="AC242">
            <v>20835.900000000001</v>
          </cell>
          <cell r="AE242">
            <v>20835.899999999998</v>
          </cell>
          <cell r="AH242">
            <v>13928.19</v>
          </cell>
          <cell r="AI242">
            <v>6907.71</v>
          </cell>
          <cell r="AO242" t="str">
            <v>Paid</v>
          </cell>
          <cell r="AP242" t="str">
            <v>Completed</v>
          </cell>
        </row>
        <row r="243">
          <cell r="A243" t="str">
            <v>ORD-2025-10242</v>
          </cell>
          <cell r="B243" t="str">
            <v>07/06/2025</v>
          </cell>
          <cell r="D243" t="str">
            <v>06-07-2025</v>
          </cell>
          <cell r="F243" t="str">
            <v>Valid</v>
          </cell>
          <cell r="H243" t="str">
            <v>Valid</v>
          </cell>
          <cell r="N243" t="str">
            <v>North</v>
          </cell>
          <cell r="V243" t="str">
            <v>Standard Class</v>
          </cell>
          <cell r="Z243">
            <v>0.25</v>
          </cell>
          <cell r="AB243" t="str">
            <v>Valid</v>
          </cell>
          <cell r="AC243">
            <v>1212.9000000000001</v>
          </cell>
          <cell r="AE243">
            <v>1212.9000000000001</v>
          </cell>
          <cell r="AH243">
            <v>690.52</v>
          </cell>
          <cell r="AI243">
            <v>522.38</v>
          </cell>
          <cell r="AO243" t="str">
            <v>Pending</v>
          </cell>
          <cell r="AP243" t="str">
            <v>Returned</v>
          </cell>
        </row>
        <row r="244">
          <cell r="A244" t="str">
            <v>ORD-2025-10243</v>
          </cell>
          <cell r="B244" t="str">
            <v>07 Feb 2025</v>
          </cell>
          <cell r="D244" t="str">
            <v>2025-02-07</v>
          </cell>
          <cell r="F244" t="str">
            <v>Valid</v>
          </cell>
          <cell r="H244" t="str">
            <v>Valid</v>
          </cell>
          <cell r="N244" t="str">
            <v>North</v>
          </cell>
          <cell r="V244" t="str">
            <v>Second Class</v>
          </cell>
          <cell r="Z244">
            <v>0.05</v>
          </cell>
          <cell r="AB244" t="str">
            <v>Valid</v>
          </cell>
          <cell r="AC244">
            <v>5697.83</v>
          </cell>
          <cell r="AE244">
            <v>5697.8339999999998</v>
          </cell>
          <cell r="AH244">
            <v>4251.5</v>
          </cell>
          <cell r="AI244">
            <v>1446.33</v>
          </cell>
          <cell r="AO244" t="str">
            <v>Paid</v>
          </cell>
          <cell r="AP244" t="str">
            <v>Completed</v>
          </cell>
        </row>
        <row r="245">
          <cell r="A245" t="str">
            <v>ORD-2025-10244</v>
          </cell>
          <cell r="B245" t="str">
            <v>29-07-2025</v>
          </cell>
          <cell r="D245" t="str">
            <v>02 Aug 2025</v>
          </cell>
          <cell r="F245" t="str">
            <v>Valid</v>
          </cell>
          <cell r="H245" t="str">
            <v>Valid</v>
          </cell>
          <cell r="V245" t="str">
            <v>First Class</v>
          </cell>
          <cell r="Z245">
            <v>0.1</v>
          </cell>
          <cell r="AB245" t="str">
            <v>Invalid - Discount Above Limit</v>
          </cell>
          <cell r="AC245">
            <v>4049.51</v>
          </cell>
          <cell r="AE245">
            <v>4499.46</v>
          </cell>
          <cell r="AH245">
            <v>2509.1999999999998</v>
          </cell>
          <cell r="AI245">
            <v>1540.31</v>
          </cell>
          <cell r="AO245" t="str">
            <v>Paid</v>
          </cell>
          <cell r="AP245" t="str">
            <v>completed</v>
          </cell>
        </row>
        <row r="246">
          <cell r="A246" t="str">
            <v>ORD-2024-10245</v>
          </cell>
          <cell r="B246" t="str">
            <v>08/23/2024</v>
          </cell>
          <cell r="D246" t="str">
            <v>2024-08-24</v>
          </cell>
          <cell r="F246" t="str">
            <v>Valid</v>
          </cell>
          <cell r="H246" t="str">
            <v>Valid</v>
          </cell>
          <cell r="N246" t="str">
            <v>South</v>
          </cell>
          <cell r="V246" t="str">
            <v>Same Day</v>
          </cell>
          <cell r="Z246">
            <v>0</v>
          </cell>
          <cell r="AB246" t="str">
            <v>Valid</v>
          </cell>
          <cell r="AC246">
            <v>6131.34</v>
          </cell>
          <cell r="AE246">
            <v>6131.34</v>
          </cell>
          <cell r="AH246">
            <v>4060.88</v>
          </cell>
          <cell r="AI246">
            <v>2070.46</v>
          </cell>
          <cell r="AO246" t="str">
            <v>Paid</v>
          </cell>
          <cell r="AP246" t="str">
            <v>Completed</v>
          </cell>
        </row>
        <row r="247">
          <cell r="A247" t="str">
            <v>ORD-2024-10246</v>
          </cell>
          <cell r="B247" t="str">
            <v>10/18/2024</v>
          </cell>
          <cell r="D247" t="str">
            <v>24-10-2024</v>
          </cell>
          <cell r="F247" t="str">
            <v>Valid</v>
          </cell>
          <cell r="H247" t="str">
            <v>Valid</v>
          </cell>
          <cell r="N247" t="str">
            <v>South</v>
          </cell>
          <cell r="V247" t="str">
            <v>Second Class</v>
          </cell>
          <cell r="Z247">
            <v>0</v>
          </cell>
          <cell r="AB247" t="str">
            <v>Valid</v>
          </cell>
          <cell r="AC247">
            <v>9827.7900000000009</v>
          </cell>
          <cell r="AE247">
            <v>9827.7899999999991</v>
          </cell>
          <cell r="AH247">
            <v>5478.28</v>
          </cell>
          <cell r="AI247">
            <v>4349.51</v>
          </cell>
          <cell r="AO247" t="str">
            <v>Paid</v>
          </cell>
          <cell r="AP247" t="str">
            <v>Completed</v>
          </cell>
        </row>
        <row r="248">
          <cell r="A248" t="str">
            <v>ORD-2024-10247</v>
          </cell>
          <cell r="B248" t="str">
            <v>04 May 2024</v>
          </cell>
          <cell r="D248" t="str">
            <v>09 May 2024</v>
          </cell>
          <cell r="F248" t="str">
            <v>Valid</v>
          </cell>
          <cell r="H248" t="str">
            <v>Valid</v>
          </cell>
          <cell r="N248" t="str">
            <v>North</v>
          </cell>
          <cell r="V248" t="str">
            <v>Same Day</v>
          </cell>
          <cell r="Z248">
            <v>0.25</v>
          </cell>
          <cell r="AB248" t="str">
            <v>Valid</v>
          </cell>
          <cell r="AC248">
            <v>521.89</v>
          </cell>
          <cell r="AE248">
            <v>521.88749999999993</v>
          </cell>
          <cell r="AH248">
            <v>444.52</v>
          </cell>
          <cell r="AI248">
            <v>77.37</v>
          </cell>
          <cell r="AO248" t="str">
            <v>Refunded</v>
          </cell>
          <cell r="AP248" t="str">
            <v>Cancelled</v>
          </cell>
        </row>
        <row r="249">
          <cell r="A249" t="str">
            <v>ORD-2024-10248</v>
          </cell>
          <cell r="B249" t="str">
            <v>07/25/2024</v>
          </cell>
          <cell r="D249" t="str">
            <v>01 Aug 2024</v>
          </cell>
          <cell r="F249" t="str">
            <v>Valid</v>
          </cell>
          <cell r="H249" t="str">
            <v>Valid</v>
          </cell>
          <cell r="N249" t="str">
            <v>North</v>
          </cell>
          <cell r="V249" t="str">
            <v>Second Class</v>
          </cell>
          <cell r="Z249">
            <v>0.25</v>
          </cell>
          <cell r="AB249" t="str">
            <v>Valid</v>
          </cell>
          <cell r="AC249">
            <v>14960.4</v>
          </cell>
          <cell r="AE249">
            <v>14960.400000000001</v>
          </cell>
          <cell r="AH249">
            <v>12500.84</v>
          </cell>
          <cell r="AI249">
            <v>2459.56</v>
          </cell>
          <cell r="AO249" t="str">
            <v>Paid</v>
          </cell>
          <cell r="AP249" t="str">
            <v>Completed</v>
          </cell>
        </row>
        <row r="250">
          <cell r="A250" t="str">
            <v>ORD-2024-10249</v>
          </cell>
          <cell r="B250" t="str">
            <v>06/02/2024</v>
          </cell>
          <cell r="D250" t="str">
            <v>07-06-2024</v>
          </cell>
          <cell r="F250" t="str">
            <v>Valid</v>
          </cell>
          <cell r="H250" t="str">
            <v>Valid</v>
          </cell>
          <cell r="N250" t="str">
            <v>East</v>
          </cell>
          <cell r="V250" t="str">
            <v>Second Class</v>
          </cell>
          <cell r="Z250">
            <v>0.15</v>
          </cell>
          <cell r="AB250" t="str">
            <v>Valid</v>
          </cell>
          <cell r="AC250">
            <v>6027.51</v>
          </cell>
          <cell r="AE250">
            <v>6027.5114999999996</v>
          </cell>
          <cell r="AH250">
            <v>4883.82</v>
          </cell>
          <cell r="AI250">
            <v>1143.69</v>
          </cell>
          <cell r="AO250" t="str">
            <v>Paid</v>
          </cell>
          <cell r="AP250" t="str">
            <v>Completed</v>
          </cell>
        </row>
        <row r="251">
          <cell r="A251" t="str">
            <v>ORD-2025-10250</v>
          </cell>
          <cell r="B251" t="str">
            <v>08/01/2025</v>
          </cell>
          <cell r="D251" t="str">
            <v>08/02/2025</v>
          </cell>
          <cell r="F251" t="str">
            <v>Valid</v>
          </cell>
          <cell r="H251" t="str">
            <v>Valid</v>
          </cell>
          <cell r="N251" t="str">
            <v>North</v>
          </cell>
          <cell r="V251" t="str">
            <v>First Class</v>
          </cell>
          <cell r="Z251">
            <v>0.2</v>
          </cell>
          <cell r="AB251" t="str">
            <v>Valid</v>
          </cell>
          <cell r="AC251">
            <v>8928.93</v>
          </cell>
          <cell r="AE251">
            <v>8928.9279999999999</v>
          </cell>
          <cell r="AH251">
            <v>5634.38</v>
          </cell>
          <cell r="AI251">
            <v>3294.55</v>
          </cell>
          <cell r="AO251" t="str">
            <v>Paid</v>
          </cell>
          <cell r="AP251" t="str">
            <v>Completed</v>
          </cell>
        </row>
        <row r="252">
          <cell r="A252" t="str">
            <v>ORD-2024-10251</v>
          </cell>
          <cell r="B252" t="str">
            <v>02/21/2024</v>
          </cell>
          <cell r="D252" t="str">
            <v>02/27/2024</v>
          </cell>
          <cell r="F252" t="str">
            <v>Valid</v>
          </cell>
          <cell r="H252" t="str">
            <v>Valid</v>
          </cell>
          <cell r="N252" t="str">
            <v>East</v>
          </cell>
          <cell r="V252" t="str">
            <v>Standard Class</v>
          </cell>
          <cell r="Z252">
            <v>0.15</v>
          </cell>
          <cell r="AB252" t="str">
            <v>Valid</v>
          </cell>
          <cell r="AC252">
            <v>14338.9</v>
          </cell>
          <cell r="AE252">
            <v>14338.904999999999</v>
          </cell>
          <cell r="AH252">
            <v>11897.65</v>
          </cell>
          <cell r="AI252">
            <v>2441.25</v>
          </cell>
          <cell r="AO252" t="str">
            <v>Pending</v>
          </cell>
          <cell r="AP252" t="str">
            <v>Returned</v>
          </cell>
        </row>
        <row r="253">
          <cell r="A253" t="str">
            <v>ORD-2025-10252</v>
          </cell>
          <cell r="B253" t="str">
            <v>2025-04-06</v>
          </cell>
          <cell r="D253" t="str">
            <v>04/10/2025</v>
          </cell>
          <cell r="F253" t="str">
            <v>Valid</v>
          </cell>
          <cell r="H253" t="str">
            <v>Valid</v>
          </cell>
          <cell r="N253" t="str">
            <v>West</v>
          </cell>
          <cell r="V253" t="str">
            <v>Second Class</v>
          </cell>
          <cell r="Z253">
            <v>0</v>
          </cell>
          <cell r="AB253" t="str">
            <v>Valid</v>
          </cell>
          <cell r="AC253">
            <v>6132.96</v>
          </cell>
          <cell r="AE253">
            <v>6132.96</v>
          </cell>
          <cell r="AH253">
            <v>4881.1000000000004</v>
          </cell>
          <cell r="AI253">
            <v>1251.8599999999999</v>
          </cell>
          <cell r="AO253" t="str">
            <v>Paid</v>
          </cell>
          <cell r="AP253" t="str">
            <v>Completed</v>
          </cell>
        </row>
        <row r="254">
          <cell r="A254" t="str">
            <v>ORD-2025-10253</v>
          </cell>
          <cell r="B254" t="str">
            <v>25-06-2025</v>
          </cell>
          <cell r="D254" t="str">
            <v>2025-06-28</v>
          </cell>
          <cell r="F254" t="str">
            <v>Valid</v>
          </cell>
          <cell r="H254" t="str">
            <v>Valid</v>
          </cell>
          <cell r="N254" t="str">
            <v>North</v>
          </cell>
          <cell r="V254" t="str">
            <v>First Class</v>
          </cell>
          <cell r="Z254">
            <v>0.2</v>
          </cell>
          <cell r="AB254" t="str">
            <v>Valid</v>
          </cell>
          <cell r="AC254">
            <v>2329.4699999999998</v>
          </cell>
          <cell r="AE254">
            <v>2329.4720000000002</v>
          </cell>
          <cell r="AH254">
            <v>1603.62</v>
          </cell>
          <cell r="AI254">
            <v>725.85</v>
          </cell>
          <cell r="AO254" t="str">
            <v>Pending</v>
          </cell>
          <cell r="AP254" t="str">
            <v>Returned</v>
          </cell>
        </row>
        <row r="255">
          <cell r="A255" t="str">
            <v>ORD-2024-10254</v>
          </cell>
          <cell r="B255" t="str">
            <v>2024-09-12</v>
          </cell>
          <cell r="D255" t="str">
            <v>09/13/2024</v>
          </cell>
          <cell r="F255" t="str">
            <v>Valid</v>
          </cell>
          <cell r="H255" t="str">
            <v>Valid</v>
          </cell>
          <cell r="N255" t="str">
            <v>North</v>
          </cell>
          <cell r="V255" t="str">
            <v>Same Day</v>
          </cell>
          <cell r="Z255">
            <v>0.05</v>
          </cell>
          <cell r="AB255" t="str">
            <v>Valid</v>
          </cell>
          <cell r="AC255">
            <v>4746.8999999999996</v>
          </cell>
          <cell r="AE255">
            <v>4746.9029999999993</v>
          </cell>
          <cell r="AH255">
            <v>2825.38</v>
          </cell>
          <cell r="AI255">
            <v>1472.89</v>
          </cell>
          <cell r="AO255" t="str">
            <v>Refunded</v>
          </cell>
          <cell r="AP255" t="str">
            <v>Cancelled</v>
          </cell>
        </row>
        <row r="256">
          <cell r="A256" t="str">
            <v>ORD-2025-10255</v>
          </cell>
          <cell r="B256" t="str">
            <v>01/01/2025</v>
          </cell>
          <cell r="D256" t="str">
            <v>03-01-2025</v>
          </cell>
          <cell r="F256" t="str">
            <v>Valid</v>
          </cell>
          <cell r="H256" t="str">
            <v>Valid</v>
          </cell>
          <cell r="N256" t="str">
            <v>West</v>
          </cell>
          <cell r="V256" t="str">
            <v>Same Day</v>
          </cell>
          <cell r="Z256">
            <v>0.2</v>
          </cell>
          <cell r="AB256" t="str">
            <v>Valid</v>
          </cell>
          <cell r="AC256">
            <v>5603.08</v>
          </cell>
          <cell r="AE256">
            <v>5603.08</v>
          </cell>
          <cell r="AH256">
            <v>3132.52</v>
          </cell>
          <cell r="AI256">
            <v>2470.56</v>
          </cell>
          <cell r="AO256" t="str">
            <v>Paid</v>
          </cell>
          <cell r="AP256" t="str">
            <v>Returned</v>
          </cell>
        </row>
        <row r="257">
          <cell r="A257" t="str">
            <v>ORD-2025-10256</v>
          </cell>
          <cell r="B257" t="str">
            <v>2025-02-04</v>
          </cell>
          <cell r="D257" t="str">
            <v>02/10/2025</v>
          </cell>
          <cell r="F257" t="str">
            <v>Valid</v>
          </cell>
          <cell r="H257" t="str">
            <v>Valid</v>
          </cell>
          <cell r="N257" t="str">
            <v>West</v>
          </cell>
          <cell r="V257" t="str">
            <v>First Class</v>
          </cell>
          <cell r="Z257">
            <v>0</v>
          </cell>
          <cell r="AB257" t="str">
            <v>Valid</v>
          </cell>
          <cell r="AC257">
            <v>12810</v>
          </cell>
          <cell r="AE257">
            <v>12810</v>
          </cell>
          <cell r="AH257">
            <v>9334.1200000000008</v>
          </cell>
          <cell r="AI257">
            <v>3475.88</v>
          </cell>
          <cell r="AO257" t="str">
            <v>Paid</v>
          </cell>
          <cell r="AP257" t="str">
            <v>Completed</v>
          </cell>
        </row>
        <row r="258">
          <cell r="A258" t="str">
            <v>ORD-2024-10257</v>
          </cell>
          <cell r="B258" t="str">
            <v>2024-11-05</v>
          </cell>
          <cell r="D258" t="str">
            <v>03 Nov 2024</v>
          </cell>
          <cell r="F258" t="str">
            <v>Invalid Shipping Record</v>
          </cell>
          <cell r="H258" t="str">
            <v>Invalid Shipping Record</v>
          </cell>
          <cell r="N258" t="str">
            <v>East</v>
          </cell>
          <cell r="V258" t="str">
            <v>First Class</v>
          </cell>
          <cell r="Z258">
            <v>0.05</v>
          </cell>
          <cell r="AB258" t="str">
            <v>Valid</v>
          </cell>
          <cell r="AC258">
            <v>19328.22</v>
          </cell>
          <cell r="AE258">
            <v>19328.215500000002</v>
          </cell>
          <cell r="AH258">
            <v>12039.5</v>
          </cell>
          <cell r="AI258">
            <v>7288.72</v>
          </cell>
          <cell r="AO258" t="str">
            <v>Paid</v>
          </cell>
          <cell r="AP258" t="str">
            <v>Completed</v>
          </cell>
        </row>
        <row r="259">
          <cell r="A259" t="str">
            <v>ORD-2025-10258</v>
          </cell>
          <cell r="B259" t="str">
            <v>2025-08-09</v>
          </cell>
          <cell r="D259" t="str">
            <v>2025-08-12</v>
          </cell>
          <cell r="F259" t="str">
            <v>Valid</v>
          </cell>
          <cell r="H259" t="str">
            <v>Valid</v>
          </cell>
          <cell r="N259" t="str">
            <v>South</v>
          </cell>
          <cell r="V259" t="str">
            <v>Second Class</v>
          </cell>
          <cell r="Z259">
            <v>0</v>
          </cell>
          <cell r="AB259" t="str">
            <v>Valid</v>
          </cell>
          <cell r="AC259">
            <v>6474.54</v>
          </cell>
          <cell r="AE259">
            <v>6474.54</v>
          </cell>
          <cell r="AH259">
            <v>5095.91</v>
          </cell>
          <cell r="AI259">
            <v>1378.63</v>
          </cell>
          <cell r="AO259" t="str">
            <v>Paid</v>
          </cell>
          <cell r="AP259" t="str">
            <v>Cancelled</v>
          </cell>
        </row>
        <row r="260">
          <cell r="A260" t="str">
            <v>ORD-2024-10259</v>
          </cell>
          <cell r="B260" t="str">
            <v>2024-12-30</v>
          </cell>
          <cell r="D260" t="str">
            <v>2025-01-04</v>
          </cell>
          <cell r="F260" t="str">
            <v>Valid</v>
          </cell>
          <cell r="H260" t="str">
            <v>Valid</v>
          </cell>
          <cell r="N260" t="str">
            <v>South</v>
          </cell>
          <cell r="V260" t="str">
            <v>Same Day</v>
          </cell>
          <cell r="Z260">
            <v>0.25</v>
          </cell>
          <cell r="AB260" t="str">
            <v>Valid</v>
          </cell>
          <cell r="AC260">
            <v>5580.11</v>
          </cell>
          <cell r="AE260">
            <v>5580.1050000000005</v>
          </cell>
          <cell r="AH260">
            <v>4307.01</v>
          </cell>
          <cell r="AI260">
            <v>1273.0999999999999</v>
          </cell>
          <cell r="AO260" t="str">
            <v>Paid</v>
          </cell>
          <cell r="AP260" t="str">
            <v>Completed</v>
          </cell>
        </row>
        <row r="261">
          <cell r="A261" t="str">
            <v>ORD-2024-10260</v>
          </cell>
          <cell r="B261" t="str">
            <v>06/21/2024</v>
          </cell>
          <cell r="D261" t="str">
            <v>29 Jun 2024</v>
          </cell>
          <cell r="F261" t="str">
            <v>Valid</v>
          </cell>
          <cell r="H261" t="str">
            <v>Valid</v>
          </cell>
          <cell r="N261" t="str">
            <v>South</v>
          </cell>
          <cell r="V261" t="str">
            <v>Standard Class</v>
          </cell>
          <cell r="Z261">
            <v>0.2</v>
          </cell>
          <cell r="AB261" t="str">
            <v>Valid</v>
          </cell>
          <cell r="AC261">
            <v>18265.09</v>
          </cell>
          <cell r="AE261">
            <v>18265.088</v>
          </cell>
          <cell r="AH261">
            <v>10437.14</v>
          </cell>
          <cell r="AI261">
            <v>7827.95</v>
          </cell>
          <cell r="AO261" t="str">
            <v>Paid</v>
          </cell>
          <cell r="AP261" t="str">
            <v>Completed</v>
          </cell>
        </row>
        <row r="262">
          <cell r="A262" t="str">
            <v>ORD-2025-10261</v>
          </cell>
          <cell r="B262" t="str">
            <v>2025-09-23</v>
          </cell>
          <cell r="D262" t="str">
            <v>09/27/2025</v>
          </cell>
          <cell r="F262" t="str">
            <v>Valid</v>
          </cell>
          <cell r="H262" t="str">
            <v>Valid</v>
          </cell>
          <cell r="N262" t="str">
            <v>East</v>
          </cell>
          <cell r="V262" t="str">
            <v>Same Day</v>
          </cell>
          <cell r="Z262">
            <v>0.25</v>
          </cell>
          <cell r="AB262" t="str">
            <v>Valid</v>
          </cell>
          <cell r="AC262">
            <v>15209.88</v>
          </cell>
          <cell r="AE262">
            <v>15209.880000000001</v>
          </cell>
          <cell r="AH262">
            <v>10891.15</v>
          </cell>
          <cell r="AI262">
            <v>4318.7299999999996</v>
          </cell>
          <cell r="AO262" t="str">
            <v>Failed</v>
          </cell>
          <cell r="AP262" t="str">
            <v>Returned</v>
          </cell>
        </row>
        <row r="263">
          <cell r="A263" t="str">
            <v>ORD-2025-10262</v>
          </cell>
          <cell r="B263" t="str">
            <v>06/18/2025</v>
          </cell>
          <cell r="D263" t="str">
            <v>06/24/2025</v>
          </cell>
          <cell r="F263" t="str">
            <v>Valid</v>
          </cell>
          <cell r="H263" t="str">
            <v>Valid</v>
          </cell>
          <cell r="N263" t="str">
            <v>North</v>
          </cell>
          <cell r="V263" t="str">
            <v>Standard Class</v>
          </cell>
          <cell r="Z263">
            <v>0.2</v>
          </cell>
          <cell r="AB263" t="str">
            <v>Valid</v>
          </cell>
          <cell r="AC263">
            <v>1648.18</v>
          </cell>
          <cell r="AE263">
            <v>1648.1760000000004</v>
          </cell>
          <cell r="AH263">
            <v>987.91</v>
          </cell>
          <cell r="AI263">
            <v>660.27</v>
          </cell>
          <cell r="AO263" t="str">
            <v>Failed</v>
          </cell>
          <cell r="AP263" t="str">
            <v>Cancelled</v>
          </cell>
        </row>
        <row r="264">
          <cell r="A264" t="str">
            <v>ORD-2025-10263</v>
          </cell>
          <cell r="B264" t="str">
            <v>2025-05-26</v>
          </cell>
          <cell r="D264" t="str">
            <v>01 Jun 2025</v>
          </cell>
          <cell r="F264" t="str">
            <v>Valid</v>
          </cell>
          <cell r="H264" t="str">
            <v>Valid</v>
          </cell>
          <cell r="N264" t="str">
            <v>North</v>
          </cell>
          <cell r="V264" t="str">
            <v>Same Day</v>
          </cell>
          <cell r="Z264">
            <v>0</v>
          </cell>
          <cell r="AB264" t="str">
            <v>Valid</v>
          </cell>
          <cell r="AC264">
            <v>13399.44</v>
          </cell>
          <cell r="AE264">
            <v>13399.44</v>
          </cell>
          <cell r="AH264">
            <v>8581.35</v>
          </cell>
          <cell r="AI264">
            <v>4818.09</v>
          </cell>
          <cell r="AO264" t="str">
            <v>Pending</v>
          </cell>
          <cell r="AP264" t="str">
            <v>Returned</v>
          </cell>
        </row>
        <row r="265">
          <cell r="A265" t="str">
            <v>ORD-2025-10264</v>
          </cell>
          <cell r="B265" t="str">
            <v>06 Aug 2025</v>
          </cell>
          <cell r="D265" t="str">
            <v>10-08-2025</v>
          </cell>
          <cell r="F265" t="str">
            <v>Valid</v>
          </cell>
          <cell r="H265" t="str">
            <v>Valid</v>
          </cell>
          <cell r="N265" t="str">
            <v>North</v>
          </cell>
          <cell r="V265" t="str">
            <v>Second Class</v>
          </cell>
          <cell r="Z265">
            <v>0.1</v>
          </cell>
          <cell r="AB265" t="str">
            <v>Valid</v>
          </cell>
          <cell r="AC265">
            <v>32743.84</v>
          </cell>
          <cell r="AE265">
            <v>32743.844999999998</v>
          </cell>
          <cell r="AH265">
            <v>22452.05</v>
          </cell>
          <cell r="AI265">
            <v>10291.790000000001</v>
          </cell>
          <cell r="AO265" t="str">
            <v>Pending</v>
          </cell>
          <cell r="AP265" t="str">
            <v>Returned</v>
          </cell>
        </row>
        <row r="266">
          <cell r="A266" t="str">
            <v>ORD-2024-10265</v>
          </cell>
          <cell r="B266" t="str">
            <v>16-05-2024</v>
          </cell>
          <cell r="D266" t="str">
            <v>05/21/2024</v>
          </cell>
          <cell r="F266" t="str">
            <v>Valid</v>
          </cell>
          <cell r="H266" t="str">
            <v>Valid</v>
          </cell>
          <cell r="N266" t="str">
            <v>East</v>
          </cell>
          <cell r="V266" t="str">
            <v>Standard Class</v>
          </cell>
          <cell r="Z266">
            <v>0</v>
          </cell>
          <cell r="AB266" t="str">
            <v>Valid</v>
          </cell>
          <cell r="AC266">
            <v>6012.28</v>
          </cell>
          <cell r="AE266">
            <v>6012.28</v>
          </cell>
          <cell r="AH266">
            <v>3927.64</v>
          </cell>
          <cell r="AI266">
            <v>2084.64</v>
          </cell>
          <cell r="AO266" t="str">
            <v>Paid</v>
          </cell>
          <cell r="AP266" t="str">
            <v>Completed</v>
          </cell>
        </row>
        <row r="267">
          <cell r="A267" t="str">
            <v>ORD-2024-10266</v>
          </cell>
          <cell r="B267" t="str">
            <v>14 Nov 2024</v>
          </cell>
          <cell r="D267" t="str">
            <v>11/22/2024</v>
          </cell>
          <cell r="F267" t="str">
            <v>Valid</v>
          </cell>
          <cell r="H267" t="str">
            <v>Valid</v>
          </cell>
          <cell r="N267" t="str">
            <v>East</v>
          </cell>
          <cell r="V267" t="str">
            <v>Same Day</v>
          </cell>
          <cell r="Z267">
            <v>0.15</v>
          </cell>
          <cell r="AB267" t="str">
            <v>Valid</v>
          </cell>
          <cell r="AC267">
            <v>495.01</v>
          </cell>
          <cell r="AE267">
            <v>495.0145</v>
          </cell>
          <cell r="AH267">
            <v>285.13</v>
          </cell>
          <cell r="AI267">
            <v>209.88</v>
          </cell>
          <cell r="AO267" t="str">
            <v>Refunded</v>
          </cell>
          <cell r="AP267" t="str">
            <v>Cancelled</v>
          </cell>
        </row>
        <row r="268">
          <cell r="A268" t="str">
            <v>ORD-2025-10267</v>
          </cell>
          <cell r="B268" t="str">
            <v>2025-05-03</v>
          </cell>
          <cell r="D268" t="str">
            <v>2025-05-10</v>
          </cell>
          <cell r="F268" t="str">
            <v>Valid</v>
          </cell>
          <cell r="H268" t="str">
            <v>Valid</v>
          </cell>
          <cell r="N268" t="str">
            <v>West</v>
          </cell>
          <cell r="V268" t="str">
            <v>Second Class</v>
          </cell>
          <cell r="Z268">
            <v>0</v>
          </cell>
          <cell r="AB268" t="str">
            <v>Valid</v>
          </cell>
          <cell r="AC268">
            <v>13017.72</v>
          </cell>
          <cell r="AE268">
            <v>13017.72</v>
          </cell>
          <cell r="AH268">
            <v>10170.57</v>
          </cell>
          <cell r="AI268">
            <v>2847.15</v>
          </cell>
          <cell r="AO268" t="str">
            <v>Paid</v>
          </cell>
          <cell r="AP268" t="str">
            <v>Completed</v>
          </cell>
        </row>
        <row r="269">
          <cell r="A269" t="str">
            <v>ORD-2025-10268</v>
          </cell>
          <cell r="B269" t="str">
            <v>28 May 2025</v>
          </cell>
          <cell r="D269" t="str">
            <v>04-06-2025</v>
          </cell>
          <cell r="F269" t="str">
            <v>Valid</v>
          </cell>
          <cell r="H269" t="str">
            <v>Valid</v>
          </cell>
          <cell r="N269" t="str">
            <v>East</v>
          </cell>
          <cell r="V269" t="str">
            <v>First Class</v>
          </cell>
          <cell r="Z269">
            <v>0.25</v>
          </cell>
          <cell r="AB269" t="str">
            <v>Valid</v>
          </cell>
          <cell r="AC269">
            <v>785.4</v>
          </cell>
          <cell r="AE269">
            <v>785.40000000000009</v>
          </cell>
          <cell r="AH269">
            <v>557.22</v>
          </cell>
          <cell r="AI269">
            <v>228.18</v>
          </cell>
          <cell r="AO269" t="str">
            <v>Paid</v>
          </cell>
          <cell r="AP269" t="str">
            <v>Completed</v>
          </cell>
        </row>
        <row r="270">
          <cell r="A270" t="str">
            <v>ORD-2025-10269</v>
          </cell>
          <cell r="B270" t="str">
            <v>08/17/2025</v>
          </cell>
          <cell r="D270" t="str">
            <v>08/17/2025</v>
          </cell>
          <cell r="F270" t="str">
            <v>Valid</v>
          </cell>
          <cell r="H270" t="str">
            <v>Valid</v>
          </cell>
          <cell r="N270" t="str">
            <v>North</v>
          </cell>
          <cell r="V270" t="str">
            <v>First Class</v>
          </cell>
          <cell r="Z270">
            <v>0.25</v>
          </cell>
          <cell r="AB270" t="str">
            <v>Valid</v>
          </cell>
          <cell r="AC270">
            <v>3319.05</v>
          </cell>
          <cell r="AE270">
            <v>3319.05</v>
          </cell>
          <cell r="AH270">
            <v>2124.6</v>
          </cell>
          <cell r="AI270">
            <v>1194.45</v>
          </cell>
          <cell r="AO270" t="str">
            <v>Paid</v>
          </cell>
          <cell r="AP270" t="str">
            <v>Completed</v>
          </cell>
        </row>
        <row r="271">
          <cell r="A271" t="str">
            <v>ORD-2025-10270</v>
          </cell>
          <cell r="B271" t="str">
            <v>02/10/2025</v>
          </cell>
          <cell r="D271" t="str">
            <v>02/12/2025</v>
          </cell>
          <cell r="F271" t="str">
            <v>Valid</v>
          </cell>
          <cell r="H271" t="str">
            <v>Valid</v>
          </cell>
          <cell r="N271" t="str">
            <v>West</v>
          </cell>
          <cell r="V271" t="str">
            <v>Same Day</v>
          </cell>
          <cell r="Z271">
            <v>0</v>
          </cell>
          <cell r="AB271" t="str">
            <v>Valid</v>
          </cell>
          <cell r="AC271">
            <v>1925.86</v>
          </cell>
          <cell r="AE271">
            <v>1925.86</v>
          </cell>
          <cell r="AH271">
            <v>1321.89</v>
          </cell>
          <cell r="AI271">
            <v>603.97</v>
          </cell>
          <cell r="AO271" t="str">
            <v>Paid</v>
          </cell>
          <cell r="AP271" t="str">
            <v>Completed</v>
          </cell>
        </row>
        <row r="272">
          <cell r="A272" t="str">
            <v>ORD-2024-10271</v>
          </cell>
          <cell r="B272" t="str">
            <v>01/12/2024</v>
          </cell>
          <cell r="D272" t="str">
            <v>13-01-2024</v>
          </cell>
          <cell r="F272" t="str">
            <v>Valid</v>
          </cell>
          <cell r="H272" t="str">
            <v>Valid</v>
          </cell>
          <cell r="N272" t="str">
            <v>North</v>
          </cell>
          <cell r="V272" t="str">
            <v>Same Day</v>
          </cell>
          <cell r="Z272">
            <v>0</v>
          </cell>
          <cell r="AB272" t="str">
            <v>Valid</v>
          </cell>
          <cell r="AC272">
            <v>2482.3200000000002</v>
          </cell>
          <cell r="AE272">
            <v>2482.3200000000002</v>
          </cell>
          <cell r="AH272">
            <v>1520.21</v>
          </cell>
          <cell r="AI272">
            <v>962.11</v>
          </cell>
          <cell r="AO272" t="str">
            <v>Paid</v>
          </cell>
          <cell r="AP272" t="str">
            <v>Completed</v>
          </cell>
        </row>
        <row r="273">
          <cell r="A273" t="str">
            <v>ORD-2024-10272</v>
          </cell>
          <cell r="B273" t="str">
            <v>21 Dec 2024</v>
          </cell>
          <cell r="D273" t="str">
            <v>25 Dec 2024</v>
          </cell>
          <cell r="F273" t="str">
            <v>Valid</v>
          </cell>
          <cell r="H273" t="str">
            <v>Valid</v>
          </cell>
          <cell r="N273" t="str">
            <v>South</v>
          </cell>
          <cell r="V273" t="str">
            <v>Standard Class</v>
          </cell>
          <cell r="Z273">
            <v>0</v>
          </cell>
          <cell r="AB273" t="str">
            <v>Valid</v>
          </cell>
          <cell r="AC273">
            <v>11674.25</v>
          </cell>
          <cell r="AE273">
            <v>11674.25</v>
          </cell>
          <cell r="AH273">
            <v>9621.19</v>
          </cell>
          <cell r="AI273">
            <v>2053.06</v>
          </cell>
          <cell r="AO273" t="str">
            <v>Failed</v>
          </cell>
          <cell r="AP273" t="str">
            <v>Cancelled</v>
          </cell>
        </row>
        <row r="274">
          <cell r="A274" t="str">
            <v>ORD-2024-10273</v>
          </cell>
          <cell r="B274" t="str">
            <v>08/18/2024</v>
          </cell>
          <cell r="D274" t="str">
            <v>24 Aug 2024</v>
          </cell>
          <cell r="F274" t="str">
            <v>Valid</v>
          </cell>
          <cell r="H274" t="str">
            <v>Valid</v>
          </cell>
          <cell r="N274" t="str">
            <v>South</v>
          </cell>
          <cell r="V274" t="str">
            <v>First Class</v>
          </cell>
          <cell r="Z274">
            <v>0.1</v>
          </cell>
          <cell r="AB274" t="str">
            <v>Valid</v>
          </cell>
          <cell r="AC274">
            <v>3510.42</v>
          </cell>
          <cell r="AE274">
            <v>3510.4230000000002</v>
          </cell>
          <cell r="AH274">
            <v>2191.5</v>
          </cell>
          <cell r="AI274">
            <v>1213.48</v>
          </cell>
          <cell r="AO274" t="str">
            <v>Paid</v>
          </cell>
          <cell r="AP274" t="str">
            <v>Completed</v>
          </cell>
        </row>
        <row r="275">
          <cell r="A275" t="str">
            <v>ORD-2025-10274</v>
          </cell>
          <cell r="B275" t="str">
            <v>02/13/2025</v>
          </cell>
          <cell r="D275" t="str">
            <v>13 Feb 2025</v>
          </cell>
          <cell r="F275" t="str">
            <v>Valid</v>
          </cell>
          <cell r="H275" t="str">
            <v>Valid</v>
          </cell>
          <cell r="N275" t="str">
            <v>East</v>
          </cell>
          <cell r="V275" t="str">
            <v>Second Class</v>
          </cell>
          <cell r="Z275">
            <v>0</v>
          </cell>
          <cell r="AB275" t="str">
            <v>Valid</v>
          </cell>
          <cell r="AC275">
            <v>22694.67</v>
          </cell>
          <cell r="AE275">
            <v>22694.670000000002</v>
          </cell>
          <cell r="AH275">
            <v>15405.36</v>
          </cell>
          <cell r="AI275">
            <v>7289.31</v>
          </cell>
          <cell r="AO275" t="str">
            <v>Paid</v>
          </cell>
          <cell r="AP275" t="str">
            <v>Returned</v>
          </cell>
        </row>
        <row r="276">
          <cell r="A276" t="str">
            <v>ORD-2024-10275</v>
          </cell>
          <cell r="B276" t="str">
            <v>07-04-2024</v>
          </cell>
          <cell r="D276" t="str">
            <v>14-04-2024</v>
          </cell>
          <cell r="F276" t="str">
            <v>Valid</v>
          </cell>
          <cell r="H276" t="str">
            <v>Valid</v>
          </cell>
          <cell r="N276" t="str">
            <v>South</v>
          </cell>
          <cell r="V276" t="str">
            <v>Standard Class</v>
          </cell>
          <cell r="Z276">
            <v>0.15</v>
          </cell>
          <cell r="AB276" t="str">
            <v>Valid</v>
          </cell>
          <cell r="AC276">
            <v>21658.22</v>
          </cell>
          <cell r="AE276">
            <v>21658.221000000001</v>
          </cell>
          <cell r="AH276">
            <v>15490.69</v>
          </cell>
          <cell r="AI276">
            <v>6167.53</v>
          </cell>
          <cell r="AO276" t="str">
            <v>Failed</v>
          </cell>
          <cell r="AP276" t="str">
            <v>Returned</v>
          </cell>
        </row>
        <row r="277">
          <cell r="A277" t="str">
            <v>ORD-2024-10276</v>
          </cell>
          <cell r="B277" t="str">
            <v>2024-02-15</v>
          </cell>
          <cell r="D277" t="str">
            <v>02/22/2024</v>
          </cell>
          <cell r="F277" t="str">
            <v>Valid</v>
          </cell>
          <cell r="H277" t="str">
            <v>Valid</v>
          </cell>
          <cell r="N277" t="str">
            <v>East</v>
          </cell>
          <cell r="V277" t="str">
            <v>Same Day</v>
          </cell>
          <cell r="Z277">
            <v>0</v>
          </cell>
          <cell r="AB277" t="str">
            <v>Valid</v>
          </cell>
          <cell r="AC277">
            <v>980.51</v>
          </cell>
          <cell r="AE277">
            <v>980.51</v>
          </cell>
          <cell r="AH277">
            <v>660.92</v>
          </cell>
          <cell r="AI277">
            <v>319.58999999999997</v>
          </cell>
          <cell r="AO277" t="str">
            <v>Paid</v>
          </cell>
          <cell r="AP277" t="str">
            <v>Completed</v>
          </cell>
        </row>
        <row r="278">
          <cell r="A278" t="str">
            <v>ORD-2024-10277</v>
          </cell>
          <cell r="B278" t="str">
            <v>22-01-2024</v>
          </cell>
          <cell r="D278" t="str">
            <v>23-01-2024</v>
          </cell>
          <cell r="F278" t="str">
            <v>Valid</v>
          </cell>
          <cell r="H278" t="str">
            <v>Valid</v>
          </cell>
          <cell r="V278" t="str">
            <v>Second Class</v>
          </cell>
          <cell r="Z278">
            <v>-0.14000000000000001</v>
          </cell>
          <cell r="AB278" t="str">
            <v>Invalid - Negative Discount</v>
          </cell>
          <cell r="AC278">
            <v>15261.89</v>
          </cell>
          <cell r="AE278">
            <v>23198.065200000005</v>
          </cell>
          <cell r="AH278">
            <v>8413.5300000000007</v>
          </cell>
          <cell r="AI278">
            <v>6848.36</v>
          </cell>
          <cell r="AO278" t="str">
            <v>Paid</v>
          </cell>
          <cell r="AP278" t="str">
            <v>Completed</v>
          </cell>
        </row>
        <row r="279">
          <cell r="A279" t="str">
            <v>ORD-2025-10278</v>
          </cell>
          <cell r="B279" t="str">
            <v>04 Jun 2025</v>
          </cell>
          <cell r="D279" t="str">
            <v>04 Jun 2025</v>
          </cell>
          <cell r="F279" t="str">
            <v>Valid</v>
          </cell>
          <cell r="H279" t="str">
            <v>Valid</v>
          </cell>
          <cell r="N279" t="str">
            <v>North</v>
          </cell>
          <cell r="V279" t="str">
            <v>Second Class</v>
          </cell>
          <cell r="Z279">
            <v>0.15</v>
          </cell>
          <cell r="AB279" t="str">
            <v>Valid</v>
          </cell>
          <cell r="AC279">
            <v>2008.39</v>
          </cell>
          <cell r="AE279">
            <v>1813.6704999999999</v>
          </cell>
          <cell r="AH279">
            <v>1002.57</v>
          </cell>
          <cell r="AI279">
            <v>811.1</v>
          </cell>
          <cell r="AO279" t="str">
            <v>Pending</v>
          </cell>
          <cell r="AP279" t="str">
            <v>Cancelled</v>
          </cell>
        </row>
        <row r="280">
          <cell r="A280" t="str">
            <v>ORD-2025-10279</v>
          </cell>
          <cell r="B280" t="str">
            <v>07-03-2025</v>
          </cell>
          <cell r="D280" t="str">
            <v>2025-03-14</v>
          </cell>
          <cell r="F280" t="str">
            <v>Valid</v>
          </cell>
          <cell r="H280" t="str">
            <v>Valid</v>
          </cell>
          <cell r="N280" t="str">
            <v>North</v>
          </cell>
          <cell r="V280" t="str">
            <v>Same Day</v>
          </cell>
          <cell r="Z280">
            <v>0.05</v>
          </cell>
          <cell r="AB280" t="str">
            <v>Valid</v>
          </cell>
          <cell r="AC280">
            <v>3780.66</v>
          </cell>
          <cell r="AE280">
            <v>3780.6579999999999</v>
          </cell>
          <cell r="AH280">
            <v>2148.31</v>
          </cell>
          <cell r="AI280">
            <v>1632.35</v>
          </cell>
          <cell r="AO280" t="str">
            <v>Paid</v>
          </cell>
          <cell r="AP280" t="str">
            <v>Returned</v>
          </cell>
        </row>
        <row r="281">
          <cell r="A281" t="str">
            <v>ORD-2024-10280</v>
          </cell>
          <cell r="B281" t="str">
            <v>04/09/2024</v>
          </cell>
          <cell r="D281" t="str">
            <v>10 Apr 2024</v>
          </cell>
          <cell r="F281" t="str">
            <v>Valid</v>
          </cell>
          <cell r="H281" t="str">
            <v>Valid</v>
          </cell>
          <cell r="N281" t="str">
            <v>West</v>
          </cell>
          <cell r="V281" t="str">
            <v>First Class</v>
          </cell>
          <cell r="Z281">
            <v>0.05</v>
          </cell>
          <cell r="AB281" t="str">
            <v>Valid</v>
          </cell>
          <cell r="AC281">
            <v>4141.16</v>
          </cell>
          <cell r="AE281">
            <v>4141.1639999999998</v>
          </cell>
          <cell r="AH281">
            <v>2754.17</v>
          </cell>
          <cell r="AI281">
            <v>1386.99</v>
          </cell>
          <cell r="AO281" t="str">
            <v>Paid</v>
          </cell>
          <cell r="AP281" t="str">
            <v>Completed</v>
          </cell>
        </row>
        <row r="282">
          <cell r="A282" t="str">
            <v>ORD-2024-10281</v>
          </cell>
          <cell r="B282" t="str">
            <v>12/23/2024</v>
          </cell>
          <cell r="D282" t="str">
            <v>26-12-2024</v>
          </cell>
          <cell r="F282" t="str">
            <v>Valid</v>
          </cell>
          <cell r="H282" t="str">
            <v>Valid</v>
          </cell>
          <cell r="N282" t="str">
            <v>South</v>
          </cell>
          <cell r="V282" t="str">
            <v>Standard Class</v>
          </cell>
          <cell r="Z282">
            <v>0</v>
          </cell>
          <cell r="AB282" t="str">
            <v>Valid</v>
          </cell>
          <cell r="AC282">
            <v>8943.0300000000007</v>
          </cell>
          <cell r="AE282">
            <v>8943.0299999999988</v>
          </cell>
          <cell r="AH282">
            <v>5165.38</v>
          </cell>
          <cell r="AI282">
            <v>3777.65</v>
          </cell>
          <cell r="AO282" t="str">
            <v>Paid</v>
          </cell>
          <cell r="AP282" t="str">
            <v>Completed</v>
          </cell>
        </row>
        <row r="283">
          <cell r="A283" t="str">
            <v>ORD-2025-10282</v>
          </cell>
          <cell r="B283" t="str">
            <v>25-07-2025</v>
          </cell>
          <cell r="D283" t="str">
            <v>07/27/2025</v>
          </cell>
          <cell r="F283" t="str">
            <v>Valid</v>
          </cell>
          <cell r="H283" t="str">
            <v>Valid</v>
          </cell>
          <cell r="N283" t="str">
            <v>East</v>
          </cell>
          <cell r="V283" t="str">
            <v>Second Class</v>
          </cell>
          <cell r="Z283">
            <v>0.2</v>
          </cell>
          <cell r="AB283" t="str">
            <v>Valid</v>
          </cell>
          <cell r="AC283">
            <v>16504.22</v>
          </cell>
          <cell r="AE283">
            <v>16504.223999999998</v>
          </cell>
          <cell r="AH283">
            <v>11262.71</v>
          </cell>
          <cell r="AI283">
            <v>5241.51</v>
          </cell>
          <cell r="AO283" t="str">
            <v>Paid</v>
          </cell>
          <cell r="AP283" t="str">
            <v>Completed</v>
          </cell>
        </row>
        <row r="284">
          <cell r="A284" t="str">
            <v>ORD-2024-10283</v>
          </cell>
          <cell r="B284" t="str">
            <v>2024-10-01</v>
          </cell>
          <cell r="D284" t="str">
            <v>10/02/2024</v>
          </cell>
          <cell r="F284" t="str">
            <v>Valid</v>
          </cell>
          <cell r="H284" t="str">
            <v>Valid</v>
          </cell>
          <cell r="N284" t="str">
            <v>East</v>
          </cell>
          <cell r="V284" t="str">
            <v>Second Class</v>
          </cell>
          <cell r="Z284">
            <v>0</v>
          </cell>
          <cell r="AB284" t="str">
            <v>Valid</v>
          </cell>
          <cell r="AC284">
            <v>4596</v>
          </cell>
          <cell r="AE284">
            <v>4596</v>
          </cell>
          <cell r="AH284">
            <v>3220.33</v>
          </cell>
          <cell r="AI284">
            <v>1375.67</v>
          </cell>
          <cell r="AO284" t="str">
            <v>Paid</v>
          </cell>
          <cell r="AP284" t="str">
            <v>Completed</v>
          </cell>
        </row>
        <row r="285">
          <cell r="A285" t="str">
            <v>ORD-2025-10284</v>
          </cell>
          <cell r="B285" t="str">
            <v>03/13/2025</v>
          </cell>
          <cell r="D285" t="str">
            <v>20-03-2025</v>
          </cell>
          <cell r="F285" t="str">
            <v>Valid</v>
          </cell>
          <cell r="H285" t="str">
            <v>Valid</v>
          </cell>
          <cell r="N285" t="str">
            <v>West</v>
          </cell>
          <cell r="V285" t="str">
            <v>First Class</v>
          </cell>
          <cell r="Z285">
            <v>0</v>
          </cell>
          <cell r="AB285" t="str">
            <v>Valid</v>
          </cell>
          <cell r="AC285">
            <v>1814.01</v>
          </cell>
          <cell r="AE285">
            <v>1814.01</v>
          </cell>
          <cell r="AH285">
            <v>1033.47</v>
          </cell>
          <cell r="AI285">
            <v>780.54</v>
          </cell>
          <cell r="AO285" t="str">
            <v>Paid</v>
          </cell>
          <cell r="AP285" t="str">
            <v>Completed</v>
          </cell>
        </row>
        <row r="286">
          <cell r="A286" t="str">
            <v>ORD-2024-10285</v>
          </cell>
          <cell r="B286" t="str">
            <v>12/08/2024</v>
          </cell>
          <cell r="D286" t="str">
            <v>12/14/2024</v>
          </cell>
          <cell r="F286" t="str">
            <v>Valid</v>
          </cell>
          <cell r="H286" t="str">
            <v>Valid</v>
          </cell>
          <cell r="N286" t="str">
            <v>East</v>
          </cell>
          <cell r="V286" t="str">
            <v>Same Day</v>
          </cell>
          <cell r="Z286">
            <v>0</v>
          </cell>
          <cell r="AB286" t="str">
            <v>Valid</v>
          </cell>
          <cell r="AC286">
            <v>4730.76</v>
          </cell>
          <cell r="AE286">
            <v>4730.76</v>
          </cell>
          <cell r="AH286">
            <v>3139.73</v>
          </cell>
          <cell r="AI286">
            <v>1591.03</v>
          </cell>
          <cell r="AO286" t="str">
            <v>Paid</v>
          </cell>
          <cell r="AP286" t="str">
            <v>Returned</v>
          </cell>
        </row>
        <row r="287">
          <cell r="A287" t="str">
            <v>ORD-2025-10286</v>
          </cell>
          <cell r="B287" t="str">
            <v>2025-08-15</v>
          </cell>
          <cell r="D287" t="str">
            <v>2025-08-20</v>
          </cell>
          <cell r="F287" t="str">
            <v>Valid</v>
          </cell>
          <cell r="H287" t="str">
            <v>Valid</v>
          </cell>
          <cell r="N287" t="str">
            <v>North</v>
          </cell>
          <cell r="V287" t="str">
            <v>Standard Class</v>
          </cell>
          <cell r="Z287">
            <v>0</v>
          </cell>
          <cell r="AB287" t="str">
            <v>Valid</v>
          </cell>
          <cell r="AC287">
            <v>36735.93</v>
          </cell>
          <cell r="AE287">
            <v>36735.93</v>
          </cell>
          <cell r="AH287">
            <v>30820.84</v>
          </cell>
          <cell r="AI287">
            <v>5915.09</v>
          </cell>
          <cell r="AO287" t="str">
            <v>Paid</v>
          </cell>
          <cell r="AP287" t="str">
            <v>Completed</v>
          </cell>
        </row>
        <row r="288">
          <cell r="A288" t="str">
            <v>ORD-2024-10287</v>
          </cell>
          <cell r="B288" t="str">
            <v>28-02-2024</v>
          </cell>
          <cell r="D288" t="str">
            <v>03/02/2024</v>
          </cell>
          <cell r="F288" t="str">
            <v>Valid</v>
          </cell>
          <cell r="H288" t="str">
            <v>Valid</v>
          </cell>
          <cell r="N288" t="str">
            <v>North</v>
          </cell>
          <cell r="V288" t="str">
            <v>First Class</v>
          </cell>
          <cell r="Z288">
            <v>0.1</v>
          </cell>
          <cell r="AB288" t="str">
            <v>Valid</v>
          </cell>
          <cell r="AC288">
            <v>4421.34</v>
          </cell>
          <cell r="AE288">
            <v>4421.3399999999992</v>
          </cell>
          <cell r="AH288">
            <v>2489.98</v>
          </cell>
          <cell r="AI288">
            <v>1931.36</v>
          </cell>
          <cell r="AO288" t="str">
            <v>Pending</v>
          </cell>
          <cell r="AP288" t="str">
            <v>Returned</v>
          </cell>
        </row>
        <row r="289">
          <cell r="A289" t="str">
            <v>ORD-2024-10288</v>
          </cell>
          <cell r="B289" t="str">
            <v>09/05/2024</v>
          </cell>
          <cell r="D289" t="str">
            <v>07-09-2024</v>
          </cell>
          <cell r="F289" t="str">
            <v>Valid</v>
          </cell>
          <cell r="H289" t="str">
            <v>Valid</v>
          </cell>
          <cell r="N289" t="str">
            <v>South</v>
          </cell>
          <cell r="V289" t="str">
            <v>Standard Class</v>
          </cell>
          <cell r="Z289">
            <v>0.15</v>
          </cell>
          <cell r="AB289" t="str">
            <v>Valid</v>
          </cell>
          <cell r="AC289">
            <v>6516.93</v>
          </cell>
          <cell r="AE289">
            <v>6516.9329999999991</v>
          </cell>
          <cell r="AH289">
            <v>4511.54</v>
          </cell>
          <cell r="AI289">
            <v>2005.39</v>
          </cell>
          <cell r="AO289" t="str">
            <v>Paid</v>
          </cell>
          <cell r="AP289" t="str">
            <v>Cancelled</v>
          </cell>
        </row>
        <row r="290">
          <cell r="A290" t="str">
            <v>ORD-2024-10289</v>
          </cell>
          <cell r="B290" t="str">
            <v>2024-06-24</v>
          </cell>
          <cell r="D290" t="str">
            <v>2024-06-24</v>
          </cell>
          <cell r="F290" t="str">
            <v>Valid</v>
          </cell>
          <cell r="H290" t="str">
            <v>Valid</v>
          </cell>
          <cell r="N290" t="str">
            <v>East</v>
          </cell>
          <cell r="V290" t="str">
            <v>Same Day</v>
          </cell>
          <cell r="Z290">
            <v>0.15</v>
          </cell>
          <cell r="AB290" t="str">
            <v>Valid</v>
          </cell>
          <cell r="AC290">
            <v>7411.83</v>
          </cell>
          <cell r="AE290">
            <v>7411.829999999999</v>
          </cell>
          <cell r="AH290">
            <v>4904.63</v>
          </cell>
          <cell r="AI290">
            <v>2507.1999999999998</v>
          </cell>
          <cell r="AO290" t="str">
            <v>Paid</v>
          </cell>
          <cell r="AP290" t="str">
            <v>Completed</v>
          </cell>
        </row>
        <row r="291">
          <cell r="A291" t="str">
            <v>ORD-2025-10290</v>
          </cell>
          <cell r="B291" t="str">
            <v>19-06-2025</v>
          </cell>
          <cell r="D291" t="str">
            <v>06/27/2025</v>
          </cell>
          <cell r="F291" t="str">
            <v>Valid</v>
          </cell>
          <cell r="H291" t="str">
            <v>Valid</v>
          </cell>
          <cell r="N291" t="str">
            <v>South</v>
          </cell>
          <cell r="V291" t="str">
            <v>First Class</v>
          </cell>
          <cell r="Z291">
            <v>0.05</v>
          </cell>
          <cell r="AB291" t="str">
            <v>Valid</v>
          </cell>
          <cell r="AC291">
            <v>8258.7099999999991</v>
          </cell>
          <cell r="AE291">
            <v>8258.7109999999993</v>
          </cell>
          <cell r="AH291">
            <v>7018.97</v>
          </cell>
          <cell r="AI291">
            <v>1239.74</v>
          </cell>
          <cell r="AO291" t="str">
            <v>Paid</v>
          </cell>
          <cell r="AP291" t="str">
            <v>Completed</v>
          </cell>
        </row>
        <row r="292">
          <cell r="A292" t="str">
            <v>ORD-2025-10291</v>
          </cell>
          <cell r="B292" t="str">
            <v>22 Aug 2025</v>
          </cell>
          <cell r="D292" t="str">
            <v>2025-08-26</v>
          </cell>
          <cell r="F292" t="str">
            <v>Valid</v>
          </cell>
          <cell r="H292" t="str">
            <v>Valid</v>
          </cell>
          <cell r="N292" t="str">
            <v>East</v>
          </cell>
          <cell r="V292" t="str">
            <v>Standard Class</v>
          </cell>
          <cell r="Z292">
            <v>0.1</v>
          </cell>
          <cell r="AB292" t="str">
            <v>Valid</v>
          </cell>
          <cell r="AC292">
            <v>1658.37</v>
          </cell>
          <cell r="AE292">
            <v>1658.3670000000002</v>
          </cell>
          <cell r="AH292">
            <v>971.12</v>
          </cell>
          <cell r="AI292">
            <v>687.25</v>
          </cell>
          <cell r="AO292" t="str">
            <v>Paid</v>
          </cell>
          <cell r="AP292" t="str">
            <v>Completed</v>
          </cell>
        </row>
        <row r="293">
          <cell r="A293" t="str">
            <v>ORD-2024-10292</v>
          </cell>
          <cell r="B293" t="str">
            <v>04/05/2024</v>
          </cell>
          <cell r="D293" t="str">
            <v>2024-04-10</v>
          </cell>
          <cell r="F293" t="str">
            <v>Valid</v>
          </cell>
          <cell r="H293" t="str">
            <v>Valid</v>
          </cell>
          <cell r="N293" t="str">
            <v>North</v>
          </cell>
          <cell r="V293" t="str">
            <v>Standard Class</v>
          </cell>
          <cell r="Z293">
            <v>0.25</v>
          </cell>
          <cell r="AB293" t="str">
            <v>Valid</v>
          </cell>
          <cell r="AC293">
            <v>9685.98</v>
          </cell>
          <cell r="AE293">
            <v>9685.98</v>
          </cell>
          <cell r="AH293">
            <v>7730.04</v>
          </cell>
          <cell r="AI293">
            <v>1955.94</v>
          </cell>
          <cell r="AO293" t="str">
            <v>Paid</v>
          </cell>
          <cell r="AP293" t="str">
            <v>Completed</v>
          </cell>
        </row>
        <row r="294">
          <cell r="A294" t="str">
            <v>ORD-2025-10293</v>
          </cell>
          <cell r="B294" t="str">
            <v>28 Feb 2025</v>
          </cell>
          <cell r="D294" t="str">
            <v>03-03-2025</v>
          </cell>
          <cell r="F294" t="str">
            <v>Valid</v>
          </cell>
          <cell r="H294" t="str">
            <v>Valid</v>
          </cell>
          <cell r="N294" t="str">
            <v>North</v>
          </cell>
          <cell r="V294" t="str">
            <v>Same Day</v>
          </cell>
          <cell r="Z294">
            <v>0</v>
          </cell>
          <cell r="AB294" t="str">
            <v>Valid</v>
          </cell>
          <cell r="AC294">
            <v>33740.550000000003</v>
          </cell>
          <cell r="AE294">
            <v>33740.549999999996</v>
          </cell>
          <cell r="AH294">
            <v>24621.89</v>
          </cell>
          <cell r="AI294">
            <v>9118.66</v>
          </cell>
          <cell r="AO294" t="str">
            <v>Pending</v>
          </cell>
          <cell r="AP294" t="str">
            <v>Cancelled</v>
          </cell>
        </row>
        <row r="295">
          <cell r="A295" t="str">
            <v>ORD-2024-10294</v>
          </cell>
          <cell r="B295" t="str">
            <v>03/07/2024</v>
          </cell>
          <cell r="D295" t="str">
            <v>11-03-2024</v>
          </cell>
          <cell r="F295" t="str">
            <v>Valid</v>
          </cell>
          <cell r="H295" t="str">
            <v>Valid</v>
          </cell>
          <cell r="N295" t="str">
            <v>South</v>
          </cell>
          <cell r="V295" t="str">
            <v>First Class</v>
          </cell>
          <cell r="Z295">
            <v>0.65</v>
          </cell>
          <cell r="AB295" t="str">
            <v>Valid</v>
          </cell>
          <cell r="AC295">
            <v>8362.8700000000008</v>
          </cell>
          <cell r="AE295">
            <v>3081.0569999999998</v>
          </cell>
          <cell r="AH295">
            <v>6541.04</v>
          </cell>
          <cell r="AI295">
            <v>1821.83</v>
          </cell>
          <cell r="AO295" t="str">
            <v>Paid</v>
          </cell>
          <cell r="AP295" t="str">
            <v>Completed</v>
          </cell>
        </row>
        <row r="296">
          <cell r="A296" t="str">
            <v>ORD-2025-10295</v>
          </cell>
          <cell r="B296" t="str">
            <v>16 Jul 2025</v>
          </cell>
          <cell r="D296" t="str">
            <v>07/22/2025</v>
          </cell>
          <cell r="F296" t="str">
            <v>Valid</v>
          </cell>
          <cell r="H296" t="str">
            <v>Valid</v>
          </cell>
          <cell r="N296" t="str">
            <v>East</v>
          </cell>
          <cell r="V296" t="str">
            <v>Second Class</v>
          </cell>
          <cell r="Z296">
            <v>0.25</v>
          </cell>
          <cell r="AB296" t="str">
            <v>Valid</v>
          </cell>
          <cell r="AC296">
            <v>18716.990000000002</v>
          </cell>
          <cell r="AE296">
            <v>18716.985000000001</v>
          </cell>
          <cell r="AH296">
            <v>12282.43</v>
          </cell>
          <cell r="AI296">
            <v>6434.56</v>
          </cell>
          <cell r="AO296" t="str">
            <v>Paid</v>
          </cell>
          <cell r="AP296" t="str">
            <v>Returned</v>
          </cell>
        </row>
        <row r="297">
          <cell r="A297" t="str">
            <v>ORD-2025-10296</v>
          </cell>
          <cell r="B297" t="str">
            <v>25 Jun 2025</v>
          </cell>
          <cell r="D297" t="str">
            <v>28 Jun 2025</v>
          </cell>
          <cell r="F297" t="str">
            <v>Valid</v>
          </cell>
          <cell r="H297" t="str">
            <v>Valid</v>
          </cell>
          <cell r="N297" t="str">
            <v>East</v>
          </cell>
          <cell r="V297" t="str">
            <v>Standard Class</v>
          </cell>
          <cell r="Z297">
            <v>0.1</v>
          </cell>
          <cell r="AB297" t="str">
            <v>Valid</v>
          </cell>
          <cell r="AC297">
            <v>9385.34</v>
          </cell>
          <cell r="AE297">
            <v>9385.3350000000009</v>
          </cell>
          <cell r="AH297">
            <v>5828.54</v>
          </cell>
          <cell r="AI297">
            <v>3556.8</v>
          </cell>
          <cell r="AO297" t="str">
            <v>Paid</v>
          </cell>
          <cell r="AP297" t="str">
            <v>Completed</v>
          </cell>
        </row>
        <row r="298">
          <cell r="A298" t="str">
            <v>ORD-2025-10297</v>
          </cell>
          <cell r="B298" t="str">
            <v>24 May 2025</v>
          </cell>
          <cell r="D298" t="str">
            <v>05/26/2025</v>
          </cell>
          <cell r="F298" t="str">
            <v>Valid</v>
          </cell>
          <cell r="H298" t="str">
            <v>Valid</v>
          </cell>
          <cell r="N298" t="str">
            <v>North</v>
          </cell>
          <cell r="V298" t="str">
            <v>Same Day</v>
          </cell>
          <cell r="Z298">
            <v>0.15</v>
          </cell>
          <cell r="AB298" t="str">
            <v>Valid</v>
          </cell>
          <cell r="AC298">
            <v>17826.59</v>
          </cell>
          <cell r="AE298">
            <v>17826.591</v>
          </cell>
          <cell r="AH298">
            <v>10855.35</v>
          </cell>
          <cell r="AI298">
            <v>6971.24</v>
          </cell>
          <cell r="AO298" t="str">
            <v>Paid</v>
          </cell>
          <cell r="AP298" t="str">
            <v>Completed</v>
          </cell>
        </row>
        <row r="299">
          <cell r="A299" t="str">
            <v>ORD-2024-10298</v>
          </cell>
          <cell r="B299" t="str">
            <v>2024-10-29</v>
          </cell>
          <cell r="D299" t="str">
            <v>06-11-2024</v>
          </cell>
          <cell r="F299" t="str">
            <v>Valid</v>
          </cell>
          <cell r="H299" t="str">
            <v>Valid</v>
          </cell>
          <cell r="N299" t="str">
            <v>South</v>
          </cell>
          <cell r="V299" t="str">
            <v>Same Day</v>
          </cell>
          <cell r="Z299">
            <v>0.15</v>
          </cell>
          <cell r="AB299" t="str">
            <v>Valid</v>
          </cell>
          <cell r="AC299">
            <v>5966.59</v>
          </cell>
          <cell r="AE299">
            <v>5966.5920000000006</v>
          </cell>
          <cell r="AH299">
            <v>3994.72</v>
          </cell>
          <cell r="AI299">
            <v>1971.87</v>
          </cell>
          <cell r="AO299" t="str">
            <v>Paid</v>
          </cell>
          <cell r="AP299" t="str">
            <v>Completed</v>
          </cell>
        </row>
        <row r="300">
          <cell r="A300" t="str">
            <v>ORD-2025-10299</v>
          </cell>
          <cell r="B300" t="str">
            <v>23-01-2025</v>
          </cell>
          <cell r="D300" t="str">
            <v>2025-01-26</v>
          </cell>
          <cell r="F300" t="str">
            <v>Valid</v>
          </cell>
          <cell r="H300" t="str">
            <v>Valid</v>
          </cell>
          <cell r="N300" t="str">
            <v>South</v>
          </cell>
          <cell r="V300" t="str">
            <v>First Class</v>
          </cell>
          <cell r="Z300">
            <v>0.2</v>
          </cell>
          <cell r="AB300" t="str">
            <v>Valid</v>
          </cell>
          <cell r="AC300">
            <v>1951.54</v>
          </cell>
          <cell r="AE300">
            <v>1951.5440000000003</v>
          </cell>
          <cell r="AH300">
            <v>1609.95</v>
          </cell>
          <cell r="AI300">
            <v>341.59</v>
          </cell>
          <cell r="AO300" t="str">
            <v>Failed</v>
          </cell>
          <cell r="AP300" t="str">
            <v>Returned</v>
          </cell>
        </row>
        <row r="301">
          <cell r="A301" t="str">
            <v>ORD-2024-10300</v>
          </cell>
          <cell r="B301" t="str">
            <v>06-11-2024</v>
          </cell>
          <cell r="D301" t="str">
            <v>2024-11-12</v>
          </cell>
          <cell r="F301" t="str">
            <v>Valid</v>
          </cell>
          <cell r="H301" t="str">
            <v>Valid</v>
          </cell>
          <cell r="N301" t="str">
            <v>West</v>
          </cell>
          <cell r="V301" t="str">
            <v>Standard Class</v>
          </cell>
          <cell r="Z301">
            <v>0.1</v>
          </cell>
          <cell r="AB301" t="str">
            <v>Valid</v>
          </cell>
          <cell r="AC301">
            <v>10830.02</v>
          </cell>
          <cell r="AE301">
            <v>10830.015000000001</v>
          </cell>
          <cell r="AH301">
            <v>7055.31</v>
          </cell>
          <cell r="AI301">
            <v>3774.71</v>
          </cell>
          <cell r="AO301" t="str">
            <v>Paid</v>
          </cell>
          <cell r="AP301" t="str">
            <v>Completed</v>
          </cell>
        </row>
        <row r="302">
          <cell r="A302" t="str">
            <v>ORD-2024-10301</v>
          </cell>
          <cell r="B302" t="str">
            <v>15-04-2024</v>
          </cell>
          <cell r="D302" t="str">
            <v>04/23/2024</v>
          </cell>
          <cell r="F302" t="str">
            <v>Valid</v>
          </cell>
          <cell r="H302" t="str">
            <v>Valid</v>
          </cell>
          <cell r="N302" t="str">
            <v>North</v>
          </cell>
          <cell r="V302" t="str">
            <v>Second Class</v>
          </cell>
          <cell r="Z302">
            <v>0.1</v>
          </cell>
          <cell r="AB302" t="str">
            <v>Valid</v>
          </cell>
          <cell r="AC302">
            <v>31539.29</v>
          </cell>
          <cell r="AE302">
            <v>31539.293999999998</v>
          </cell>
          <cell r="AH302">
            <v>22100.14</v>
          </cell>
          <cell r="AI302">
            <v>9439.15</v>
          </cell>
          <cell r="AO302" t="str">
            <v>Paid</v>
          </cell>
          <cell r="AP302" t="str">
            <v>Completed</v>
          </cell>
        </row>
        <row r="303">
          <cell r="A303" t="str">
            <v>ORD-2025-10302</v>
          </cell>
          <cell r="B303" t="str">
            <v>28 May 2025</v>
          </cell>
          <cell r="D303" t="str">
            <v>01-06-2025</v>
          </cell>
          <cell r="F303" t="str">
            <v>Valid</v>
          </cell>
          <cell r="H303" t="str">
            <v>Valid</v>
          </cell>
          <cell r="N303" t="str">
            <v>East</v>
          </cell>
          <cell r="V303" t="str">
            <v>Same Day</v>
          </cell>
          <cell r="Z303">
            <v>0.05</v>
          </cell>
          <cell r="AB303" t="str">
            <v>Valid</v>
          </cell>
          <cell r="AC303">
            <v>6285.62</v>
          </cell>
          <cell r="AE303">
            <v>6285.6179999999995</v>
          </cell>
          <cell r="AH303">
            <v>3705.38</v>
          </cell>
          <cell r="AI303">
            <v>2580.2399999999998</v>
          </cell>
          <cell r="AO303" t="str">
            <v>Paid</v>
          </cell>
          <cell r="AP303" t="str">
            <v>Completed</v>
          </cell>
        </row>
        <row r="304">
          <cell r="A304" t="str">
            <v>ORD-2025-10303</v>
          </cell>
          <cell r="B304" t="str">
            <v>04-06-2025</v>
          </cell>
          <cell r="D304" t="str">
            <v>2025-06-12</v>
          </cell>
          <cell r="F304" t="str">
            <v>Valid</v>
          </cell>
          <cell r="H304" t="str">
            <v>Valid</v>
          </cell>
          <cell r="N304" t="str">
            <v>West</v>
          </cell>
          <cell r="V304" t="str">
            <v>Same Day</v>
          </cell>
          <cell r="Z304">
            <v>0.25</v>
          </cell>
          <cell r="AB304" t="str">
            <v>Valid</v>
          </cell>
          <cell r="AC304">
            <v>4054.92</v>
          </cell>
          <cell r="AE304">
            <v>4054.92</v>
          </cell>
          <cell r="AH304">
            <v>2424.83</v>
          </cell>
          <cell r="AI304">
            <v>1630.09</v>
          </cell>
          <cell r="AO304" t="str">
            <v>Paid</v>
          </cell>
          <cell r="AP304" t="str">
            <v>Completed</v>
          </cell>
        </row>
        <row r="305">
          <cell r="A305" t="str">
            <v>ORD-2024-10304</v>
          </cell>
          <cell r="B305" t="str">
            <v>23 Jun 2024</v>
          </cell>
          <cell r="D305" t="str">
            <v>28-06-2024</v>
          </cell>
          <cell r="F305" t="str">
            <v>Valid</v>
          </cell>
          <cell r="H305" t="str">
            <v>Valid</v>
          </cell>
          <cell r="N305" t="str">
            <v>West</v>
          </cell>
          <cell r="V305" t="str">
            <v>Standard Class</v>
          </cell>
          <cell r="Z305">
            <v>0.1</v>
          </cell>
          <cell r="AB305" t="str">
            <v>Valid</v>
          </cell>
          <cell r="AC305">
            <v>2363.65</v>
          </cell>
          <cell r="AE305">
            <v>2363.652</v>
          </cell>
          <cell r="AH305">
            <v>1876.1</v>
          </cell>
          <cell r="AI305">
            <v>487.55</v>
          </cell>
          <cell r="AO305" t="str">
            <v>Pending</v>
          </cell>
          <cell r="AP305" t="str">
            <v>Returned</v>
          </cell>
        </row>
        <row r="306">
          <cell r="A306" t="str">
            <v>ORD-2024-10305</v>
          </cell>
          <cell r="B306" t="str">
            <v>03/06/2024</v>
          </cell>
          <cell r="D306" t="str">
            <v>2024-03-13</v>
          </cell>
          <cell r="F306" t="str">
            <v>Valid</v>
          </cell>
          <cell r="H306" t="str">
            <v>Valid</v>
          </cell>
          <cell r="N306" t="str">
            <v>North</v>
          </cell>
          <cell r="V306" t="str">
            <v>Standard Class</v>
          </cell>
          <cell r="Z306">
            <v>0.1</v>
          </cell>
          <cell r="AB306" t="str">
            <v>Valid</v>
          </cell>
          <cell r="AC306">
            <v>12976.47</v>
          </cell>
          <cell r="AE306">
            <v>12976.470000000001</v>
          </cell>
          <cell r="AH306">
            <v>10019.98</v>
          </cell>
          <cell r="AI306">
            <v>2956.49</v>
          </cell>
          <cell r="AO306" t="str">
            <v>Paid</v>
          </cell>
          <cell r="AP306" t="str">
            <v>Completed</v>
          </cell>
        </row>
        <row r="307">
          <cell r="A307" t="str">
            <v>ORD-2024-10306</v>
          </cell>
          <cell r="B307" t="str">
            <v>01 May 2024</v>
          </cell>
          <cell r="D307" t="str">
            <v>05/02/2024</v>
          </cell>
          <cell r="F307" t="str">
            <v>Valid</v>
          </cell>
          <cell r="H307" t="str">
            <v>Valid</v>
          </cell>
          <cell r="N307" t="str">
            <v>East</v>
          </cell>
          <cell r="V307" t="str">
            <v>First Class</v>
          </cell>
          <cell r="Z307">
            <v>0.55000000000000004</v>
          </cell>
          <cell r="AB307" t="str">
            <v>Valid</v>
          </cell>
          <cell r="AC307">
            <v>13299.39</v>
          </cell>
          <cell r="AE307">
            <v>7480.9080000000004</v>
          </cell>
          <cell r="AH307">
            <v>9851.91</v>
          </cell>
          <cell r="AI307">
            <v>3447.48</v>
          </cell>
          <cell r="AO307" t="str">
            <v>Paid</v>
          </cell>
          <cell r="AP307" t="str">
            <v>Cancelled</v>
          </cell>
        </row>
        <row r="308">
          <cell r="A308" t="str">
            <v>ORD-2025-10307</v>
          </cell>
          <cell r="B308" t="str">
            <v>20 Feb 2025</v>
          </cell>
          <cell r="D308" t="str">
            <v>2025-02-23</v>
          </cell>
          <cell r="F308" t="str">
            <v>Valid</v>
          </cell>
          <cell r="H308" t="str">
            <v>Valid</v>
          </cell>
          <cell r="N308" t="str">
            <v>North</v>
          </cell>
          <cell r="V308" t="str">
            <v>Second Class</v>
          </cell>
          <cell r="Z308">
            <v>0</v>
          </cell>
          <cell r="AB308" t="str">
            <v>Valid</v>
          </cell>
          <cell r="AC308">
            <v>14692.44</v>
          </cell>
          <cell r="AE308">
            <v>14692.44</v>
          </cell>
          <cell r="AH308">
            <v>10082.19</v>
          </cell>
          <cell r="AI308">
            <v>4610.25</v>
          </cell>
          <cell r="AO308" t="str">
            <v>Paid</v>
          </cell>
          <cell r="AP308" t="str">
            <v>Completed</v>
          </cell>
        </row>
        <row r="309">
          <cell r="A309" t="str">
            <v>ORD-2025-10308</v>
          </cell>
          <cell r="B309" t="str">
            <v>2025-07-12</v>
          </cell>
          <cell r="D309" t="str">
            <v>19 Jul 2025</v>
          </cell>
          <cell r="F309" t="str">
            <v>Valid</v>
          </cell>
          <cell r="H309" t="str">
            <v>Valid</v>
          </cell>
          <cell r="N309" t="str">
            <v>North</v>
          </cell>
          <cell r="V309" t="str">
            <v>First Class</v>
          </cell>
          <cell r="Z309">
            <v>0.2</v>
          </cell>
          <cell r="AB309" t="str">
            <v>Valid</v>
          </cell>
          <cell r="AC309">
            <v>29469.89</v>
          </cell>
          <cell r="AE309">
            <v>29469.888000000003</v>
          </cell>
          <cell r="AH309">
            <v>18935.509999999998</v>
          </cell>
          <cell r="AI309">
            <v>10534.38</v>
          </cell>
          <cell r="AO309" t="str">
            <v>PENDING</v>
          </cell>
          <cell r="AP309" t="str">
            <v>Cancelled</v>
          </cell>
        </row>
        <row r="310">
          <cell r="A310" t="str">
            <v>ORD-2025-10309</v>
          </cell>
          <cell r="B310" t="str">
            <v>2025-06-13</v>
          </cell>
          <cell r="D310" t="str">
            <v>2025-06-19</v>
          </cell>
          <cell r="F310" t="str">
            <v>Valid</v>
          </cell>
          <cell r="H310" t="str">
            <v>Valid</v>
          </cell>
          <cell r="N310" t="str">
            <v>North</v>
          </cell>
          <cell r="V310" t="str">
            <v>First Class</v>
          </cell>
          <cell r="Z310">
            <v>0.2</v>
          </cell>
          <cell r="AB310" t="str">
            <v>Valid</v>
          </cell>
          <cell r="AC310">
            <v>2341.02</v>
          </cell>
          <cell r="AE310">
            <v>2341.0240000000003</v>
          </cell>
          <cell r="AH310">
            <v>1565.49</v>
          </cell>
          <cell r="AI310">
            <v>775.53</v>
          </cell>
          <cell r="AO310" t="str">
            <v>Paid</v>
          </cell>
          <cell r="AP310" t="str">
            <v>Completed</v>
          </cell>
        </row>
        <row r="311">
          <cell r="A311" t="str">
            <v>ORD-2024-10310</v>
          </cell>
          <cell r="B311" t="str">
            <v>07/20/2024</v>
          </cell>
          <cell r="D311" t="str">
            <v>2024-07-22</v>
          </cell>
          <cell r="F311" t="str">
            <v>Valid</v>
          </cell>
          <cell r="H311" t="str">
            <v>Valid</v>
          </cell>
          <cell r="N311" t="str">
            <v>South</v>
          </cell>
          <cell r="V311" t="str">
            <v>First Class</v>
          </cell>
          <cell r="Z311">
            <v>0.1</v>
          </cell>
          <cell r="AB311" t="str">
            <v>Valid</v>
          </cell>
          <cell r="AC311">
            <v>12982.6</v>
          </cell>
          <cell r="AE311">
            <v>12982.599</v>
          </cell>
          <cell r="AH311">
            <v>7246.36</v>
          </cell>
          <cell r="AI311">
            <v>5736.24</v>
          </cell>
          <cell r="AO311" t="str">
            <v>Paid</v>
          </cell>
          <cell r="AP311" t="str">
            <v>Cancelled</v>
          </cell>
        </row>
        <row r="312">
          <cell r="A312" t="str">
            <v>ORD-2024-10311</v>
          </cell>
          <cell r="B312" t="str">
            <v>04-07-2024</v>
          </cell>
          <cell r="D312" t="str">
            <v>08-07-2024</v>
          </cell>
          <cell r="F312" t="str">
            <v>Valid</v>
          </cell>
          <cell r="H312" t="str">
            <v>Valid</v>
          </cell>
          <cell r="N312" t="str">
            <v>South</v>
          </cell>
          <cell r="V312" t="str">
            <v>First Class</v>
          </cell>
          <cell r="Z312">
            <v>0</v>
          </cell>
          <cell r="AB312" t="str">
            <v>Valid</v>
          </cell>
          <cell r="AC312">
            <v>16274</v>
          </cell>
          <cell r="AE312">
            <v>16274</v>
          </cell>
          <cell r="AH312">
            <v>9424.25</v>
          </cell>
          <cell r="AI312">
            <v>6849.75</v>
          </cell>
          <cell r="AO312" t="str">
            <v>Paid</v>
          </cell>
          <cell r="AP312" t="str">
            <v>Completed</v>
          </cell>
        </row>
        <row r="313">
          <cell r="A313" t="str">
            <v>ORD-2024-10312</v>
          </cell>
          <cell r="B313" t="str">
            <v>27-04-2024</v>
          </cell>
          <cell r="D313" t="str">
            <v>02-05-2024</v>
          </cell>
          <cell r="F313" t="str">
            <v>Valid</v>
          </cell>
          <cell r="H313" t="str">
            <v>Valid</v>
          </cell>
          <cell r="N313" t="str">
            <v>South</v>
          </cell>
          <cell r="V313" t="str">
            <v>Second Class</v>
          </cell>
          <cell r="Z313">
            <v>0.1</v>
          </cell>
          <cell r="AB313" t="str">
            <v>Valid</v>
          </cell>
          <cell r="AC313">
            <v>2493.1799999999998</v>
          </cell>
          <cell r="AE313">
            <v>2493.1799999999998</v>
          </cell>
          <cell r="AH313">
            <v>1764</v>
          </cell>
          <cell r="AI313">
            <v>729.18</v>
          </cell>
          <cell r="AO313" t="str">
            <v>Paid</v>
          </cell>
          <cell r="AP313" t="str">
            <v>Completed</v>
          </cell>
        </row>
        <row r="314">
          <cell r="A314" t="str">
            <v>ORD-2024-10313</v>
          </cell>
          <cell r="B314" t="str">
            <v>07/31/2024</v>
          </cell>
          <cell r="D314" t="str">
            <v>04-08-2024</v>
          </cell>
          <cell r="F314" t="str">
            <v>Valid</v>
          </cell>
          <cell r="H314" t="str">
            <v>Valid</v>
          </cell>
          <cell r="N314" t="str">
            <v>East</v>
          </cell>
          <cell r="V314" t="str">
            <v>Standard Class</v>
          </cell>
          <cell r="AB314" t="str">
            <v>Valid</v>
          </cell>
          <cell r="AC314">
            <v>15688.44</v>
          </cell>
          <cell r="AE314">
            <v>20917.919999999998</v>
          </cell>
          <cell r="AH314">
            <v>10047.33</v>
          </cell>
          <cell r="AI314">
            <v>5641.11</v>
          </cell>
          <cell r="AO314" t="str">
            <v>Paid</v>
          </cell>
          <cell r="AP314" t="str">
            <v>Cancelled</v>
          </cell>
        </row>
        <row r="315">
          <cell r="A315" t="str">
            <v>ORD-2025-10314</v>
          </cell>
          <cell r="B315" t="str">
            <v>2025-05-30</v>
          </cell>
          <cell r="D315" t="str">
            <v>31-05-2025</v>
          </cell>
          <cell r="F315" t="str">
            <v>Valid</v>
          </cell>
          <cell r="H315" t="str">
            <v>Valid</v>
          </cell>
          <cell r="N315" t="str">
            <v>North</v>
          </cell>
          <cell r="V315" t="str">
            <v>First Class</v>
          </cell>
          <cell r="Z315">
            <v>0.25</v>
          </cell>
          <cell r="AB315" t="str">
            <v>Valid</v>
          </cell>
          <cell r="AC315">
            <v>12488.58</v>
          </cell>
          <cell r="AE315">
            <v>12488.579999999998</v>
          </cell>
          <cell r="AH315">
            <v>10717.4</v>
          </cell>
          <cell r="AI315">
            <v>1771.18</v>
          </cell>
          <cell r="AO315" t="str">
            <v>Refunded</v>
          </cell>
          <cell r="AP315" t="str">
            <v>Cancelled</v>
          </cell>
        </row>
        <row r="316">
          <cell r="A316" t="str">
            <v>ORD-2025-10315</v>
          </cell>
          <cell r="B316" t="str">
            <v>05/18/2025</v>
          </cell>
          <cell r="D316" t="str">
            <v>20 May 2025</v>
          </cell>
          <cell r="F316" t="str">
            <v>Valid</v>
          </cell>
          <cell r="H316" t="str">
            <v>Valid</v>
          </cell>
          <cell r="N316" t="str">
            <v>West</v>
          </cell>
          <cell r="V316" t="str">
            <v>Standard Class</v>
          </cell>
          <cell r="Z316">
            <v>0.15</v>
          </cell>
          <cell r="AB316" t="str">
            <v>Valid</v>
          </cell>
          <cell r="AC316">
            <v>6485.36</v>
          </cell>
          <cell r="AE316">
            <v>6485.3639999999996</v>
          </cell>
          <cell r="AH316">
            <v>5376.17</v>
          </cell>
          <cell r="AI316">
            <v>1109.19</v>
          </cell>
          <cell r="AO316" t="str">
            <v>Failed</v>
          </cell>
          <cell r="AP316" t="str">
            <v>Returned</v>
          </cell>
        </row>
        <row r="317">
          <cell r="A317" t="str">
            <v>ORD-2024-10316</v>
          </cell>
          <cell r="B317" t="str">
            <v>2024-07-02</v>
          </cell>
          <cell r="D317" t="str">
            <v>2024-07-08</v>
          </cell>
          <cell r="F317" t="str">
            <v>Valid</v>
          </cell>
          <cell r="H317" t="str">
            <v>Valid</v>
          </cell>
          <cell r="N317" t="str">
            <v>North</v>
          </cell>
          <cell r="V317" t="str">
            <v>Standard Class</v>
          </cell>
          <cell r="Z317">
            <v>0.05</v>
          </cell>
          <cell r="AB317" t="str">
            <v>Valid</v>
          </cell>
          <cell r="AC317">
            <v>29500.92</v>
          </cell>
          <cell r="AE317">
            <v>29500.920000000002</v>
          </cell>
          <cell r="AH317">
            <v>17989.68</v>
          </cell>
          <cell r="AI317">
            <v>11511.24</v>
          </cell>
          <cell r="AO317" t="str">
            <v>Pending</v>
          </cell>
          <cell r="AP317" t="str">
            <v>Returned</v>
          </cell>
        </row>
        <row r="318">
          <cell r="A318" t="str">
            <v>ORD-2024-10317</v>
          </cell>
          <cell r="B318" t="str">
            <v>16-02-2024</v>
          </cell>
          <cell r="D318" t="str">
            <v>02/18/2024</v>
          </cell>
          <cell r="F318" t="str">
            <v>Valid</v>
          </cell>
          <cell r="H318" t="str">
            <v>Valid</v>
          </cell>
          <cell r="N318" t="str">
            <v>North</v>
          </cell>
          <cell r="V318" t="str">
            <v>Standard Class</v>
          </cell>
          <cell r="Z318">
            <v>0.2</v>
          </cell>
          <cell r="AB318" t="str">
            <v>Valid</v>
          </cell>
          <cell r="AC318">
            <v>3116.05</v>
          </cell>
          <cell r="AE318">
            <v>3116.0480000000002</v>
          </cell>
          <cell r="AH318">
            <v>1956.63</v>
          </cell>
          <cell r="AI318">
            <v>1159.42</v>
          </cell>
          <cell r="AO318" t="str">
            <v>Paid</v>
          </cell>
          <cell r="AP318" t="str">
            <v>Cancelled</v>
          </cell>
        </row>
        <row r="319">
          <cell r="A319" t="str">
            <v>ORD-2025-10318</v>
          </cell>
          <cell r="B319" t="str">
            <v>29-08-2025</v>
          </cell>
          <cell r="D319" t="str">
            <v>04 Sep 2025</v>
          </cell>
          <cell r="F319" t="str">
            <v>Valid</v>
          </cell>
          <cell r="H319" t="str">
            <v>Valid</v>
          </cell>
          <cell r="N319" t="str">
            <v>South</v>
          </cell>
          <cell r="V319" t="str">
            <v>First Class</v>
          </cell>
          <cell r="Z319">
            <v>0.15</v>
          </cell>
          <cell r="AB319" t="str">
            <v>Valid</v>
          </cell>
          <cell r="AC319">
            <v>22926.82</v>
          </cell>
          <cell r="AE319">
            <v>22926.820499999998</v>
          </cell>
          <cell r="AH319">
            <v>14621.59</v>
          </cell>
          <cell r="AI319">
            <v>8305.23</v>
          </cell>
          <cell r="AO319" t="str">
            <v>Paid</v>
          </cell>
          <cell r="AP319" t="str">
            <v>Completed</v>
          </cell>
        </row>
        <row r="320">
          <cell r="A320" t="str">
            <v>ORD-2024-10319</v>
          </cell>
          <cell r="B320" t="str">
            <v>25 Apr 2024</v>
          </cell>
          <cell r="D320" t="str">
            <v>30-04-2024</v>
          </cell>
          <cell r="F320" t="str">
            <v>Valid</v>
          </cell>
          <cell r="H320" t="str">
            <v>Valid</v>
          </cell>
          <cell r="N320" t="str">
            <v>South</v>
          </cell>
          <cell r="V320" t="str">
            <v>Standard Class</v>
          </cell>
          <cell r="Z320">
            <v>0.1</v>
          </cell>
          <cell r="AB320" t="str">
            <v>Valid</v>
          </cell>
          <cell r="AC320">
            <v>11203.54</v>
          </cell>
          <cell r="AE320">
            <v>11203.542000000001</v>
          </cell>
          <cell r="AH320">
            <v>8452.93</v>
          </cell>
          <cell r="AI320">
            <v>2750.61</v>
          </cell>
          <cell r="AO320" t="str">
            <v>Paid</v>
          </cell>
          <cell r="AP320" t="str">
            <v>Completed</v>
          </cell>
        </row>
        <row r="321">
          <cell r="A321" t="str">
            <v>ORD-2024-10320</v>
          </cell>
          <cell r="B321" t="str">
            <v>21 Aug 2024</v>
          </cell>
          <cell r="D321" t="str">
            <v>08/25/2024</v>
          </cell>
          <cell r="F321" t="str">
            <v>Valid</v>
          </cell>
          <cell r="H321" t="str">
            <v>Valid</v>
          </cell>
          <cell r="N321" t="str">
            <v>West</v>
          </cell>
          <cell r="V321" t="str">
            <v>First Class</v>
          </cell>
          <cell r="Z321">
            <v>0</v>
          </cell>
          <cell r="AB321" t="str">
            <v>Valid</v>
          </cell>
          <cell r="AC321">
            <v>270.27999999999997</v>
          </cell>
          <cell r="AE321">
            <v>270.27999999999997</v>
          </cell>
          <cell r="AH321">
            <v>156.34</v>
          </cell>
          <cell r="AI321">
            <v>113.94</v>
          </cell>
          <cell r="AO321" t="str">
            <v>Paid</v>
          </cell>
          <cell r="AP321" t="str">
            <v>Completed</v>
          </cell>
        </row>
        <row r="322">
          <cell r="A322" t="str">
            <v>ORD-2024-10321</v>
          </cell>
          <cell r="B322" t="str">
            <v>12/04/2024</v>
          </cell>
          <cell r="D322" t="str">
            <v>12/06/2024</v>
          </cell>
          <cell r="F322" t="str">
            <v>Valid</v>
          </cell>
          <cell r="H322" t="str">
            <v>Valid</v>
          </cell>
          <cell r="N322" t="str">
            <v>East</v>
          </cell>
          <cell r="V322" t="str">
            <v>Second Class</v>
          </cell>
          <cell r="Z322" t="str">
            <v>70%</v>
          </cell>
          <cell r="AB322" t="str">
            <v>Invalid - Discount Above Limit</v>
          </cell>
          <cell r="AC322">
            <v>2628.42</v>
          </cell>
          <cell r="AE322">
            <v>788.52600000000018</v>
          </cell>
          <cell r="AH322">
            <v>1541.54</v>
          </cell>
          <cell r="AI322">
            <v>1086.8800000000001</v>
          </cell>
          <cell r="AO322" t="str">
            <v>Pending</v>
          </cell>
          <cell r="AP322" t="str">
            <v>Returned</v>
          </cell>
        </row>
        <row r="323">
          <cell r="A323" t="str">
            <v>ORD-2024-10322</v>
          </cell>
          <cell r="B323" t="str">
            <v>06/23/2024</v>
          </cell>
          <cell r="D323" t="str">
            <v>30 Jun 2024</v>
          </cell>
          <cell r="F323" t="str">
            <v>Valid</v>
          </cell>
          <cell r="H323" t="str">
            <v>Valid</v>
          </cell>
          <cell r="N323" t="str">
            <v>West</v>
          </cell>
          <cell r="V323" t="str">
            <v>Same Day</v>
          </cell>
          <cell r="Z323">
            <v>0</v>
          </cell>
          <cell r="AB323" t="str">
            <v>Valid</v>
          </cell>
          <cell r="AC323">
            <v>2699.28</v>
          </cell>
          <cell r="AE323">
            <v>2699.28</v>
          </cell>
          <cell r="AH323">
            <v>1759.76</v>
          </cell>
          <cell r="AI323">
            <v>939.52</v>
          </cell>
          <cell r="AO323" t="str">
            <v>Failed</v>
          </cell>
          <cell r="AP323" t="str">
            <v>Cancelled</v>
          </cell>
        </row>
        <row r="324">
          <cell r="A324" t="str">
            <v>ORD-2024-10323</v>
          </cell>
          <cell r="B324" t="str">
            <v>2024-11-12</v>
          </cell>
          <cell r="D324" t="str">
            <v>12-11-2024</v>
          </cell>
          <cell r="F324" t="str">
            <v>Valid</v>
          </cell>
          <cell r="H324" t="str">
            <v>Valid</v>
          </cell>
          <cell r="N324" t="str">
            <v>North</v>
          </cell>
          <cell r="V324" t="str">
            <v>Second Class</v>
          </cell>
          <cell r="Z324">
            <v>0.15</v>
          </cell>
          <cell r="AB324" t="str">
            <v>Valid</v>
          </cell>
          <cell r="AC324">
            <v>6984.35</v>
          </cell>
          <cell r="AE324">
            <v>6984.3480000000009</v>
          </cell>
          <cell r="AH324">
            <v>4023.63</v>
          </cell>
          <cell r="AI324">
            <v>2960.72</v>
          </cell>
          <cell r="AO324" t="str">
            <v>Paid</v>
          </cell>
          <cell r="AP324" t="str">
            <v>Completed</v>
          </cell>
        </row>
        <row r="325">
          <cell r="A325" t="str">
            <v>ORD-2024-10324</v>
          </cell>
          <cell r="B325" t="str">
            <v>25-02-2024</v>
          </cell>
          <cell r="D325" t="str">
            <v>29 Feb 2024</v>
          </cell>
          <cell r="F325" t="str">
            <v>Valid</v>
          </cell>
          <cell r="H325" t="str">
            <v>Valid</v>
          </cell>
          <cell r="N325" t="str">
            <v>West</v>
          </cell>
          <cell r="V325" t="str">
            <v>Standard Class</v>
          </cell>
          <cell r="Z325">
            <v>0.15</v>
          </cell>
          <cell r="AB325" t="str">
            <v>Valid</v>
          </cell>
          <cell r="AC325">
            <v>10185.67</v>
          </cell>
          <cell r="AE325">
            <v>10185.669</v>
          </cell>
          <cell r="AH325">
            <v>6479.31</v>
          </cell>
          <cell r="AI325">
            <v>3706.36</v>
          </cell>
          <cell r="AO325" t="str">
            <v>Paid</v>
          </cell>
          <cell r="AP325" t="str">
            <v>Completed</v>
          </cell>
        </row>
        <row r="326">
          <cell r="A326" t="str">
            <v>ORD-2025-10325</v>
          </cell>
          <cell r="B326" t="str">
            <v>31 Jul 2025</v>
          </cell>
          <cell r="D326" t="str">
            <v>02-08-2025</v>
          </cell>
          <cell r="F326" t="str">
            <v>Valid</v>
          </cell>
          <cell r="H326" t="str">
            <v>Valid</v>
          </cell>
          <cell r="N326" t="str">
            <v>South</v>
          </cell>
          <cell r="V326" t="str">
            <v>Same Day</v>
          </cell>
          <cell r="Z326">
            <v>0.15</v>
          </cell>
          <cell r="AB326" t="str">
            <v>Valid</v>
          </cell>
          <cell r="AC326">
            <v>1655.7</v>
          </cell>
          <cell r="AE326">
            <v>1655.6980000000001</v>
          </cell>
          <cell r="AH326">
            <v>1354.8</v>
          </cell>
          <cell r="AI326">
            <v>300.89999999999998</v>
          </cell>
          <cell r="AO326" t="str">
            <v>Paid</v>
          </cell>
          <cell r="AP326" t="str">
            <v>Returned</v>
          </cell>
        </row>
        <row r="327">
          <cell r="A327" t="str">
            <v>ORD-2025-10326</v>
          </cell>
          <cell r="B327" t="str">
            <v>09/16/2025</v>
          </cell>
          <cell r="D327" t="str">
            <v>2025-09-22</v>
          </cell>
          <cell r="F327" t="str">
            <v>Valid</v>
          </cell>
          <cell r="H327" t="str">
            <v>Valid</v>
          </cell>
          <cell r="N327" t="str">
            <v>East</v>
          </cell>
          <cell r="V327" t="str">
            <v>Second Class</v>
          </cell>
          <cell r="Z327">
            <v>0.15</v>
          </cell>
          <cell r="AB327" t="str">
            <v>Valid</v>
          </cell>
          <cell r="AC327">
            <v>15602.6</v>
          </cell>
          <cell r="AE327">
            <v>15602.6</v>
          </cell>
          <cell r="AH327">
            <v>11908.52</v>
          </cell>
          <cell r="AI327">
            <v>3694.08</v>
          </cell>
          <cell r="AO327" t="str">
            <v>Paid</v>
          </cell>
          <cell r="AP327" t="str">
            <v>Completed</v>
          </cell>
        </row>
        <row r="328">
          <cell r="A328" t="str">
            <v>ORD-2025-10327</v>
          </cell>
          <cell r="B328" t="str">
            <v>2025-07-22</v>
          </cell>
          <cell r="D328" t="str">
            <v>07/22/2025</v>
          </cell>
          <cell r="F328" t="str">
            <v>Valid</v>
          </cell>
          <cell r="H328" t="str">
            <v>Valid</v>
          </cell>
          <cell r="N328" t="str">
            <v>East</v>
          </cell>
          <cell r="V328" t="str">
            <v>Same Day</v>
          </cell>
          <cell r="Z328">
            <v>0.05</v>
          </cell>
          <cell r="AB328" t="str">
            <v>Valid</v>
          </cell>
          <cell r="AC328">
            <v>15138.49</v>
          </cell>
          <cell r="AE328">
            <v>15138.487499999999</v>
          </cell>
          <cell r="AH328">
            <v>11235.72</v>
          </cell>
          <cell r="AI328">
            <v>3902.77</v>
          </cell>
          <cell r="AO328" t="str">
            <v>Paid</v>
          </cell>
          <cell r="AP328" t="str">
            <v>Completed</v>
          </cell>
        </row>
        <row r="329">
          <cell r="A329" t="str">
            <v>ORD-2024-10328</v>
          </cell>
          <cell r="B329" t="str">
            <v>2024-07-24</v>
          </cell>
          <cell r="D329" t="str">
            <v>27-07-2024</v>
          </cell>
          <cell r="F329" t="str">
            <v>Valid</v>
          </cell>
          <cell r="H329" t="str">
            <v>Valid</v>
          </cell>
          <cell r="N329" t="str">
            <v>West</v>
          </cell>
          <cell r="V329" t="str">
            <v>Second Class</v>
          </cell>
          <cell r="Z329">
            <v>0.2</v>
          </cell>
          <cell r="AB329" t="str">
            <v>Valid</v>
          </cell>
          <cell r="AC329">
            <v>4402.92</v>
          </cell>
          <cell r="AE329">
            <v>4402.92</v>
          </cell>
          <cell r="AH329">
            <v>2993.94</v>
          </cell>
          <cell r="AI329">
            <v>1408.98</v>
          </cell>
          <cell r="AO329" t="str">
            <v>Pending</v>
          </cell>
          <cell r="AP329" t="str">
            <v>Cancelled</v>
          </cell>
        </row>
        <row r="330">
          <cell r="A330" t="str">
            <v>ORD-2025-10329</v>
          </cell>
          <cell r="B330" t="str">
            <v>2025-05-29</v>
          </cell>
          <cell r="D330" t="str">
            <v>04 Jun 2025</v>
          </cell>
          <cell r="F330" t="str">
            <v>Valid</v>
          </cell>
          <cell r="H330" t="str">
            <v>Valid</v>
          </cell>
          <cell r="N330" t="str">
            <v>West</v>
          </cell>
          <cell r="V330" t="str">
            <v>First Class</v>
          </cell>
          <cell r="Z330">
            <v>0</v>
          </cell>
          <cell r="AB330" t="str">
            <v>Valid</v>
          </cell>
          <cell r="AC330">
            <v>18604.080000000002</v>
          </cell>
          <cell r="AE330">
            <v>18604.079999999998</v>
          </cell>
          <cell r="AH330">
            <v>15834.3</v>
          </cell>
          <cell r="AI330">
            <v>2769.78</v>
          </cell>
          <cell r="AO330" t="str">
            <v>Paid</v>
          </cell>
          <cell r="AP330" t="str">
            <v>Completed</v>
          </cell>
        </row>
        <row r="331">
          <cell r="A331" t="str">
            <v>ORD-2025-10330</v>
          </cell>
          <cell r="B331" t="str">
            <v>12 May 2025</v>
          </cell>
          <cell r="D331" t="str">
            <v>2025-05-18</v>
          </cell>
          <cell r="F331" t="str">
            <v>Valid</v>
          </cell>
          <cell r="H331" t="str">
            <v>Valid</v>
          </cell>
          <cell r="N331" t="str">
            <v>West</v>
          </cell>
          <cell r="V331" t="str">
            <v>Standard Class</v>
          </cell>
          <cell r="Z331">
            <v>0.05</v>
          </cell>
          <cell r="AB331" t="str">
            <v>Valid</v>
          </cell>
          <cell r="AC331">
            <v>15401.51</v>
          </cell>
          <cell r="AE331">
            <v>15401.513999999999</v>
          </cell>
          <cell r="AH331">
            <v>8650.42</v>
          </cell>
          <cell r="AI331">
            <v>6751.09</v>
          </cell>
          <cell r="AO331" t="str">
            <v>Paid</v>
          </cell>
          <cell r="AP331" t="str">
            <v>Completed</v>
          </cell>
        </row>
        <row r="332">
          <cell r="A332" t="str">
            <v>ORD-2024-10331</v>
          </cell>
          <cell r="B332" t="str">
            <v>05/16/2024</v>
          </cell>
          <cell r="D332" t="str">
            <v>05/24/2024</v>
          </cell>
          <cell r="F332" t="str">
            <v>Valid</v>
          </cell>
          <cell r="H332" t="str">
            <v>Valid</v>
          </cell>
          <cell r="N332" t="str">
            <v>North</v>
          </cell>
          <cell r="V332" t="str">
            <v>Same Day</v>
          </cell>
          <cell r="Z332">
            <v>0</v>
          </cell>
          <cell r="AB332" t="str">
            <v>Valid</v>
          </cell>
          <cell r="AC332">
            <v>783.09</v>
          </cell>
          <cell r="AE332">
            <v>783.09</v>
          </cell>
          <cell r="AH332">
            <v>503.89</v>
          </cell>
          <cell r="AI332">
            <v>279.2</v>
          </cell>
          <cell r="AO332" t="str">
            <v>Failed</v>
          </cell>
          <cell r="AP332" t="str">
            <v>Cancelled</v>
          </cell>
        </row>
        <row r="333">
          <cell r="A333" t="str">
            <v>ORD-2024-10332</v>
          </cell>
          <cell r="B333" t="str">
            <v>04-12-2024</v>
          </cell>
          <cell r="D333" t="str">
            <v>2024-12-06</v>
          </cell>
          <cell r="F333" t="str">
            <v>Valid</v>
          </cell>
          <cell r="H333" t="str">
            <v>Valid</v>
          </cell>
          <cell r="N333" t="str">
            <v>East</v>
          </cell>
          <cell r="V333" t="str">
            <v>Second Class</v>
          </cell>
          <cell r="Z333">
            <v>0</v>
          </cell>
          <cell r="AB333" t="str">
            <v>Valid</v>
          </cell>
          <cell r="AC333">
            <v>10742.64</v>
          </cell>
          <cell r="AE333">
            <v>10742.64</v>
          </cell>
          <cell r="AH333">
            <v>6477.37</v>
          </cell>
          <cell r="AI333">
            <v>4265.2700000000004</v>
          </cell>
          <cell r="AO333" t="str">
            <v>Paid</v>
          </cell>
          <cell r="AP333" t="str">
            <v>Returned</v>
          </cell>
        </row>
        <row r="334">
          <cell r="A334" t="str">
            <v>ORD-2025-10333</v>
          </cell>
          <cell r="B334" t="str">
            <v>27 May 2025</v>
          </cell>
          <cell r="D334" t="str">
            <v>2025-05-28</v>
          </cell>
          <cell r="F334" t="str">
            <v>Valid</v>
          </cell>
          <cell r="H334" t="str">
            <v>Valid</v>
          </cell>
          <cell r="N334" t="str">
            <v>South</v>
          </cell>
          <cell r="V334" t="str">
            <v>Second Class</v>
          </cell>
          <cell r="Z334">
            <v>0</v>
          </cell>
          <cell r="AB334" t="str">
            <v>Valid</v>
          </cell>
          <cell r="AC334">
            <v>7823.92</v>
          </cell>
          <cell r="AE334">
            <v>7823.92</v>
          </cell>
          <cell r="AH334">
            <v>6034.63</v>
          </cell>
          <cell r="AI334">
            <v>1789.29</v>
          </cell>
          <cell r="AO334" t="str">
            <v>Paid</v>
          </cell>
          <cell r="AP334" t="str">
            <v>Completed</v>
          </cell>
        </row>
        <row r="335">
          <cell r="A335" t="str">
            <v>ORD-2025-10334</v>
          </cell>
          <cell r="B335" t="str">
            <v>22 Jun 2025</v>
          </cell>
          <cell r="D335" t="str">
            <v>2025-06-27</v>
          </cell>
          <cell r="F335" t="str">
            <v>Valid</v>
          </cell>
          <cell r="H335" t="str">
            <v>Valid</v>
          </cell>
          <cell r="V335" t="str">
            <v>First Class</v>
          </cell>
          <cell r="Z335">
            <v>0</v>
          </cell>
          <cell r="AB335" t="str">
            <v>Valid</v>
          </cell>
          <cell r="AC335">
            <v>2936.1</v>
          </cell>
          <cell r="AE335">
            <v>2936.1</v>
          </cell>
          <cell r="AH335">
            <v>1923.1</v>
          </cell>
          <cell r="AI335">
            <v>1013</v>
          </cell>
          <cell r="AO335" t="str">
            <v>Paid</v>
          </cell>
          <cell r="AP335" t="str">
            <v>Completed</v>
          </cell>
        </row>
        <row r="336">
          <cell r="A336" t="str">
            <v>ORD-2024-10335</v>
          </cell>
          <cell r="B336" t="str">
            <v>12 Sep 2024</v>
          </cell>
          <cell r="D336" t="str">
            <v>17-09-2024</v>
          </cell>
          <cell r="F336" t="str">
            <v>Valid</v>
          </cell>
          <cell r="H336" t="str">
            <v>Valid</v>
          </cell>
          <cell r="N336" t="str">
            <v>East</v>
          </cell>
          <cell r="V336" t="str">
            <v>First Class</v>
          </cell>
          <cell r="Z336">
            <v>0.25</v>
          </cell>
          <cell r="AB336" t="str">
            <v>Valid</v>
          </cell>
          <cell r="AC336">
            <v>12969.92</v>
          </cell>
          <cell r="AE336">
            <v>12969.922500000001</v>
          </cell>
          <cell r="AH336">
            <v>9398.4599999999991</v>
          </cell>
          <cell r="AI336">
            <v>3571.46</v>
          </cell>
          <cell r="AO336" t="str">
            <v>Paid</v>
          </cell>
          <cell r="AP336" t="str">
            <v>Completed</v>
          </cell>
        </row>
        <row r="337">
          <cell r="A337" t="str">
            <v>ORD-2025-10336</v>
          </cell>
          <cell r="B337" t="str">
            <v>06/16/2025</v>
          </cell>
          <cell r="D337" t="str">
            <v>18 Jun 2025</v>
          </cell>
          <cell r="F337" t="str">
            <v>Valid</v>
          </cell>
          <cell r="H337" t="str">
            <v>Valid</v>
          </cell>
          <cell r="N337" t="str">
            <v>West</v>
          </cell>
          <cell r="V337" t="str">
            <v>First Class</v>
          </cell>
          <cell r="Z337">
            <v>0.1</v>
          </cell>
          <cell r="AB337" t="str">
            <v>Valid</v>
          </cell>
          <cell r="AC337">
            <v>11581.3</v>
          </cell>
          <cell r="AE337">
            <v>11581.299000000001</v>
          </cell>
          <cell r="AH337">
            <v>6829.43</v>
          </cell>
          <cell r="AI337">
            <v>4751.87</v>
          </cell>
          <cell r="AO337" t="str">
            <v>Paid</v>
          </cell>
          <cell r="AP337" t="str">
            <v>Completed</v>
          </cell>
        </row>
        <row r="338">
          <cell r="A338" t="str">
            <v>ORD-2024-10337</v>
          </cell>
          <cell r="B338" t="str">
            <v>17-03-2024</v>
          </cell>
          <cell r="D338" t="str">
            <v>03/21/2024</v>
          </cell>
          <cell r="F338" t="str">
            <v>Valid</v>
          </cell>
          <cell r="H338" t="str">
            <v>Valid</v>
          </cell>
          <cell r="N338" t="str">
            <v>North</v>
          </cell>
          <cell r="V338" t="str">
            <v>First Class</v>
          </cell>
          <cell r="Z338">
            <v>0</v>
          </cell>
          <cell r="AB338" t="str">
            <v>Valid</v>
          </cell>
          <cell r="AC338">
            <v>15940.56</v>
          </cell>
          <cell r="AE338">
            <v>15940.56</v>
          </cell>
          <cell r="AH338">
            <v>12347.15</v>
          </cell>
          <cell r="AI338">
            <v>3593.41</v>
          </cell>
          <cell r="AO338" t="str">
            <v>Paid</v>
          </cell>
          <cell r="AP338" t="str">
            <v>Completed</v>
          </cell>
        </row>
        <row r="339">
          <cell r="A339" t="str">
            <v>ORD-2024-10338</v>
          </cell>
          <cell r="B339" t="str">
            <v>12 Aug 2024</v>
          </cell>
          <cell r="D339" t="str">
            <v>18 Aug 2024</v>
          </cell>
          <cell r="F339" t="str">
            <v>Valid</v>
          </cell>
          <cell r="H339" t="str">
            <v>Valid</v>
          </cell>
          <cell r="N339" t="str">
            <v>East</v>
          </cell>
          <cell r="V339" t="str">
            <v>Same Day</v>
          </cell>
          <cell r="Z339">
            <v>0</v>
          </cell>
          <cell r="AB339" t="str">
            <v>Valid</v>
          </cell>
          <cell r="AC339">
            <v>7090.44</v>
          </cell>
          <cell r="AE339">
            <v>7090.4400000000005</v>
          </cell>
          <cell r="AH339">
            <v>5672.27</v>
          </cell>
          <cell r="AI339">
            <v>1262.8699999999999</v>
          </cell>
          <cell r="AO339" t="str">
            <v>Paid</v>
          </cell>
          <cell r="AP339" t="str">
            <v>Completed</v>
          </cell>
        </row>
        <row r="340">
          <cell r="A340" t="str">
            <v>ORD-2024-10339</v>
          </cell>
          <cell r="B340" t="str">
            <v>08-12-2024</v>
          </cell>
          <cell r="D340" t="str">
            <v>12/08/2024</v>
          </cell>
          <cell r="F340" t="str">
            <v>Valid</v>
          </cell>
          <cell r="H340" t="str">
            <v>Valid</v>
          </cell>
          <cell r="N340" t="str">
            <v>South</v>
          </cell>
          <cell r="V340" t="str">
            <v>First Class</v>
          </cell>
          <cell r="Z340">
            <v>0.25</v>
          </cell>
          <cell r="AB340" t="str">
            <v>Valid</v>
          </cell>
          <cell r="AC340">
            <v>26414.16</v>
          </cell>
          <cell r="AE340">
            <v>26414.159999999996</v>
          </cell>
          <cell r="AH340">
            <v>21822.53</v>
          </cell>
          <cell r="AI340">
            <v>4591.63</v>
          </cell>
          <cell r="AO340" t="str">
            <v>Paid</v>
          </cell>
          <cell r="AP340" t="str">
            <v>Completed</v>
          </cell>
        </row>
        <row r="341">
          <cell r="A341" t="str">
            <v>ORD-2025-10340</v>
          </cell>
          <cell r="B341" t="str">
            <v>20-02-2025</v>
          </cell>
          <cell r="D341" t="str">
            <v>22-02-2025</v>
          </cell>
          <cell r="F341" t="str">
            <v>Valid</v>
          </cell>
          <cell r="H341" t="str">
            <v>Valid</v>
          </cell>
          <cell r="N341" t="str">
            <v>East</v>
          </cell>
          <cell r="V341" t="str">
            <v>Standard Class</v>
          </cell>
          <cell r="Z341">
            <v>0.2</v>
          </cell>
          <cell r="AB341" t="str">
            <v>Valid</v>
          </cell>
          <cell r="AC341">
            <v>20900.86</v>
          </cell>
          <cell r="AE341">
            <v>20900.864000000001</v>
          </cell>
          <cell r="AH341">
            <v>12513.14</v>
          </cell>
          <cell r="AI341">
            <v>8387.7199999999993</v>
          </cell>
          <cell r="AO341" t="str">
            <v>Paid</v>
          </cell>
          <cell r="AP341" t="str">
            <v>Completed</v>
          </cell>
        </row>
        <row r="342">
          <cell r="A342" t="str">
            <v>ORD-2024-10341</v>
          </cell>
          <cell r="B342" t="str">
            <v>21 Jan 2024</v>
          </cell>
          <cell r="D342" t="str">
            <v>01/29/2024</v>
          </cell>
          <cell r="F342" t="str">
            <v>Valid</v>
          </cell>
          <cell r="H342" t="str">
            <v>Valid</v>
          </cell>
          <cell r="N342" t="str">
            <v>South</v>
          </cell>
          <cell r="V342" t="str">
            <v>Standard Class</v>
          </cell>
          <cell r="Z342">
            <v>0.1</v>
          </cell>
          <cell r="AB342" t="str">
            <v>Valid</v>
          </cell>
          <cell r="AC342">
            <v>18261.36</v>
          </cell>
          <cell r="AE342">
            <v>18261.36</v>
          </cell>
          <cell r="AH342">
            <v>11399.94</v>
          </cell>
          <cell r="AI342">
            <v>6861.42</v>
          </cell>
          <cell r="AO342" t="str">
            <v>Paid</v>
          </cell>
          <cell r="AP342" t="str">
            <v>Completed</v>
          </cell>
        </row>
        <row r="343">
          <cell r="A343" t="str">
            <v>ORD-2025-10342</v>
          </cell>
          <cell r="B343" t="str">
            <v>08 Sep 2025</v>
          </cell>
          <cell r="D343" t="str">
            <v>2025-09-09</v>
          </cell>
          <cell r="F343" t="str">
            <v>Valid</v>
          </cell>
          <cell r="H343" t="str">
            <v>Valid</v>
          </cell>
          <cell r="N343" t="str">
            <v>West</v>
          </cell>
          <cell r="V343" t="str">
            <v>Second Class</v>
          </cell>
          <cell r="Z343">
            <v>0.05</v>
          </cell>
          <cell r="AB343" t="str">
            <v>Valid</v>
          </cell>
          <cell r="AC343">
            <v>7524.63</v>
          </cell>
          <cell r="AE343">
            <v>7524.6269999999995</v>
          </cell>
          <cell r="AH343">
            <v>6229.6</v>
          </cell>
          <cell r="AI343">
            <v>1295.03</v>
          </cell>
          <cell r="AO343" t="str">
            <v>Paid</v>
          </cell>
          <cell r="AP343" t="str">
            <v>Completed</v>
          </cell>
        </row>
        <row r="344">
          <cell r="A344" t="str">
            <v>ORD-2025-10343</v>
          </cell>
          <cell r="B344" t="str">
            <v>24-07-2025</v>
          </cell>
          <cell r="D344" t="str">
            <v>01-08-2025</v>
          </cell>
          <cell r="F344" t="str">
            <v>Valid</v>
          </cell>
          <cell r="H344" t="str">
            <v>Valid</v>
          </cell>
          <cell r="N344" t="str">
            <v>East</v>
          </cell>
          <cell r="V344" t="str">
            <v>First Class</v>
          </cell>
          <cell r="Z344">
            <v>0</v>
          </cell>
          <cell r="AB344" t="str">
            <v>Valid</v>
          </cell>
          <cell r="AC344">
            <v>12231.36</v>
          </cell>
          <cell r="AE344">
            <v>12231.36</v>
          </cell>
          <cell r="AH344">
            <v>8766.9</v>
          </cell>
          <cell r="AI344">
            <v>3464.46</v>
          </cell>
          <cell r="AO344" t="str">
            <v>Paid</v>
          </cell>
          <cell r="AP344" t="str">
            <v>Completed</v>
          </cell>
        </row>
        <row r="345">
          <cell r="A345" t="str">
            <v>ORD-2025-10344</v>
          </cell>
          <cell r="B345" t="str">
            <v>10/03/2025</v>
          </cell>
          <cell r="D345" t="str">
            <v>08 Oct 2025</v>
          </cell>
          <cell r="F345" t="str">
            <v>Valid</v>
          </cell>
          <cell r="H345" t="str">
            <v>Valid</v>
          </cell>
          <cell r="N345" t="str">
            <v>West</v>
          </cell>
          <cell r="V345" t="str">
            <v>Same Day</v>
          </cell>
          <cell r="Z345">
            <v>0.1</v>
          </cell>
          <cell r="AB345" t="str">
            <v>Valid</v>
          </cell>
          <cell r="AC345">
            <v>31079.7</v>
          </cell>
          <cell r="AE345">
            <v>31079.7</v>
          </cell>
          <cell r="AH345">
            <v>17758.25</v>
          </cell>
          <cell r="AI345">
            <v>13321.45</v>
          </cell>
          <cell r="AO345" t="str">
            <v>Paid</v>
          </cell>
          <cell r="AP345" t="str">
            <v>Completed</v>
          </cell>
        </row>
        <row r="346">
          <cell r="A346" t="str">
            <v>ORD-2024-10345</v>
          </cell>
          <cell r="B346" t="str">
            <v>11-03-2024</v>
          </cell>
          <cell r="D346" t="str">
            <v>11-03-2024</v>
          </cell>
          <cell r="F346" t="str">
            <v>Valid</v>
          </cell>
          <cell r="H346" t="str">
            <v>Valid</v>
          </cell>
          <cell r="N346" t="str">
            <v>North</v>
          </cell>
          <cell r="V346" t="str">
            <v>Same Day</v>
          </cell>
          <cell r="Z346">
            <v>0</v>
          </cell>
          <cell r="AB346" t="str">
            <v>Valid</v>
          </cell>
          <cell r="AC346">
            <v>31107.42</v>
          </cell>
          <cell r="AE346">
            <v>31107.420000000002</v>
          </cell>
          <cell r="AH346">
            <v>20146.66</v>
          </cell>
          <cell r="AI346">
            <v>10960.76</v>
          </cell>
          <cell r="AO346" t="str">
            <v>Pending</v>
          </cell>
          <cell r="AP346" t="str">
            <v>Returned</v>
          </cell>
        </row>
        <row r="347">
          <cell r="A347" t="str">
            <v>ORD-2024-10346</v>
          </cell>
          <cell r="B347" t="str">
            <v>2024-09-14</v>
          </cell>
          <cell r="D347" t="str">
            <v>2024-09-22</v>
          </cell>
          <cell r="F347" t="str">
            <v>Valid</v>
          </cell>
          <cell r="H347" t="str">
            <v>Valid</v>
          </cell>
          <cell r="N347" t="str">
            <v>West</v>
          </cell>
          <cell r="V347" t="str">
            <v>Second Class</v>
          </cell>
          <cell r="Z347">
            <v>0</v>
          </cell>
          <cell r="AB347" t="str">
            <v>Valid</v>
          </cell>
          <cell r="AC347">
            <v>5530.6</v>
          </cell>
          <cell r="AE347">
            <v>5530.6</v>
          </cell>
          <cell r="AH347">
            <v>4453.1099999999997</v>
          </cell>
          <cell r="AI347">
            <v>1077.49</v>
          </cell>
          <cell r="AO347" t="str">
            <v>Paid</v>
          </cell>
          <cell r="AP347" t="str">
            <v>Completed</v>
          </cell>
        </row>
        <row r="348">
          <cell r="A348" t="str">
            <v>ORD-2025-10347</v>
          </cell>
          <cell r="B348" t="str">
            <v>2025-07-22</v>
          </cell>
          <cell r="D348" t="str">
            <v>28-07-2025</v>
          </cell>
          <cell r="F348" t="str">
            <v>Valid</v>
          </cell>
          <cell r="H348" t="str">
            <v>Valid</v>
          </cell>
          <cell r="N348" t="str">
            <v>South</v>
          </cell>
          <cell r="V348" t="str">
            <v>Second Class</v>
          </cell>
          <cell r="Z348">
            <v>0.2</v>
          </cell>
          <cell r="AB348" t="str">
            <v>Valid</v>
          </cell>
          <cell r="AC348">
            <v>7715.81</v>
          </cell>
          <cell r="AE348">
            <v>7715.8080000000009</v>
          </cell>
          <cell r="AH348">
            <v>4258.42</v>
          </cell>
          <cell r="AI348">
            <v>3457.39</v>
          </cell>
          <cell r="AO348" t="str">
            <v>Paid</v>
          </cell>
          <cell r="AP348" t="str">
            <v>Completed</v>
          </cell>
        </row>
        <row r="349">
          <cell r="A349" t="str">
            <v>ORD-2024-10348</v>
          </cell>
          <cell r="B349" t="str">
            <v>01-12-2024</v>
          </cell>
          <cell r="D349" t="str">
            <v>12/08/2024</v>
          </cell>
          <cell r="F349" t="str">
            <v>Valid</v>
          </cell>
          <cell r="H349" t="str">
            <v>Valid</v>
          </cell>
          <cell r="N349" t="str">
            <v>West</v>
          </cell>
          <cell r="V349" t="str">
            <v>Second Class</v>
          </cell>
          <cell r="Z349">
            <v>0.2</v>
          </cell>
          <cell r="AB349" t="str">
            <v>Valid</v>
          </cell>
          <cell r="AC349">
            <v>11925.96</v>
          </cell>
          <cell r="AE349">
            <v>11925.96</v>
          </cell>
          <cell r="AH349">
            <v>10103.51</v>
          </cell>
          <cell r="AI349">
            <v>1822.45</v>
          </cell>
          <cell r="AO349" t="str">
            <v>Refunded</v>
          </cell>
          <cell r="AP349" t="str">
            <v>Returned</v>
          </cell>
        </row>
        <row r="350">
          <cell r="A350" t="str">
            <v>ORD-2024-10349</v>
          </cell>
          <cell r="B350" t="str">
            <v>06/02/2024</v>
          </cell>
          <cell r="D350" t="str">
            <v>06/07/2024</v>
          </cell>
          <cell r="F350" t="str">
            <v>Valid</v>
          </cell>
          <cell r="H350" t="str">
            <v>Valid</v>
          </cell>
          <cell r="N350" t="str">
            <v>South</v>
          </cell>
          <cell r="V350" t="str">
            <v>Same Day</v>
          </cell>
          <cell r="Z350">
            <v>0.25</v>
          </cell>
          <cell r="AB350" t="str">
            <v>Valid</v>
          </cell>
          <cell r="AC350">
            <v>19306.759999999998</v>
          </cell>
          <cell r="AE350">
            <v>19306.755000000005</v>
          </cell>
          <cell r="AH350">
            <v>14442.38</v>
          </cell>
          <cell r="AI350">
            <v>4864.38</v>
          </cell>
          <cell r="AO350" t="str">
            <v>Paid</v>
          </cell>
          <cell r="AP350" t="str">
            <v>Completed</v>
          </cell>
        </row>
        <row r="351">
          <cell r="A351" t="str">
            <v>ORD-2025-10350</v>
          </cell>
          <cell r="B351" t="str">
            <v>27-09-2025</v>
          </cell>
          <cell r="D351" t="str">
            <v>09/29/2025</v>
          </cell>
          <cell r="F351" t="str">
            <v>Valid</v>
          </cell>
          <cell r="H351" t="str">
            <v>Valid</v>
          </cell>
          <cell r="N351" t="str">
            <v>East</v>
          </cell>
          <cell r="V351" t="str">
            <v>Second Class</v>
          </cell>
          <cell r="Z351">
            <v>0.25</v>
          </cell>
          <cell r="AB351" t="str">
            <v>Valid</v>
          </cell>
          <cell r="AC351">
            <v>19355.96</v>
          </cell>
          <cell r="AE351">
            <v>19355.962500000001</v>
          </cell>
          <cell r="AH351">
            <v>15012.45</v>
          </cell>
          <cell r="AI351">
            <v>4017.4</v>
          </cell>
          <cell r="AO351" t="str">
            <v>Paid</v>
          </cell>
          <cell r="AP351" t="str">
            <v>Completed</v>
          </cell>
        </row>
        <row r="352">
          <cell r="A352" t="str">
            <v>ORD-2024-10351</v>
          </cell>
          <cell r="B352" t="str">
            <v>07-01-2024</v>
          </cell>
          <cell r="D352" t="str">
            <v>14 Jan 2024</v>
          </cell>
          <cell r="F352" t="str">
            <v>Valid</v>
          </cell>
          <cell r="H352" t="str">
            <v>Valid</v>
          </cell>
          <cell r="N352" t="str">
            <v>East</v>
          </cell>
          <cell r="V352" t="str">
            <v>Second Class</v>
          </cell>
          <cell r="Z352">
            <v>0.1</v>
          </cell>
          <cell r="AB352" t="str">
            <v>Valid</v>
          </cell>
          <cell r="AC352">
            <v>11914.34</v>
          </cell>
          <cell r="AE352">
            <v>11914.344000000001</v>
          </cell>
          <cell r="AH352">
            <v>9771.24</v>
          </cell>
          <cell r="AI352">
            <v>2143.1</v>
          </cell>
          <cell r="AO352" t="str">
            <v>Refunded</v>
          </cell>
          <cell r="AP352" t="str">
            <v>Returned</v>
          </cell>
        </row>
        <row r="353">
          <cell r="A353" t="str">
            <v>ORD-2025-10352</v>
          </cell>
          <cell r="B353" t="str">
            <v>23-05-2025</v>
          </cell>
          <cell r="D353" t="str">
            <v>27 May 2025</v>
          </cell>
          <cell r="F353" t="str">
            <v>Valid</v>
          </cell>
          <cell r="H353" t="str">
            <v>Valid</v>
          </cell>
          <cell r="N353" t="str">
            <v>South</v>
          </cell>
          <cell r="V353" t="str">
            <v>First Class</v>
          </cell>
          <cell r="Z353">
            <v>0.25</v>
          </cell>
          <cell r="AB353" t="str">
            <v>Valid</v>
          </cell>
          <cell r="AC353">
            <v>3237.48</v>
          </cell>
          <cell r="AE353">
            <v>3237.4800000000005</v>
          </cell>
          <cell r="AH353">
            <v>2118.34</v>
          </cell>
          <cell r="AI353">
            <v>1119.1400000000001</v>
          </cell>
          <cell r="AO353" t="str">
            <v>Pending</v>
          </cell>
          <cell r="AP353" t="str">
            <v>Cancelled</v>
          </cell>
        </row>
        <row r="354">
          <cell r="A354" t="str">
            <v>ORD-2025-10353</v>
          </cell>
          <cell r="B354" t="str">
            <v>15 Aug 2025</v>
          </cell>
          <cell r="D354" t="str">
            <v>08/17/2025</v>
          </cell>
          <cell r="F354" t="str">
            <v>Valid</v>
          </cell>
          <cell r="H354" t="str">
            <v>Valid</v>
          </cell>
          <cell r="N354" t="str">
            <v>East</v>
          </cell>
          <cell r="V354" t="str">
            <v>First Class</v>
          </cell>
          <cell r="Z354">
            <v>0.25</v>
          </cell>
          <cell r="AB354" t="str">
            <v>Valid</v>
          </cell>
          <cell r="AC354">
            <v>10734.75</v>
          </cell>
          <cell r="AE354">
            <v>10734.75</v>
          </cell>
          <cell r="AH354">
            <v>6475.73</v>
          </cell>
          <cell r="AI354">
            <v>4259.0200000000004</v>
          </cell>
          <cell r="AO354" t="str">
            <v>Paid</v>
          </cell>
          <cell r="AP354" t="str">
            <v>Completed</v>
          </cell>
        </row>
        <row r="355">
          <cell r="A355" t="str">
            <v>ORD-2025-10354</v>
          </cell>
          <cell r="B355" t="str">
            <v>21-02-2025</v>
          </cell>
          <cell r="D355" t="str">
            <v>27-02-2025</v>
          </cell>
          <cell r="F355" t="str">
            <v>Valid</v>
          </cell>
          <cell r="H355" t="str">
            <v>Valid</v>
          </cell>
          <cell r="N355" t="str">
            <v>North</v>
          </cell>
          <cell r="V355" t="str">
            <v>Same Day</v>
          </cell>
          <cell r="Z355">
            <v>0.2</v>
          </cell>
          <cell r="AB355" t="str">
            <v>Valid</v>
          </cell>
          <cell r="AC355">
            <v>10308.02</v>
          </cell>
          <cell r="AE355">
            <v>10308.024000000001</v>
          </cell>
          <cell r="AH355">
            <v>5822.31</v>
          </cell>
          <cell r="AI355">
            <v>4485.71</v>
          </cell>
          <cell r="AO355" t="str">
            <v>Paid</v>
          </cell>
          <cell r="AP355" t="str">
            <v>Completed</v>
          </cell>
        </row>
        <row r="356">
          <cell r="A356" t="str">
            <v>ORD-2024-10355</v>
          </cell>
          <cell r="B356" t="str">
            <v>27 Dec 2024</v>
          </cell>
          <cell r="D356" t="str">
            <v>2024-12-31</v>
          </cell>
          <cell r="F356" t="str">
            <v>Valid</v>
          </cell>
          <cell r="H356" t="str">
            <v>Valid</v>
          </cell>
          <cell r="N356" t="str">
            <v>North</v>
          </cell>
          <cell r="V356" t="str">
            <v>Standard Class</v>
          </cell>
          <cell r="Z356">
            <v>-0.06</v>
          </cell>
          <cell r="AB356" t="str">
            <v>Invalid - Negative Discount</v>
          </cell>
          <cell r="AC356">
            <v>20080.68</v>
          </cell>
          <cell r="AE356">
            <v>21285.520800000002</v>
          </cell>
          <cell r="AH356">
            <v>12908.84</v>
          </cell>
          <cell r="AI356">
            <v>7171.84</v>
          </cell>
          <cell r="AO356" t="str">
            <v>Pending</v>
          </cell>
          <cell r="AP356" t="str">
            <v>Cancelled</v>
          </cell>
        </row>
        <row r="357">
          <cell r="A357" t="str">
            <v>ORD-2024-10356</v>
          </cell>
          <cell r="B357" t="str">
            <v>12-05-2024</v>
          </cell>
          <cell r="D357" t="str">
            <v>2024-05-09</v>
          </cell>
          <cell r="F357" t="str">
            <v>Invalid Shipping Record</v>
          </cell>
          <cell r="H357" t="str">
            <v>Invalid Shipping Record</v>
          </cell>
          <cell r="N357" t="str">
            <v>West</v>
          </cell>
          <cell r="V357" t="str">
            <v>Standard Class</v>
          </cell>
          <cell r="Z357">
            <v>0</v>
          </cell>
          <cell r="AB357" t="str">
            <v>Valid</v>
          </cell>
          <cell r="AC357">
            <v>16017.4</v>
          </cell>
          <cell r="AE357">
            <v>16017.4</v>
          </cell>
          <cell r="AH357">
            <v>9557.7999999999993</v>
          </cell>
          <cell r="AI357">
            <v>6459.6</v>
          </cell>
          <cell r="AO357" t="str">
            <v>Pending</v>
          </cell>
          <cell r="AP357" t="str">
            <v>Cancelled</v>
          </cell>
        </row>
        <row r="358">
          <cell r="A358" t="str">
            <v>ORD-2025-10357</v>
          </cell>
          <cell r="B358" t="str">
            <v>27 Jun 2025</v>
          </cell>
          <cell r="D358" t="str">
            <v>29 Jun 2025</v>
          </cell>
          <cell r="F358" t="str">
            <v>Valid</v>
          </cell>
          <cell r="H358" t="str">
            <v>Valid</v>
          </cell>
          <cell r="N358" t="str">
            <v>South</v>
          </cell>
          <cell r="V358" t="str">
            <v>First Class</v>
          </cell>
          <cell r="Z358">
            <v>0.2</v>
          </cell>
          <cell r="AB358" t="str">
            <v>Valid</v>
          </cell>
          <cell r="AC358">
            <v>2486.8000000000002</v>
          </cell>
          <cell r="AE358">
            <v>2486.8000000000002</v>
          </cell>
          <cell r="AH358">
            <v>2131.73</v>
          </cell>
          <cell r="AI358">
            <v>355.07</v>
          </cell>
          <cell r="AO358" t="str">
            <v>Pending</v>
          </cell>
          <cell r="AP358" t="str">
            <v>Returned</v>
          </cell>
        </row>
        <row r="359">
          <cell r="A359" t="str">
            <v>ORD-2025-10358</v>
          </cell>
          <cell r="B359" t="str">
            <v>2025-01-21</v>
          </cell>
          <cell r="D359" t="str">
            <v>01/29/2025</v>
          </cell>
          <cell r="F359" t="str">
            <v>Valid</v>
          </cell>
          <cell r="H359" t="str">
            <v>Valid</v>
          </cell>
          <cell r="N359" t="str">
            <v>South</v>
          </cell>
          <cell r="V359" t="str">
            <v>Second Class</v>
          </cell>
          <cell r="Z359">
            <v>0</v>
          </cell>
          <cell r="AB359" t="str">
            <v>Valid</v>
          </cell>
          <cell r="AC359">
            <v>4369.04</v>
          </cell>
          <cell r="AE359">
            <v>4369.04</v>
          </cell>
          <cell r="AH359">
            <v>3716.88</v>
          </cell>
          <cell r="AI359">
            <v>652.16</v>
          </cell>
          <cell r="AO359" t="str">
            <v>Paid</v>
          </cell>
          <cell r="AP359" t="str">
            <v>Cancelled</v>
          </cell>
        </row>
        <row r="360">
          <cell r="A360" t="str">
            <v>ORD-2025-10359</v>
          </cell>
          <cell r="B360" t="str">
            <v>08/09/2025</v>
          </cell>
          <cell r="D360" t="str">
            <v>2025-08-07</v>
          </cell>
          <cell r="F360" t="str">
            <v>Invalid Shipping Record</v>
          </cell>
          <cell r="H360" t="str">
            <v>Invalid Shipping Record</v>
          </cell>
          <cell r="N360" t="str">
            <v>West</v>
          </cell>
          <cell r="V360" t="str">
            <v>Second Class</v>
          </cell>
          <cell r="Z360">
            <v>0.05</v>
          </cell>
          <cell r="AB360" t="str">
            <v>Valid</v>
          </cell>
          <cell r="AC360">
            <v>5956.12</v>
          </cell>
          <cell r="AE360">
            <v>5956.12</v>
          </cell>
          <cell r="AH360">
            <v>4379.18</v>
          </cell>
          <cell r="AI360">
            <v>1576.94</v>
          </cell>
          <cell r="AO360" t="str">
            <v>Pending</v>
          </cell>
          <cell r="AP360" t="str">
            <v>Returned</v>
          </cell>
        </row>
        <row r="361">
          <cell r="A361" t="str">
            <v>ORD-2024-10360</v>
          </cell>
          <cell r="B361" t="str">
            <v>21 Aug 2024</v>
          </cell>
          <cell r="D361" t="str">
            <v>22-08-2024</v>
          </cell>
          <cell r="F361" t="str">
            <v>Valid</v>
          </cell>
          <cell r="H361" t="str">
            <v>Valid</v>
          </cell>
          <cell r="N361" t="str">
            <v>South</v>
          </cell>
          <cell r="V361" t="str">
            <v>Same Day</v>
          </cell>
          <cell r="Z361">
            <v>0.1</v>
          </cell>
          <cell r="AB361" t="str">
            <v>Valid</v>
          </cell>
          <cell r="AC361">
            <v>4997.38</v>
          </cell>
          <cell r="AE361">
            <v>4997.3760000000002</v>
          </cell>
          <cell r="AH361">
            <v>2971.39</v>
          </cell>
          <cell r="AI361">
            <v>2025.99</v>
          </cell>
          <cell r="AO361" t="str">
            <v>Paid</v>
          </cell>
          <cell r="AP361" t="str">
            <v>Completed</v>
          </cell>
        </row>
        <row r="362">
          <cell r="A362" t="str">
            <v>ORD-2024-10361</v>
          </cell>
          <cell r="B362" t="str">
            <v>17 Jun 2024</v>
          </cell>
          <cell r="D362" t="str">
            <v>2024-06-20</v>
          </cell>
          <cell r="F362" t="str">
            <v>Valid</v>
          </cell>
          <cell r="H362" t="str">
            <v>Valid</v>
          </cell>
          <cell r="N362" t="str">
            <v>West</v>
          </cell>
          <cell r="V362" t="str">
            <v>Standard Class</v>
          </cell>
          <cell r="Z362">
            <v>0.2</v>
          </cell>
          <cell r="AB362" t="str">
            <v>Valid</v>
          </cell>
          <cell r="AC362">
            <v>17669.400000000001</v>
          </cell>
          <cell r="AE362">
            <v>17669.400000000001</v>
          </cell>
          <cell r="AH362">
            <v>13718.77</v>
          </cell>
          <cell r="AI362">
            <v>3950.63</v>
          </cell>
          <cell r="AO362" t="str">
            <v>Refunded</v>
          </cell>
          <cell r="AP362" t="str">
            <v>Cancelled</v>
          </cell>
        </row>
        <row r="363">
          <cell r="A363" t="str">
            <v>ORD-2025-10362</v>
          </cell>
          <cell r="B363" t="str">
            <v>01-04-2025</v>
          </cell>
          <cell r="D363" t="str">
            <v>2025-04-02</v>
          </cell>
          <cell r="F363" t="str">
            <v>Valid</v>
          </cell>
          <cell r="H363" t="str">
            <v>Valid</v>
          </cell>
          <cell r="N363" t="str">
            <v>East</v>
          </cell>
          <cell r="V363" t="str">
            <v>Second Class</v>
          </cell>
          <cell r="Z363">
            <v>0.05</v>
          </cell>
          <cell r="AB363" t="str">
            <v>Valid</v>
          </cell>
          <cell r="AC363">
            <v>35615.71</v>
          </cell>
          <cell r="AE363">
            <v>35615.709000000003</v>
          </cell>
          <cell r="AH363">
            <v>20389.71</v>
          </cell>
          <cell r="AI363">
            <v>15226</v>
          </cell>
          <cell r="AO363" t="str">
            <v>Pending</v>
          </cell>
          <cell r="AP363" t="str">
            <v>Returned</v>
          </cell>
        </row>
        <row r="364">
          <cell r="A364" t="str">
            <v>ORD-2024-10363</v>
          </cell>
          <cell r="B364" t="str">
            <v>23 Aug 2024</v>
          </cell>
          <cell r="D364" t="str">
            <v>25-08-2024</v>
          </cell>
          <cell r="F364" t="str">
            <v>Valid</v>
          </cell>
          <cell r="H364" t="str">
            <v>Valid</v>
          </cell>
          <cell r="N364" t="str">
            <v>West</v>
          </cell>
          <cell r="V364" t="str">
            <v>Same Day</v>
          </cell>
          <cell r="Z364">
            <v>0.05</v>
          </cell>
          <cell r="AB364" t="str">
            <v>Valid</v>
          </cell>
          <cell r="AC364">
            <v>1866.41</v>
          </cell>
          <cell r="AE364">
            <v>1866.4079999999999</v>
          </cell>
          <cell r="AH364">
            <v>1576.49</v>
          </cell>
          <cell r="AI364">
            <v>289.92</v>
          </cell>
          <cell r="AO364" t="str">
            <v>Paid</v>
          </cell>
          <cell r="AP364" t="str">
            <v>Completed</v>
          </cell>
        </row>
        <row r="365">
          <cell r="A365" t="str">
            <v>ORD-2025-10364</v>
          </cell>
          <cell r="B365" t="str">
            <v>07/07/2025</v>
          </cell>
          <cell r="D365" t="str">
            <v>07/12/2025</v>
          </cell>
          <cell r="F365" t="str">
            <v>Valid</v>
          </cell>
          <cell r="H365" t="str">
            <v>Valid</v>
          </cell>
          <cell r="N365" t="str">
            <v>East</v>
          </cell>
          <cell r="V365" t="str">
            <v>Second Class</v>
          </cell>
          <cell r="Z365">
            <v>0.25</v>
          </cell>
          <cell r="AB365" t="str">
            <v>Valid</v>
          </cell>
          <cell r="AC365">
            <v>6867.64</v>
          </cell>
          <cell r="AE365">
            <v>6867.6374999999989</v>
          </cell>
          <cell r="AH365">
            <v>5205.3599999999997</v>
          </cell>
          <cell r="AI365">
            <v>1662.28</v>
          </cell>
          <cell r="AO365" t="str">
            <v>Paid</v>
          </cell>
          <cell r="AP365" t="str">
            <v>Completed</v>
          </cell>
        </row>
        <row r="366">
          <cell r="A366" t="str">
            <v>ORD-2025-10365</v>
          </cell>
          <cell r="B366" t="str">
            <v>03/21/2025</v>
          </cell>
          <cell r="D366" t="str">
            <v>2025-03-24</v>
          </cell>
          <cell r="F366" t="str">
            <v>Valid</v>
          </cell>
          <cell r="H366" t="str">
            <v>Valid</v>
          </cell>
          <cell r="N366" t="str">
            <v>South</v>
          </cell>
          <cell r="V366" t="str">
            <v>Second Class</v>
          </cell>
          <cell r="Z366">
            <v>0</v>
          </cell>
          <cell r="AB366" t="str">
            <v>Valid</v>
          </cell>
          <cell r="AC366">
            <v>6195.75</v>
          </cell>
          <cell r="AE366">
            <v>6195.75</v>
          </cell>
          <cell r="AH366">
            <v>3967.02</v>
          </cell>
          <cell r="AI366">
            <v>2228.73</v>
          </cell>
          <cell r="AO366" t="str">
            <v>Paid</v>
          </cell>
          <cell r="AP366" t="str">
            <v>Completed</v>
          </cell>
        </row>
        <row r="367">
          <cell r="A367" t="str">
            <v>ORD-2024-10366</v>
          </cell>
          <cell r="B367" t="str">
            <v>15-06-2024</v>
          </cell>
          <cell r="D367" t="str">
            <v>21-06-2024</v>
          </cell>
          <cell r="F367" t="str">
            <v>Valid</v>
          </cell>
          <cell r="H367" t="str">
            <v>Valid</v>
          </cell>
          <cell r="N367" t="str">
            <v>West</v>
          </cell>
          <cell r="V367" t="str">
            <v>First Class</v>
          </cell>
          <cell r="AB367" t="str">
            <v>Valid</v>
          </cell>
          <cell r="AC367">
            <v>12968.64</v>
          </cell>
          <cell r="AE367">
            <v>13651.2</v>
          </cell>
          <cell r="AH367">
            <v>10119.61</v>
          </cell>
          <cell r="AI367">
            <v>2849.03</v>
          </cell>
          <cell r="AO367" t="str">
            <v>Paid</v>
          </cell>
          <cell r="AP367" t="str">
            <v>Completed</v>
          </cell>
        </row>
        <row r="368">
          <cell r="A368" t="str">
            <v>ORD-2025-10367</v>
          </cell>
          <cell r="B368" t="str">
            <v>2025-01-16</v>
          </cell>
          <cell r="D368" t="str">
            <v>2025-01-22</v>
          </cell>
          <cell r="F368" t="str">
            <v>Valid</v>
          </cell>
          <cell r="H368" t="str">
            <v>Valid</v>
          </cell>
          <cell r="N368" t="str">
            <v>North</v>
          </cell>
          <cell r="V368" t="str">
            <v>Same Day</v>
          </cell>
          <cell r="Z368">
            <v>0</v>
          </cell>
          <cell r="AB368" t="str">
            <v>Valid</v>
          </cell>
          <cell r="AC368">
            <v>8836.56</v>
          </cell>
          <cell r="AE368">
            <v>8836.56</v>
          </cell>
          <cell r="AH368">
            <v>5867.75</v>
          </cell>
          <cell r="AI368">
            <v>2968.81</v>
          </cell>
          <cell r="AO368" t="str">
            <v>Paid</v>
          </cell>
          <cell r="AP368" t="str">
            <v>Completed</v>
          </cell>
        </row>
        <row r="369">
          <cell r="A369" t="str">
            <v>ORD-2024-10368</v>
          </cell>
          <cell r="B369" t="str">
            <v>2024-03-15</v>
          </cell>
          <cell r="D369" t="str">
            <v>03/16/2024</v>
          </cell>
          <cell r="F369" t="str">
            <v>Valid</v>
          </cell>
          <cell r="H369" t="str">
            <v>Valid</v>
          </cell>
          <cell r="N369" t="str">
            <v>North</v>
          </cell>
          <cell r="V369" t="str">
            <v>Standard Class</v>
          </cell>
          <cell r="Z369">
            <v>0.15</v>
          </cell>
          <cell r="AB369" t="str">
            <v>Valid</v>
          </cell>
          <cell r="AC369">
            <v>19456.96</v>
          </cell>
          <cell r="AE369">
            <v>19456.958999999999</v>
          </cell>
          <cell r="AH369">
            <v>14520.06</v>
          </cell>
          <cell r="AI369">
            <v>4936.8999999999996</v>
          </cell>
          <cell r="AO369" t="str">
            <v>Failed</v>
          </cell>
          <cell r="AP369" t="str">
            <v>Cancelled</v>
          </cell>
        </row>
        <row r="370">
          <cell r="A370" t="str">
            <v>ORD-2025-10369</v>
          </cell>
          <cell r="B370" t="str">
            <v>06-07-2025</v>
          </cell>
          <cell r="D370" t="str">
            <v>06-07-2025</v>
          </cell>
          <cell r="F370" t="str">
            <v>Valid</v>
          </cell>
          <cell r="H370" t="str">
            <v>Valid</v>
          </cell>
          <cell r="N370" t="str">
            <v>North</v>
          </cell>
          <cell r="V370" t="str">
            <v>Same Day</v>
          </cell>
          <cell r="Z370">
            <v>0.05</v>
          </cell>
          <cell r="AB370" t="str">
            <v>Valid</v>
          </cell>
          <cell r="AC370">
            <v>2079.27</v>
          </cell>
          <cell r="AE370">
            <v>2079.2745</v>
          </cell>
          <cell r="AH370">
            <v>1512.17</v>
          </cell>
          <cell r="AI370">
            <v>567.1</v>
          </cell>
          <cell r="AO370" t="str">
            <v>Refunded</v>
          </cell>
          <cell r="AP370" t="str">
            <v>Returned</v>
          </cell>
        </row>
        <row r="371">
          <cell r="A371" t="str">
            <v>ORD-2025-10370</v>
          </cell>
          <cell r="B371" t="str">
            <v>23-01-2025</v>
          </cell>
          <cell r="D371" t="str">
            <v>01/30/2025</v>
          </cell>
          <cell r="F371" t="str">
            <v>Valid</v>
          </cell>
          <cell r="H371" t="str">
            <v>Valid</v>
          </cell>
          <cell r="N371" t="str">
            <v>North</v>
          </cell>
          <cell r="V371" t="str">
            <v>Standard Class</v>
          </cell>
          <cell r="Z371">
            <v>0.15</v>
          </cell>
          <cell r="AB371" t="str">
            <v>Valid</v>
          </cell>
          <cell r="AC371">
            <v>8945.68</v>
          </cell>
          <cell r="AE371">
            <v>8945.6804999999986</v>
          </cell>
          <cell r="AH371">
            <v>6740.35</v>
          </cell>
          <cell r="AI371">
            <v>2205.33</v>
          </cell>
          <cell r="AO371" t="str">
            <v>Paid</v>
          </cell>
          <cell r="AP371" t="str">
            <v>Completed</v>
          </cell>
        </row>
        <row r="372">
          <cell r="A372" t="str">
            <v>ORD-2024-10371</v>
          </cell>
          <cell r="B372" t="str">
            <v>08/15/2024</v>
          </cell>
          <cell r="D372" t="str">
            <v>21 Aug 2024</v>
          </cell>
          <cell r="F372" t="str">
            <v>Valid</v>
          </cell>
          <cell r="H372" t="str">
            <v>Valid</v>
          </cell>
          <cell r="N372" t="str">
            <v>West</v>
          </cell>
          <cell r="V372" t="str">
            <v>First Class</v>
          </cell>
          <cell r="Z372">
            <v>0.2</v>
          </cell>
          <cell r="AB372" t="str">
            <v>Valid</v>
          </cell>
          <cell r="AC372">
            <v>13069.34</v>
          </cell>
          <cell r="AE372">
            <v>13069.336000000001</v>
          </cell>
          <cell r="AH372">
            <v>8768.59</v>
          </cell>
          <cell r="AI372">
            <v>4300.75</v>
          </cell>
          <cell r="AO372" t="str">
            <v>Paid</v>
          </cell>
          <cell r="AP372" t="str">
            <v>Completed</v>
          </cell>
        </row>
        <row r="373">
          <cell r="A373" t="str">
            <v>ORD-2024-10372</v>
          </cell>
          <cell r="B373" t="str">
            <v>22-01-2024</v>
          </cell>
          <cell r="D373" t="str">
            <v>2024-01-24</v>
          </cell>
          <cell r="F373" t="str">
            <v>Valid</v>
          </cell>
          <cell r="H373" t="str">
            <v>Valid</v>
          </cell>
          <cell r="N373" t="str">
            <v>West</v>
          </cell>
          <cell r="V373" t="str">
            <v>Standard Class</v>
          </cell>
          <cell r="AB373" t="str">
            <v>Valid</v>
          </cell>
          <cell r="AC373">
            <v>4617.2700000000004</v>
          </cell>
          <cell r="AE373">
            <v>6156.36</v>
          </cell>
          <cell r="AH373">
            <v>2981.94</v>
          </cell>
          <cell r="AI373">
            <v>1635.33</v>
          </cell>
          <cell r="AO373" t="str">
            <v>Refunded</v>
          </cell>
          <cell r="AP373" t="str">
            <v>Cancelled</v>
          </cell>
        </row>
        <row r="374">
          <cell r="A374" t="str">
            <v>ORD-2025-10373</v>
          </cell>
          <cell r="B374" t="str">
            <v>2025-08-16</v>
          </cell>
          <cell r="D374" t="str">
            <v>2025-08-18</v>
          </cell>
          <cell r="F374" t="str">
            <v>Valid</v>
          </cell>
          <cell r="H374" t="str">
            <v>Valid</v>
          </cell>
          <cell r="N374" t="str">
            <v>East</v>
          </cell>
          <cell r="V374" t="str">
            <v>Same Day</v>
          </cell>
          <cell r="Z374">
            <v>0</v>
          </cell>
          <cell r="AB374" t="str">
            <v>Valid</v>
          </cell>
          <cell r="AC374">
            <v>7651.8</v>
          </cell>
          <cell r="AE374">
            <v>7651.7999999999993</v>
          </cell>
          <cell r="AH374">
            <v>5171.78</v>
          </cell>
          <cell r="AI374">
            <v>2480.02</v>
          </cell>
          <cell r="AO374" t="str">
            <v>Paid</v>
          </cell>
          <cell r="AP374" t="str">
            <v>Completed</v>
          </cell>
        </row>
        <row r="375">
          <cell r="A375" t="str">
            <v>ORD-2025-10374</v>
          </cell>
          <cell r="B375" t="str">
            <v>2025-04-13</v>
          </cell>
          <cell r="D375" t="str">
            <v>2025-04-13</v>
          </cell>
          <cell r="F375" t="str">
            <v>Valid</v>
          </cell>
          <cell r="H375" t="str">
            <v>Valid</v>
          </cell>
          <cell r="N375" t="str">
            <v>North</v>
          </cell>
          <cell r="V375" t="str">
            <v>Second Class</v>
          </cell>
          <cell r="Z375">
            <v>0</v>
          </cell>
          <cell r="AB375" t="str">
            <v>Valid</v>
          </cell>
          <cell r="AC375">
            <v>10068.120000000001</v>
          </cell>
          <cell r="AE375">
            <v>10068.120000000001</v>
          </cell>
          <cell r="AH375">
            <v>8595.3700000000008</v>
          </cell>
          <cell r="AI375">
            <v>1472.75</v>
          </cell>
          <cell r="AO375" t="str">
            <v>Paid</v>
          </cell>
          <cell r="AP375" t="str">
            <v>Completed</v>
          </cell>
        </row>
        <row r="376">
          <cell r="A376" t="str">
            <v>ORD-2025-10375</v>
          </cell>
          <cell r="B376" t="str">
            <v>2025-02-27</v>
          </cell>
          <cell r="D376" t="str">
            <v>28-02-2025</v>
          </cell>
          <cell r="F376" t="str">
            <v>Valid</v>
          </cell>
          <cell r="H376" t="str">
            <v>Valid</v>
          </cell>
          <cell r="N376" t="str">
            <v>North</v>
          </cell>
          <cell r="V376" t="str">
            <v>Standard Class</v>
          </cell>
          <cell r="Z376">
            <v>0</v>
          </cell>
          <cell r="AB376" t="str">
            <v>Valid</v>
          </cell>
          <cell r="AC376">
            <v>14359.5</v>
          </cell>
          <cell r="AE376">
            <v>14359.5</v>
          </cell>
          <cell r="AH376">
            <v>8117.71</v>
          </cell>
          <cell r="AI376">
            <v>6241.79</v>
          </cell>
          <cell r="AO376" t="str">
            <v>Paid</v>
          </cell>
          <cell r="AP376" t="str">
            <v>Completed</v>
          </cell>
        </row>
        <row r="377">
          <cell r="A377" t="str">
            <v>ORD-2024-10376</v>
          </cell>
          <cell r="B377" t="str">
            <v>31-12-2024</v>
          </cell>
          <cell r="D377" t="str">
            <v>04 Jan 2025</v>
          </cell>
          <cell r="F377" t="str">
            <v>Valid</v>
          </cell>
          <cell r="H377" t="str">
            <v>Valid</v>
          </cell>
          <cell r="N377" t="str">
            <v>North</v>
          </cell>
          <cell r="V377" t="str">
            <v>Same Day</v>
          </cell>
          <cell r="Z377">
            <v>0.25</v>
          </cell>
          <cell r="AB377" t="str">
            <v>Valid</v>
          </cell>
          <cell r="AC377">
            <v>2624.87</v>
          </cell>
          <cell r="AE377">
            <v>2624.8724999999999</v>
          </cell>
          <cell r="AH377">
            <v>2253.88</v>
          </cell>
          <cell r="AI377">
            <v>370.99</v>
          </cell>
          <cell r="AO377" t="str">
            <v>Paid</v>
          </cell>
          <cell r="AP377" t="str">
            <v>Completed</v>
          </cell>
        </row>
        <row r="378">
          <cell r="A378" t="str">
            <v>ORD-2024-10377</v>
          </cell>
          <cell r="B378" t="str">
            <v>29-12-2024</v>
          </cell>
          <cell r="D378" t="str">
            <v>2024-12-31</v>
          </cell>
          <cell r="F378" t="str">
            <v>Valid</v>
          </cell>
          <cell r="H378" t="str">
            <v>Valid</v>
          </cell>
          <cell r="N378" t="str">
            <v>East</v>
          </cell>
          <cell r="V378" t="str">
            <v>First Class</v>
          </cell>
          <cell r="Z378">
            <v>0.2</v>
          </cell>
          <cell r="AB378" t="str">
            <v>Valid</v>
          </cell>
          <cell r="AC378">
            <v>8854.94</v>
          </cell>
          <cell r="AE378">
            <v>8854.9440000000013</v>
          </cell>
          <cell r="AH378">
            <v>7433.95</v>
          </cell>
          <cell r="AI378">
            <v>1420.99</v>
          </cell>
          <cell r="AO378" t="str">
            <v>Paid</v>
          </cell>
          <cell r="AP378" t="str">
            <v>Completed</v>
          </cell>
        </row>
        <row r="379">
          <cell r="A379" t="str">
            <v>ORD-2025-10378</v>
          </cell>
          <cell r="B379" t="str">
            <v>24 May 2025</v>
          </cell>
          <cell r="D379" t="str">
            <v>30-05-2025</v>
          </cell>
          <cell r="F379" t="str">
            <v>Valid</v>
          </cell>
          <cell r="H379" t="str">
            <v>Valid</v>
          </cell>
          <cell r="N379" t="str">
            <v>East</v>
          </cell>
          <cell r="V379" t="str">
            <v>Same Day</v>
          </cell>
          <cell r="Z379">
            <v>0</v>
          </cell>
          <cell r="AB379" t="str">
            <v>Valid</v>
          </cell>
          <cell r="AC379">
            <v>2564.7399999999998</v>
          </cell>
          <cell r="AE379">
            <v>2564.7399999999998</v>
          </cell>
          <cell r="AH379">
            <v>1754.58</v>
          </cell>
          <cell r="AI379">
            <v>810.16</v>
          </cell>
          <cell r="AO379" t="str">
            <v>Paid</v>
          </cell>
          <cell r="AP379" t="str">
            <v>Completed</v>
          </cell>
        </row>
        <row r="380">
          <cell r="A380" t="str">
            <v>ORD-2025-10379</v>
          </cell>
          <cell r="B380" t="str">
            <v>22-05-2025</v>
          </cell>
          <cell r="D380" t="str">
            <v>22-05-2025</v>
          </cell>
          <cell r="F380" t="str">
            <v>Valid</v>
          </cell>
          <cell r="H380" t="str">
            <v>Valid</v>
          </cell>
          <cell r="N380" t="str">
            <v>West</v>
          </cell>
          <cell r="V380" t="str">
            <v>Standard Class</v>
          </cell>
          <cell r="Z380">
            <v>0</v>
          </cell>
          <cell r="AB380" t="str">
            <v>Valid</v>
          </cell>
          <cell r="AC380">
            <v>7821.22</v>
          </cell>
          <cell r="AE380">
            <v>7821.22</v>
          </cell>
          <cell r="AH380">
            <v>4994.46</v>
          </cell>
          <cell r="AI380">
            <v>2826.76</v>
          </cell>
          <cell r="AO380" t="str">
            <v>Paid</v>
          </cell>
          <cell r="AP380" t="str">
            <v>Completed</v>
          </cell>
        </row>
        <row r="381">
          <cell r="A381" t="str">
            <v>ORD-2024-10380</v>
          </cell>
          <cell r="B381" t="str">
            <v>09/19/2024</v>
          </cell>
          <cell r="D381" t="str">
            <v>23 Sep 2024</v>
          </cell>
          <cell r="F381" t="str">
            <v>Valid</v>
          </cell>
          <cell r="H381" t="str">
            <v>Valid</v>
          </cell>
          <cell r="N381" t="str">
            <v>South</v>
          </cell>
          <cell r="V381" t="str">
            <v>Standard Class</v>
          </cell>
          <cell r="AB381" t="str">
            <v>Valid</v>
          </cell>
          <cell r="AC381">
            <v>7956.76</v>
          </cell>
          <cell r="AE381">
            <v>7956.76</v>
          </cell>
          <cell r="AH381">
            <v>4799.54</v>
          </cell>
          <cell r="AI381">
            <v>3157.22</v>
          </cell>
          <cell r="AO381" t="str">
            <v>Paid</v>
          </cell>
          <cell r="AP381" t="str">
            <v>Completed</v>
          </cell>
        </row>
        <row r="382">
          <cell r="A382" t="str">
            <v>ORD-2024-10381</v>
          </cell>
          <cell r="B382" t="str">
            <v>07 Apr 2024</v>
          </cell>
          <cell r="D382" t="str">
            <v>14-04-2024</v>
          </cell>
          <cell r="F382" t="str">
            <v>Valid</v>
          </cell>
          <cell r="H382" t="str">
            <v>Valid</v>
          </cell>
          <cell r="N382" t="str">
            <v>West</v>
          </cell>
          <cell r="V382" t="str">
            <v>Same Day</v>
          </cell>
          <cell r="Z382">
            <v>0.25</v>
          </cell>
          <cell r="AB382" t="str">
            <v>Valid</v>
          </cell>
          <cell r="AC382">
            <v>8384.44</v>
          </cell>
          <cell r="AE382">
            <v>8384.4375</v>
          </cell>
          <cell r="AH382">
            <v>4765.96</v>
          </cell>
          <cell r="AI382">
            <v>3618.48</v>
          </cell>
          <cell r="AO382" t="str">
            <v>Paid</v>
          </cell>
          <cell r="AP382" t="str">
            <v>Returned</v>
          </cell>
        </row>
        <row r="383">
          <cell r="A383" t="str">
            <v>ORD-2025-10382</v>
          </cell>
          <cell r="B383" t="str">
            <v>2025-09-19</v>
          </cell>
          <cell r="D383" t="str">
            <v>23-09-2025</v>
          </cell>
          <cell r="F383" t="str">
            <v>Valid</v>
          </cell>
          <cell r="H383" t="str">
            <v>Valid</v>
          </cell>
          <cell r="N383" t="str">
            <v>North</v>
          </cell>
          <cell r="V383" t="str">
            <v>Standard Class</v>
          </cell>
          <cell r="Z383">
            <v>0.05</v>
          </cell>
          <cell r="AB383" t="str">
            <v>Valid</v>
          </cell>
          <cell r="AC383">
            <v>16671.169999999998</v>
          </cell>
          <cell r="AE383">
            <v>16671.169999999998</v>
          </cell>
          <cell r="AH383">
            <v>10833.19</v>
          </cell>
          <cell r="AI383">
            <v>5837.98</v>
          </cell>
          <cell r="AO383" t="str">
            <v>Failed</v>
          </cell>
          <cell r="AP383" t="str">
            <v>Cancelled</v>
          </cell>
        </row>
        <row r="384">
          <cell r="A384" t="str">
            <v>ORD-2025-10383</v>
          </cell>
          <cell r="B384" t="str">
            <v>04 Mar 2025</v>
          </cell>
          <cell r="D384" t="str">
            <v>03/08/2025</v>
          </cell>
          <cell r="F384" t="str">
            <v>Valid</v>
          </cell>
          <cell r="H384" t="str">
            <v>Valid</v>
          </cell>
          <cell r="N384" t="str">
            <v>East</v>
          </cell>
          <cell r="V384" t="str">
            <v>First Class</v>
          </cell>
          <cell r="Z384">
            <v>0.2</v>
          </cell>
          <cell r="AB384" t="str">
            <v>Valid</v>
          </cell>
          <cell r="AC384">
            <v>10468.44</v>
          </cell>
          <cell r="AE384">
            <v>10468.440000000002</v>
          </cell>
          <cell r="AH384">
            <v>8399.8700000000008</v>
          </cell>
          <cell r="AI384">
            <v>2068.5700000000002</v>
          </cell>
          <cell r="AO384" t="str">
            <v>Paid</v>
          </cell>
          <cell r="AP384" t="str">
            <v>Completed</v>
          </cell>
        </row>
        <row r="385">
          <cell r="A385" t="str">
            <v>ORD-2025-10384</v>
          </cell>
          <cell r="B385" t="str">
            <v>28 Jun 2025</v>
          </cell>
          <cell r="D385" t="str">
            <v>05 Jul 2025</v>
          </cell>
          <cell r="F385" t="str">
            <v>Valid</v>
          </cell>
          <cell r="H385" t="str">
            <v>Valid</v>
          </cell>
          <cell r="N385" t="str">
            <v>East</v>
          </cell>
          <cell r="V385" t="str">
            <v>First Class</v>
          </cell>
          <cell r="Z385">
            <v>0</v>
          </cell>
          <cell r="AB385" t="str">
            <v>Valid</v>
          </cell>
          <cell r="AC385">
            <v>4485.5</v>
          </cell>
          <cell r="AE385">
            <v>4485.5</v>
          </cell>
          <cell r="AH385">
            <v>3131.86</v>
          </cell>
          <cell r="AI385">
            <v>1353.64</v>
          </cell>
          <cell r="AO385" t="str">
            <v>Paid</v>
          </cell>
          <cell r="AP385" t="str">
            <v>Cancelled</v>
          </cell>
        </row>
        <row r="386">
          <cell r="A386" t="str">
            <v>ORD-2024-10385</v>
          </cell>
          <cell r="B386" t="str">
            <v>15-03-2024</v>
          </cell>
          <cell r="D386" t="str">
            <v>2024-03-20</v>
          </cell>
          <cell r="F386" t="str">
            <v>Valid</v>
          </cell>
          <cell r="H386" t="str">
            <v>Valid</v>
          </cell>
          <cell r="N386" t="str">
            <v>East</v>
          </cell>
          <cell r="V386" t="str">
            <v>Standard Class</v>
          </cell>
          <cell r="Z386">
            <v>0.25</v>
          </cell>
          <cell r="AB386" t="str">
            <v>Valid</v>
          </cell>
          <cell r="AC386">
            <v>2822.1</v>
          </cell>
          <cell r="AE386">
            <v>2822.1000000000004</v>
          </cell>
          <cell r="AH386">
            <v>1624.57</v>
          </cell>
          <cell r="AI386">
            <v>1197.53</v>
          </cell>
          <cell r="AO386" t="str">
            <v>Paid</v>
          </cell>
          <cell r="AP386" t="str">
            <v>Returned</v>
          </cell>
        </row>
        <row r="387">
          <cell r="A387" t="str">
            <v>ORD-2025-10386</v>
          </cell>
          <cell r="B387" t="str">
            <v>2025-06-24</v>
          </cell>
          <cell r="D387" t="str">
            <v>30 Jun 2025</v>
          </cell>
          <cell r="F387" t="str">
            <v>Valid</v>
          </cell>
          <cell r="H387" t="str">
            <v>Valid</v>
          </cell>
          <cell r="N387" t="str">
            <v>North</v>
          </cell>
          <cell r="V387" t="str">
            <v>Standard Class</v>
          </cell>
          <cell r="Z387">
            <v>0.1</v>
          </cell>
          <cell r="AB387" t="str">
            <v>Valid</v>
          </cell>
          <cell r="AC387">
            <v>1975.1</v>
          </cell>
          <cell r="AE387">
            <v>1975.104</v>
          </cell>
          <cell r="AH387">
            <v>1115.3499999999999</v>
          </cell>
          <cell r="AI387">
            <v>859.75</v>
          </cell>
          <cell r="AO387" t="str">
            <v>Paid</v>
          </cell>
          <cell r="AP387" t="str">
            <v>Completed</v>
          </cell>
        </row>
        <row r="388">
          <cell r="A388" t="str">
            <v>ORD-2025-10387</v>
          </cell>
          <cell r="B388" t="str">
            <v>02/12/2025</v>
          </cell>
          <cell r="D388" t="str">
            <v>14-02-2025</v>
          </cell>
          <cell r="F388" t="str">
            <v>Valid</v>
          </cell>
          <cell r="H388" t="str">
            <v>Valid</v>
          </cell>
          <cell r="N388" t="str">
            <v>West</v>
          </cell>
          <cell r="V388" t="str">
            <v>Second Class</v>
          </cell>
          <cell r="Z388">
            <v>0.1</v>
          </cell>
          <cell r="AB388" t="str">
            <v>Valid</v>
          </cell>
          <cell r="AC388">
            <v>20063.95</v>
          </cell>
          <cell r="AE388">
            <v>20063.952000000001</v>
          </cell>
          <cell r="AH388">
            <v>14363.38</v>
          </cell>
          <cell r="AI388">
            <v>5700.57</v>
          </cell>
          <cell r="AO388" t="str">
            <v>Paid</v>
          </cell>
          <cell r="AP388" t="str">
            <v>Completed</v>
          </cell>
        </row>
        <row r="389">
          <cell r="A389" t="str">
            <v>ORD-2025-10388</v>
          </cell>
          <cell r="B389" t="str">
            <v>10-08-2025</v>
          </cell>
          <cell r="D389" t="str">
            <v>08/13/2025</v>
          </cell>
          <cell r="F389" t="str">
            <v>Valid</v>
          </cell>
          <cell r="H389" t="str">
            <v>Valid</v>
          </cell>
          <cell r="N389" t="str">
            <v>West</v>
          </cell>
          <cell r="V389" t="str">
            <v>Standard Class</v>
          </cell>
          <cell r="Z389">
            <v>0</v>
          </cell>
          <cell r="AB389" t="str">
            <v>Valid</v>
          </cell>
          <cell r="AC389">
            <v>1764.3</v>
          </cell>
          <cell r="AE389">
            <v>1764.3000000000002</v>
          </cell>
          <cell r="AH389">
            <v>1332.49</v>
          </cell>
          <cell r="AI389">
            <v>431.81</v>
          </cell>
          <cell r="AO389" t="str">
            <v>Pending</v>
          </cell>
          <cell r="AP389" t="str">
            <v>Cancelled</v>
          </cell>
        </row>
        <row r="390">
          <cell r="A390" t="str">
            <v>ORD-2024-10389</v>
          </cell>
          <cell r="B390" t="str">
            <v>2024-05-13</v>
          </cell>
          <cell r="D390" t="str">
            <v>18 May 2024</v>
          </cell>
          <cell r="F390" t="str">
            <v>Valid</v>
          </cell>
          <cell r="H390" t="str">
            <v>Valid</v>
          </cell>
          <cell r="N390" t="str">
            <v>West</v>
          </cell>
          <cell r="V390" t="str">
            <v>Standard Class</v>
          </cell>
          <cell r="Z390">
            <v>0</v>
          </cell>
          <cell r="AB390" t="str">
            <v>Valid</v>
          </cell>
          <cell r="AC390">
            <v>9385.77</v>
          </cell>
          <cell r="AE390">
            <v>9385.77</v>
          </cell>
          <cell r="AH390">
            <v>6872.44</v>
          </cell>
          <cell r="AI390">
            <v>2783.66</v>
          </cell>
          <cell r="AO390" t="str">
            <v>Paid</v>
          </cell>
          <cell r="AP390" t="str">
            <v>Completed</v>
          </cell>
        </row>
        <row r="391">
          <cell r="A391" t="str">
            <v>ORD-2024-10390</v>
          </cell>
          <cell r="B391" t="str">
            <v>05 Apr 2024</v>
          </cell>
          <cell r="D391" t="str">
            <v>13 Apr 2024</v>
          </cell>
          <cell r="F391" t="str">
            <v>Valid</v>
          </cell>
          <cell r="H391" t="str">
            <v>Valid</v>
          </cell>
          <cell r="N391" t="str">
            <v>West</v>
          </cell>
          <cell r="V391" t="str">
            <v>Second Class</v>
          </cell>
          <cell r="Z391">
            <v>0.2</v>
          </cell>
          <cell r="AB391" t="str">
            <v>Valid</v>
          </cell>
          <cell r="AC391">
            <v>7750.16</v>
          </cell>
          <cell r="AE391">
            <v>7750.1600000000008</v>
          </cell>
          <cell r="AH391">
            <v>5434.3</v>
          </cell>
          <cell r="AI391">
            <v>2315.86</v>
          </cell>
          <cell r="AO391" t="str">
            <v>Pending</v>
          </cell>
          <cell r="AP391" t="str">
            <v>Cancelled</v>
          </cell>
        </row>
        <row r="392">
          <cell r="A392" t="str">
            <v>ORD-2024-10391</v>
          </cell>
          <cell r="B392" t="str">
            <v>06 Nov 2024</v>
          </cell>
          <cell r="D392" t="str">
            <v>11-11-2024</v>
          </cell>
          <cell r="F392" t="str">
            <v>Valid</v>
          </cell>
          <cell r="H392" t="str">
            <v>Valid</v>
          </cell>
          <cell r="N392" t="str">
            <v>West</v>
          </cell>
          <cell r="V392" t="str">
            <v>Standard Class</v>
          </cell>
          <cell r="Z392">
            <v>0.2</v>
          </cell>
          <cell r="AB392" t="str">
            <v>Valid</v>
          </cell>
          <cell r="AC392">
            <v>6135.23</v>
          </cell>
          <cell r="AE392">
            <v>6135.232</v>
          </cell>
          <cell r="AH392">
            <v>3439.79</v>
          </cell>
          <cell r="AI392">
            <v>2695.44</v>
          </cell>
          <cell r="AO392" t="str">
            <v>Paid</v>
          </cell>
          <cell r="AP392" t="str">
            <v>Completed</v>
          </cell>
        </row>
        <row r="393">
          <cell r="A393" t="str">
            <v>ORD-2025-10392</v>
          </cell>
          <cell r="B393" t="str">
            <v>14-02-2025</v>
          </cell>
          <cell r="D393" t="str">
            <v>14 Feb 2025</v>
          </cell>
          <cell r="F393" t="str">
            <v>Valid</v>
          </cell>
          <cell r="H393" t="str">
            <v>Valid</v>
          </cell>
          <cell r="N393" t="str">
            <v>South</v>
          </cell>
          <cell r="V393" t="str">
            <v>First Class</v>
          </cell>
          <cell r="Z393">
            <v>0</v>
          </cell>
          <cell r="AB393" t="str">
            <v>Valid</v>
          </cell>
          <cell r="AC393">
            <v>714.43</v>
          </cell>
          <cell r="AE393">
            <v>714.43</v>
          </cell>
          <cell r="AH393">
            <v>565.44000000000005</v>
          </cell>
          <cell r="AI393">
            <v>148.99</v>
          </cell>
          <cell r="AO393" t="str">
            <v>Paid</v>
          </cell>
          <cell r="AP393" t="str">
            <v>Completed</v>
          </cell>
        </row>
        <row r="394">
          <cell r="A394" t="str">
            <v>ORD-2024-10393</v>
          </cell>
          <cell r="B394" t="str">
            <v>02/19/2024</v>
          </cell>
          <cell r="D394" t="str">
            <v>22 Feb 2024</v>
          </cell>
          <cell r="F394" t="str">
            <v>Valid</v>
          </cell>
          <cell r="H394" t="str">
            <v>Valid</v>
          </cell>
          <cell r="N394" t="str">
            <v>South</v>
          </cell>
          <cell r="V394" t="str">
            <v>Same Day</v>
          </cell>
          <cell r="Z394">
            <v>0</v>
          </cell>
          <cell r="AB394" t="str">
            <v>Valid</v>
          </cell>
          <cell r="AC394">
            <v>36477.089999999997</v>
          </cell>
          <cell r="AE394">
            <v>36477.090000000004</v>
          </cell>
          <cell r="AH394">
            <v>24525.48</v>
          </cell>
          <cell r="AI394">
            <v>11951.61</v>
          </cell>
          <cell r="AO394" t="str">
            <v>Paid</v>
          </cell>
          <cell r="AP394" t="str">
            <v>Completed</v>
          </cell>
        </row>
        <row r="395">
          <cell r="A395" t="str">
            <v>ORD-2024-10394</v>
          </cell>
          <cell r="B395" t="str">
            <v>2024-08-23</v>
          </cell>
          <cell r="D395" t="str">
            <v>08/29/2024</v>
          </cell>
          <cell r="F395" t="str">
            <v>Valid</v>
          </cell>
          <cell r="H395" t="str">
            <v>Valid</v>
          </cell>
          <cell r="N395" t="str">
            <v>North</v>
          </cell>
          <cell r="V395" t="str">
            <v>Same Day</v>
          </cell>
          <cell r="Z395">
            <v>0.05</v>
          </cell>
          <cell r="AB395" t="str">
            <v>Valid</v>
          </cell>
          <cell r="AC395">
            <v>3680.13</v>
          </cell>
          <cell r="AE395">
            <v>3680.1289999999999</v>
          </cell>
          <cell r="AH395">
            <v>2967.46</v>
          </cell>
          <cell r="AI395">
            <v>712.67</v>
          </cell>
          <cell r="AO395" t="str">
            <v>Paid</v>
          </cell>
          <cell r="AP395" t="str">
            <v>Completed</v>
          </cell>
        </row>
        <row r="396">
          <cell r="A396" t="str">
            <v>ORD-2024-10395</v>
          </cell>
          <cell r="B396" t="str">
            <v>03-04-2024</v>
          </cell>
          <cell r="D396" t="str">
            <v>04 Apr 2024</v>
          </cell>
          <cell r="F396" t="str">
            <v>Valid</v>
          </cell>
          <cell r="H396" t="str">
            <v>Valid</v>
          </cell>
          <cell r="N396" t="str">
            <v>West</v>
          </cell>
          <cell r="V396" t="str">
            <v>First Class</v>
          </cell>
          <cell r="Z396">
            <v>0</v>
          </cell>
          <cell r="AB396" t="str">
            <v>Valid</v>
          </cell>
          <cell r="AC396">
            <v>27616.47</v>
          </cell>
          <cell r="AE396">
            <v>27616.47</v>
          </cell>
          <cell r="AH396">
            <v>21225.26</v>
          </cell>
          <cell r="AI396">
            <v>6391.21</v>
          </cell>
          <cell r="AO396" t="str">
            <v>Paid</v>
          </cell>
          <cell r="AP396" t="str">
            <v>Completed</v>
          </cell>
        </row>
        <row r="397">
          <cell r="A397" t="str">
            <v>ORD-2024-10396</v>
          </cell>
          <cell r="B397" t="str">
            <v>06/06/2024</v>
          </cell>
          <cell r="D397" t="str">
            <v>06/07/2024</v>
          </cell>
          <cell r="F397" t="str">
            <v>Valid</v>
          </cell>
          <cell r="H397" t="str">
            <v>Valid</v>
          </cell>
          <cell r="N397" t="str">
            <v>South</v>
          </cell>
          <cell r="V397" t="str">
            <v>Same Day</v>
          </cell>
          <cell r="Z397">
            <v>0.05</v>
          </cell>
          <cell r="AB397" t="str">
            <v>Valid</v>
          </cell>
          <cell r="AC397">
            <v>5731.7</v>
          </cell>
          <cell r="AE397">
            <v>5731.7014999999992</v>
          </cell>
          <cell r="AH397">
            <v>4115.5600000000004</v>
          </cell>
          <cell r="AI397">
            <v>1616.14</v>
          </cell>
          <cell r="AO397" t="str">
            <v>Paid</v>
          </cell>
          <cell r="AP397" t="str">
            <v>Completed</v>
          </cell>
        </row>
        <row r="398">
          <cell r="A398" t="str">
            <v>ORD-2025-10397</v>
          </cell>
          <cell r="B398" t="str">
            <v>2025-04-14</v>
          </cell>
          <cell r="D398" t="str">
            <v>22 Apr 2025</v>
          </cell>
          <cell r="F398" t="str">
            <v>Valid</v>
          </cell>
          <cell r="H398" t="str">
            <v>Valid</v>
          </cell>
          <cell r="N398" t="str">
            <v>South</v>
          </cell>
          <cell r="V398" t="str">
            <v>Standard Class</v>
          </cell>
          <cell r="Z398">
            <v>0.05</v>
          </cell>
          <cell r="AB398" t="str">
            <v>Valid</v>
          </cell>
          <cell r="AC398">
            <v>1213.5899999999999</v>
          </cell>
          <cell r="AE398">
            <v>1213.587</v>
          </cell>
          <cell r="AH398">
            <v>956.22</v>
          </cell>
          <cell r="AI398">
            <v>257.37</v>
          </cell>
          <cell r="AO398" t="str">
            <v>Paid</v>
          </cell>
          <cell r="AP398" t="str">
            <v>Completed</v>
          </cell>
        </row>
        <row r="399">
          <cell r="A399" t="str">
            <v>ORD-2025-10398</v>
          </cell>
          <cell r="B399" t="str">
            <v>09 Jun 2025</v>
          </cell>
          <cell r="D399" t="str">
            <v>10 Jun 2025</v>
          </cell>
          <cell r="F399" t="str">
            <v>Valid</v>
          </cell>
          <cell r="H399" t="str">
            <v>Valid</v>
          </cell>
          <cell r="N399" t="str">
            <v>North</v>
          </cell>
          <cell r="V399" t="str">
            <v>Second Class</v>
          </cell>
          <cell r="Z399">
            <v>0</v>
          </cell>
          <cell r="AB399" t="str">
            <v>Valid</v>
          </cell>
          <cell r="AC399">
            <v>3463.76</v>
          </cell>
          <cell r="AE399">
            <v>3463.76</v>
          </cell>
          <cell r="AH399">
            <v>2143.7399999999998</v>
          </cell>
          <cell r="AI399">
            <v>1320.02</v>
          </cell>
          <cell r="AO399" t="str">
            <v>Paid</v>
          </cell>
          <cell r="AP399" t="str">
            <v>Completed</v>
          </cell>
        </row>
        <row r="400">
          <cell r="A400" t="str">
            <v>ORD-2024-10399</v>
          </cell>
          <cell r="B400" t="str">
            <v>19 Jul 2024</v>
          </cell>
          <cell r="D400" t="str">
            <v>2024-07-26</v>
          </cell>
          <cell r="F400" t="str">
            <v>Valid</v>
          </cell>
          <cell r="H400" t="str">
            <v>Valid</v>
          </cell>
          <cell r="N400" t="str">
            <v>North</v>
          </cell>
          <cell r="V400" t="str">
            <v>Same Day</v>
          </cell>
          <cell r="Z400">
            <v>0.2</v>
          </cell>
          <cell r="AB400" t="str">
            <v>Valid</v>
          </cell>
          <cell r="AC400">
            <v>2021.84</v>
          </cell>
          <cell r="AE400">
            <v>2021.8400000000001</v>
          </cell>
          <cell r="AH400">
            <v>1355.22</v>
          </cell>
          <cell r="AI400">
            <v>666.62</v>
          </cell>
          <cell r="AO400" t="str">
            <v>Paid</v>
          </cell>
          <cell r="AP400" t="str">
            <v>Completed</v>
          </cell>
        </row>
        <row r="401">
          <cell r="A401" t="str">
            <v>ORD-2025-10400</v>
          </cell>
          <cell r="B401" t="str">
            <v>04/24/2025</v>
          </cell>
          <cell r="D401" t="str">
            <v>2025-04-29</v>
          </cell>
          <cell r="F401" t="str">
            <v>Valid</v>
          </cell>
          <cell r="H401" t="str">
            <v>Valid</v>
          </cell>
          <cell r="N401" t="str">
            <v>South</v>
          </cell>
          <cell r="V401" t="str">
            <v>Same Day</v>
          </cell>
          <cell r="Z401">
            <v>0.25</v>
          </cell>
          <cell r="AB401" t="str">
            <v>Valid</v>
          </cell>
          <cell r="AC401">
            <v>3268.88</v>
          </cell>
          <cell r="AE401">
            <v>3268.875</v>
          </cell>
          <cell r="AH401">
            <v>1993.74</v>
          </cell>
          <cell r="AI401">
            <v>1275.1400000000001</v>
          </cell>
          <cell r="AO401" t="str">
            <v>Paid</v>
          </cell>
          <cell r="AP401" t="str">
            <v>Completed</v>
          </cell>
        </row>
        <row r="402">
          <cell r="A402" t="str">
            <v>ORD-2025-10401</v>
          </cell>
          <cell r="B402" t="str">
            <v>06-06-2025</v>
          </cell>
          <cell r="D402" t="str">
            <v>2025-06-11</v>
          </cell>
          <cell r="F402" t="str">
            <v>Valid</v>
          </cell>
          <cell r="H402" t="str">
            <v>Valid</v>
          </cell>
          <cell r="N402" t="str">
            <v>North</v>
          </cell>
          <cell r="V402" t="str">
            <v>Same Day</v>
          </cell>
          <cell r="Z402">
            <v>-0.1</v>
          </cell>
          <cell r="AB402" t="str">
            <v>Invalid - Negative Discount</v>
          </cell>
          <cell r="AC402">
            <v>5839.3</v>
          </cell>
          <cell r="AE402">
            <v>6761.2930000000006</v>
          </cell>
          <cell r="AH402">
            <v>4877.38</v>
          </cell>
          <cell r="AI402">
            <v>961.92</v>
          </cell>
          <cell r="AO402" t="str">
            <v>Paid</v>
          </cell>
          <cell r="AP402" t="str">
            <v>Completed</v>
          </cell>
        </row>
        <row r="403">
          <cell r="A403" t="str">
            <v>ORD-2025-10402</v>
          </cell>
          <cell r="B403" t="str">
            <v>09 Mar 2025</v>
          </cell>
          <cell r="D403" t="str">
            <v>16-03-2025</v>
          </cell>
          <cell r="F403" t="str">
            <v>Valid</v>
          </cell>
          <cell r="H403" t="str">
            <v>Valid</v>
          </cell>
          <cell r="N403" t="str">
            <v>East</v>
          </cell>
          <cell r="V403" t="str">
            <v>Same Day</v>
          </cell>
          <cell r="Z403">
            <v>0</v>
          </cell>
          <cell r="AB403" t="str">
            <v>Valid</v>
          </cell>
          <cell r="AC403">
            <v>7877.55</v>
          </cell>
          <cell r="AE403">
            <v>7877.5499999999993</v>
          </cell>
          <cell r="AH403">
            <v>5562.77</v>
          </cell>
          <cell r="AI403">
            <v>2314.7800000000002</v>
          </cell>
          <cell r="AO403" t="str">
            <v>Paid</v>
          </cell>
          <cell r="AP403" t="str">
            <v>Completed</v>
          </cell>
        </row>
        <row r="404">
          <cell r="A404" t="str">
            <v>ORD-2024-10403</v>
          </cell>
          <cell r="B404" t="str">
            <v>22 Mar 2024</v>
          </cell>
          <cell r="D404" t="str">
            <v>03/22/2024</v>
          </cell>
          <cell r="F404" t="str">
            <v>Valid</v>
          </cell>
          <cell r="H404" t="str">
            <v>Valid</v>
          </cell>
          <cell r="N404" t="str">
            <v>South</v>
          </cell>
          <cell r="Z404">
            <v>0</v>
          </cell>
          <cell r="AB404" t="str">
            <v>Valid</v>
          </cell>
          <cell r="AC404">
            <v>4095.78</v>
          </cell>
          <cell r="AE404">
            <v>4095.7799999999997</v>
          </cell>
          <cell r="AH404">
            <v>2807.77</v>
          </cell>
          <cell r="AI404">
            <v>1288.01</v>
          </cell>
          <cell r="AO404" t="str">
            <v>Paid</v>
          </cell>
          <cell r="AP404" t="str">
            <v>Completed</v>
          </cell>
        </row>
        <row r="405">
          <cell r="A405" t="str">
            <v>ORD-2024-10404</v>
          </cell>
          <cell r="B405" t="str">
            <v>09/30/2024</v>
          </cell>
          <cell r="D405" t="str">
            <v>04-10-2024</v>
          </cell>
          <cell r="F405" t="str">
            <v>Valid</v>
          </cell>
          <cell r="H405" t="str">
            <v>Valid</v>
          </cell>
          <cell r="N405" t="str">
            <v>South</v>
          </cell>
          <cell r="V405" t="str">
            <v>Same Day</v>
          </cell>
          <cell r="Z405">
            <v>0.05</v>
          </cell>
          <cell r="AB405" t="str">
            <v>Valid</v>
          </cell>
          <cell r="AC405">
            <v>16683.189999999999</v>
          </cell>
          <cell r="AE405">
            <v>16683.1875</v>
          </cell>
          <cell r="AH405">
            <v>10301.16</v>
          </cell>
          <cell r="AI405">
            <v>6382.03</v>
          </cell>
          <cell r="AO405" t="str">
            <v>Paid</v>
          </cell>
          <cell r="AP405" t="str">
            <v>Returned</v>
          </cell>
        </row>
        <row r="406">
          <cell r="A406" t="str">
            <v>ORD-2024-10405</v>
          </cell>
          <cell r="B406" t="str">
            <v>27 Jan 2024</v>
          </cell>
          <cell r="D406" t="str">
            <v>02/03/2024</v>
          </cell>
          <cell r="F406" t="str">
            <v>Valid</v>
          </cell>
          <cell r="H406" t="str">
            <v>Valid</v>
          </cell>
          <cell r="N406" t="str">
            <v>West</v>
          </cell>
          <cell r="V406" t="str">
            <v>Same Day</v>
          </cell>
          <cell r="Z406">
            <v>0</v>
          </cell>
          <cell r="AB406" t="str">
            <v>Valid</v>
          </cell>
          <cell r="AC406">
            <v>1078.83</v>
          </cell>
          <cell r="AE406">
            <v>1078.83</v>
          </cell>
          <cell r="AH406">
            <v>926.35</v>
          </cell>
          <cell r="AI406">
            <v>152.47999999999999</v>
          </cell>
          <cell r="AO406" t="str">
            <v>Paid</v>
          </cell>
          <cell r="AP406" t="str">
            <v>Completed</v>
          </cell>
        </row>
        <row r="407">
          <cell r="A407" t="str">
            <v>ORD-2024-10406</v>
          </cell>
          <cell r="B407" t="str">
            <v>09/23/2024</v>
          </cell>
          <cell r="D407" t="str">
            <v>24 Sep 2024</v>
          </cell>
          <cell r="F407" t="str">
            <v>Valid</v>
          </cell>
          <cell r="H407" t="str">
            <v>Valid</v>
          </cell>
          <cell r="N407" t="str">
            <v>West</v>
          </cell>
          <cell r="Z407">
            <v>0.1</v>
          </cell>
          <cell r="AB407" t="str">
            <v>Valid</v>
          </cell>
          <cell r="AC407">
            <v>24431.46</v>
          </cell>
          <cell r="AE407">
            <v>24431.463</v>
          </cell>
          <cell r="AH407">
            <v>18202.36</v>
          </cell>
          <cell r="AI407">
            <v>6229.1</v>
          </cell>
          <cell r="AO407" t="str">
            <v>Paid</v>
          </cell>
          <cell r="AP407" t="str">
            <v>Completed</v>
          </cell>
        </row>
        <row r="408">
          <cell r="A408" t="str">
            <v>ORD-2025-10407</v>
          </cell>
          <cell r="B408" t="str">
            <v>25 Feb 2025</v>
          </cell>
          <cell r="D408" t="str">
            <v>25 Feb 2025</v>
          </cell>
          <cell r="F408" t="str">
            <v>Valid</v>
          </cell>
          <cell r="H408" t="str">
            <v>Valid</v>
          </cell>
          <cell r="N408" t="str">
            <v>West</v>
          </cell>
          <cell r="V408" t="str">
            <v>Standard Class</v>
          </cell>
          <cell r="Z408">
            <v>0.25</v>
          </cell>
          <cell r="AB408" t="str">
            <v>Valid</v>
          </cell>
          <cell r="AC408">
            <v>5886.3</v>
          </cell>
          <cell r="AE408">
            <v>5886.2999999999993</v>
          </cell>
          <cell r="AH408">
            <v>3621.76</v>
          </cell>
          <cell r="AI408">
            <v>2264.54</v>
          </cell>
          <cell r="AO408" t="str">
            <v>Pending</v>
          </cell>
          <cell r="AP408" t="str">
            <v>Returned</v>
          </cell>
        </row>
        <row r="409">
          <cell r="A409" t="str">
            <v>ORD-2024-10408</v>
          </cell>
          <cell r="B409" t="str">
            <v>12 May 2024</v>
          </cell>
          <cell r="D409" t="str">
            <v>13 May 2024</v>
          </cell>
          <cell r="F409" t="str">
            <v>Valid</v>
          </cell>
          <cell r="H409" t="str">
            <v>Valid</v>
          </cell>
          <cell r="N409" t="str">
            <v>West</v>
          </cell>
          <cell r="V409" t="str">
            <v>Second Class</v>
          </cell>
          <cell r="Z409">
            <v>0</v>
          </cell>
          <cell r="AB409" t="str">
            <v>Valid</v>
          </cell>
          <cell r="AC409">
            <v>7933.65</v>
          </cell>
          <cell r="AE409">
            <v>7933.6500000000005</v>
          </cell>
          <cell r="AH409">
            <v>5698.42</v>
          </cell>
          <cell r="AI409">
            <v>2235.23</v>
          </cell>
          <cell r="AO409" t="str">
            <v>Paid</v>
          </cell>
          <cell r="AP409" t="str">
            <v>Completed</v>
          </cell>
        </row>
        <row r="410">
          <cell r="A410" t="str">
            <v>ORD-2025-10409</v>
          </cell>
          <cell r="B410" t="str">
            <v>08/01/2025</v>
          </cell>
          <cell r="D410" t="str">
            <v>08/03/2025</v>
          </cell>
          <cell r="F410" t="str">
            <v>Valid</v>
          </cell>
          <cell r="H410" t="str">
            <v>Valid</v>
          </cell>
          <cell r="N410" t="str">
            <v>West</v>
          </cell>
          <cell r="V410" t="str">
            <v>First Class</v>
          </cell>
          <cell r="Z410">
            <v>0</v>
          </cell>
          <cell r="AB410" t="str">
            <v>Valid</v>
          </cell>
          <cell r="AC410">
            <v>7093.84</v>
          </cell>
          <cell r="AE410">
            <v>7093.84</v>
          </cell>
          <cell r="AH410">
            <v>4587.49</v>
          </cell>
          <cell r="AI410">
            <v>2506.35</v>
          </cell>
          <cell r="AO410" t="str">
            <v>Failed</v>
          </cell>
          <cell r="AP410" t="str">
            <v>Returned</v>
          </cell>
        </row>
        <row r="411">
          <cell r="A411" t="str">
            <v>ORD-2025-10410</v>
          </cell>
          <cell r="B411" t="str">
            <v>13-02-2025</v>
          </cell>
          <cell r="D411" t="str">
            <v>15-02-2025</v>
          </cell>
          <cell r="F411" t="str">
            <v>Valid</v>
          </cell>
          <cell r="H411" t="str">
            <v>Valid</v>
          </cell>
          <cell r="N411" t="str">
            <v>East</v>
          </cell>
          <cell r="V411" t="str">
            <v>Same Day</v>
          </cell>
          <cell r="Z411">
            <v>0.25</v>
          </cell>
          <cell r="AB411" t="str">
            <v>Valid</v>
          </cell>
          <cell r="AC411">
            <v>2269.1</v>
          </cell>
          <cell r="AE411">
            <v>2269.0950000000003</v>
          </cell>
          <cell r="AH411">
            <v>1593.59</v>
          </cell>
          <cell r="AI411">
            <v>675.51</v>
          </cell>
          <cell r="AO411" t="str">
            <v>Refunded</v>
          </cell>
          <cell r="AP411" t="str">
            <v>Returned</v>
          </cell>
        </row>
        <row r="412">
          <cell r="A412" t="str">
            <v>ORD-2024-10411</v>
          </cell>
          <cell r="B412" t="str">
            <v>2024-04-12</v>
          </cell>
          <cell r="D412" t="str">
            <v>20 Apr 2024</v>
          </cell>
          <cell r="F412" t="str">
            <v>Valid</v>
          </cell>
          <cell r="H412" t="str">
            <v>Valid</v>
          </cell>
          <cell r="N412" t="str">
            <v>West</v>
          </cell>
          <cell r="V412" t="str">
            <v>First Class</v>
          </cell>
          <cell r="Z412">
            <v>0.2</v>
          </cell>
          <cell r="AB412" t="str">
            <v>Valid</v>
          </cell>
          <cell r="AC412">
            <v>9378.7900000000009</v>
          </cell>
          <cell r="AE412">
            <v>9378.7919999999995</v>
          </cell>
          <cell r="AH412">
            <v>6774.48</v>
          </cell>
          <cell r="AI412">
            <v>2604.31</v>
          </cell>
          <cell r="AO412" t="str">
            <v>Paid</v>
          </cell>
          <cell r="AP412" t="str">
            <v>Completed</v>
          </cell>
        </row>
        <row r="413">
          <cell r="A413" t="str">
            <v>ORD-2025-10412</v>
          </cell>
          <cell r="B413" t="str">
            <v>2025-08-23</v>
          </cell>
          <cell r="D413" t="str">
            <v>2025-08-28</v>
          </cell>
          <cell r="F413" t="str">
            <v>Valid</v>
          </cell>
          <cell r="H413" t="str">
            <v>Valid</v>
          </cell>
          <cell r="N413" t="str">
            <v>West</v>
          </cell>
          <cell r="V413" t="str">
            <v>First Class</v>
          </cell>
          <cell r="Z413">
            <v>0.2</v>
          </cell>
          <cell r="AB413" t="str">
            <v>Valid</v>
          </cell>
          <cell r="AC413">
            <v>3334.25</v>
          </cell>
          <cell r="AE413">
            <v>3334.2480000000005</v>
          </cell>
          <cell r="AH413">
            <v>2768.77</v>
          </cell>
          <cell r="AI413">
            <v>565.48</v>
          </cell>
          <cell r="AO413" t="str">
            <v>Failed</v>
          </cell>
          <cell r="AP413" t="str">
            <v>Returned</v>
          </cell>
        </row>
        <row r="414">
          <cell r="A414" t="str">
            <v>ORD-2024-10413</v>
          </cell>
          <cell r="B414" t="str">
            <v>2024-01-22</v>
          </cell>
          <cell r="D414" t="str">
            <v>30-01-2024</v>
          </cell>
          <cell r="F414" t="str">
            <v>Valid</v>
          </cell>
          <cell r="H414" t="str">
            <v>Valid</v>
          </cell>
          <cell r="N414" t="str">
            <v>South</v>
          </cell>
          <cell r="V414" t="str">
            <v>Same Day</v>
          </cell>
          <cell r="Z414">
            <v>0.25</v>
          </cell>
          <cell r="AB414" t="str">
            <v>Valid</v>
          </cell>
          <cell r="AC414">
            <v>1583.54</v>
          </cell>
          <cell r="AE414">
            <v>1583.5425</v>
          </cell>
          <cell r="AH414">
            <v>1014.19</v>
          </cell>
          <cell r="AI414">
            <v>569.35</v>
          </cell>
          <cell r="AO414" t="str">
            <v>Paid</v>
          </cell>
          <cell r="AP414" t="str">
            <v>Completed</v>
          </cell>
        </row>
        <row r="415">
          <cell r="A415" t="str">
            <v>ORD-2025-10414</v>
          </cell>
          <cell r="B415" t="str">
            <v>13-08-2025</v>
          </cell>
          <cell r="D415" t="str">
            <v>17-08-2025</v>
          </cell>
          <cell r="F415" t="str">
            <v>Valid</v>
          </cell>
          <cell r="H415" t="str">
            <v>Valid</v>
          </cell>
          <cell r="N415" t="str">
            <v>West</v>
          </cell>
          <cell r="V415" t="str">
            <v>Second Class</v>
          </cell>
          <cell r="Z415">
            <v>0</v>
          </cell>
          <cell r="AB415" t="str">
            <v>Valid</v>
          </cell>
          <cell r="AC415">
            <v>15345.84</v>
          </cell>
          <cell r="AE415">
            <v>15345.84</v>
          </cell>
          <cell r="AH415">
            <v>10735.33</v>
          </cell>
          <cell r="AI415">
            <v>4610.51</v>
          </cell>
          <cell r="AO415" t="str">
            <v>Pending</v>
          </cell>
          <cell r="AP415" t="str">
            <v>Cancelled</v>
          </cell>
        </row>
        <row r="416">
          <cell r="A416" t="str">
            <v>ORD-2024-10415</v>
          </cell>
          <cell r="B416" t="str">
            <v>2024-08-29</v>
          </cell>
          <cell r="D416" t="str">
            <v>08/30/2024</v>
          </cell>
          <cell r="F416" t="str">
            <v>Valid</v>
          </cell>
          <cell r="H416" t="str">
            <v>Valid</v>
          </cell>
          <cell r="N416" t="str">
            <v>East</v>
          </cell>
          <cell r="V416" t="str">
            <v>First Class</v>
          </cell>
          <cell r="Z416">
            <v>0.05</v>
          </cell>
          <cell r="AB416" t="str">
            <v>Valid</v>
          </cell>
          <cell r="AC416">
            <v>9439.5</v>
          </cell>
          <cell r="AE416">
            <v>9439.503999999999</v>
          </cell>
          <cell r="AH416">
            <v>5519.39</v>
          </cell>
          <cell r="AI416">
            <v>3920.11</v>
          </cell>
          <cell r="AO416" t="str">
            <v>Paid</v>
          </cell>
          <cell r="AP416" t="str">
            <v>Completed</v>
          </cell>
        </row>
        <row r="417">
          <cell r="A417" t="str">
            <v>ORD-2024-10416</v>
          </cell>
          <cell r="B417" t="str">
            <v>01/25/2024</v>
          </cell>
          <cell r="D417" t="str">
            <v>27 Jan 2024</v>
          </cell>
          <cell r="F417" t="str">
            <v>Valid</v>
          </cell>
          <cell r="H417" t="str">
            <v>Valid</v>
          </cell>
          <cell r="N417" t="str">
            <v>South</v>
          </cell>
          <cell r="V417" t="str">
            <v>Same Day</v>
          </cell>
          <cell r="Z417">
            <v>0.15</v>
          </cell>
          <cell r="AB417" t="str">
            <v>Valid</v>
          </cell>
          <cell r="AC417">
            <v>10277.200000000001</v>
          </cell>
          <cell r="AE417">
            <v>10277.197</v>
          </cell>
          <cell r="AH417">
            <v>7906.5</v>
          </cell>
          <cell r="AI417">
            <v>2370.6999999999998</v>
          </cell>
          <cell r="AO417" t="str">
            <v>Paid</v>
          </cell>
          <cell r="AP417" t="str">
            <v>Returned</v>
          </cell>
        </row>
        <row r="418">
          <cell r="A418" t="str">
            <v>ORD-2025-10417</v>
          </cell>
          <cell r="B418" t="str">
            <v>2025-01-08</v>
          </cell>
          <cell r="D418" t="str">
            <v>16-01-2025</v>
          </cell>
          <cell r="F418" t="str">
            <v>Valid</v>
          </cell>
          <cell r="H418" t="str">
            <v>Valid</v>
          </cell>
          <cell r="N418" t="str">
            <v>South</v>
          </cell>
          <cell r="V418" t="str">
            <v>First Class</v>
          </cell>
          <cell r="Z418">
            <v>0.25</v>
          </cell>
          <cell r="AB418" t="str">
            <v>Valid</v>
          </cell>
          <cell r="AC418">
            <v>3833.7</v>
          </cell>
          <cell r="AE418">
            <v>3833.7000000000003</v>
          </cell>
          <cell r="AH418">
            <v>2886.35</v>
          </cell>
          <cell r="AI418">
            <v>947.35</v>
          </cell>
          <cell r="AO418" t="str">
            <v>Paid</v>
          </cell>
          <cell r="AP418" t="str">
            <v>Completed</v>
          </cell>
        </row>
        <row r="419">
          <cell r="A419" t="str">
            <v>ORD-2025-10418</v>
          </cell>
          <cell r="B419" t="str">
            <v>01/29/2025</v>
          </cell>
          <cell r="D419" t="str">
            <v>02/05/2025</v>
          </cell>
          <cell r="F419" t="str">
            <v>Valid</v>
          </cell>
          <cell r="H419" t="str">
            <v>Valid</v>
          </cell>
          <cell r="N419" t="str">
            <v>West</v>
          </cell>
          <cell r="V419" t="str">
            <v>First Class</v>
          </cell>
          <cell r="Z419">
            <v>0.2</v>
          </cell>
          <cell r="AB419" t="str">
            <v>Valid</v>
          </cell>
          <cell r="AC419">
            <v>18542.400000000001</v>
          </cell>
          <cell r="AE419">
            <v>18542.400000000001</v>
          </cell>
          <cell r="AH419">
            <v>11193.75</v>
          </cell>
          <cell r="AI419">
            <v>7348.65</v>
          </cell>
          <cell r="AO419" t="str">
            <v>Paid</v>
          </cell>
          <cell r="AP419" t="str">
            <v>Completed</v>
          </cell>
        </row>
        <row r="420">
          <cell r="A420" t="str">
            <v>ORD-2024-10419</v>
          </cell>
          <cell r="B420" t="str">
            <v>11/09/2024</v>
          </cell>
          <cell r="D420" t="str">
            <v>11/17/2024</v>
          </cell>
          <cell r="F420" t="str">
            <v>Valid</v>
          </cell>
          <cell r="H420" t="str">
            <v>Valid</v>
          </cell>
          <cell r="N420" t="str">
            <v>East</v>
          </cell>
          <cell r="V420" t="str">
            <v>Standard Class</v>
          </cell>
          <cell r="Z420">
            <v>0</v>
          </cell>
          <cell r="AB420" t="str">
            <v>Valid</v>
          </cell>
          <cell r="AC420">
            <v>21962.400000000001</v>
          </cell>
          <cell r="AE420">
            <v>21962.400000000001</v>
          </cell>
          <cell r="AH420">
            <v>15331.99</v>
          </cell>
          <cell r="AI420">
            <v>6630.41</v>
          </cell>
          <cell r="AO420" t="str">
            <v>Failed</v>
          </cell>
          <cell r="AP420" t="str">
            <v>Cancelled</v>
          </cell>
        </row>
        <row r="421">
          <cell r="A421" t="str">
            <v>ORD-2025-10420</v>
          </cell>
          <cell r="B421" t="str">
            <v>26-09-2025</v>
          </cell>
          <cell r="D421" t="str">
            <v>09/30/2025</v>
          </cell>
          <cell r="F421" t="str">
            <v>Valid</v>
          </cell>
          <cell r="H421" t="str">
            <v>Valid</v>
          </cell>
          <cell r="N421" t="str">
            <v>North</v>
          </cell>
          <cell r="V421" t="str">
            <v>Same Day</v>
          </cell>
          <cell r="Z421">
            <v>0.05</v>
          </cell>
          <cell r="AB421" t="str">
            <v>Valid</v>
          </cell>
          <cell r="AC421">
            <v>1308.78</v>
          </cell>
          <cell r="AE421">
            <v>1308.777</v>
          </cell>
          <cell r="AH421">
            <v>843</v>
          </cell>
          <cell r="AI421">
            <v>465.78</v>
          </cell>
          <cell r="AO421" t="str">
            <v>Paid</v>
          </cell>
          <cell r="AP421" t="str">
            <v>Completed</v>
          </cell>
        </row>
        <row r="422">
          <cell r="A422" t="str">
            <v>ORD-2025-10421</v>
          </cell>
          <cell r="B422" t="str">
            <v>18-03-2025</v>
          </cell>
          <cell r="D422" t="str">
            <v>2025-03-19</v>
          </cell>
          <cell r="F422" t="str">
            <v>Valid</v>
          </cell>
          <cell r="H422" t="str">
            <v>Valid</v>
          </cell>
          <cell r="N422" t="str">
            <v>South</v>
          </cell>
          <cell r="V422" t="str">
            <v>Standard Class</v>
          </cell>
          <cell r="Z422">
            <v>0.25</v>
          </cell>
          <cell r="AB422" t="str">
            <v>Valid</v>
          </cell>
          <cell r="AC422">
            <v>1814.99</v>
          </cell>
          <cell r="AE422">
            <v>1814.9850000000001</v>
          </cell>
          <cell r="AH422">
            <v>1120.06</v>
          </cell>
          <cell r="AI422">
            <v>694.93</v>
          </cell>
          <cell r="AO422" t="str">
            <v>Pending</v>
          </cell>
          <cell r="AP422" t="str">
            <v>Cancelled</v>
          </cell>
        </row>
        <row r="423">
          <cell r="A423" t="str">
            <v>ORD-2025-10422</v>
          </cell>
          <cell r="B423" t="str">
            <v>06/14/2025</v>
          </cell>
          <cell r="D423" t="str">
            <v>19 Jun 2025</v>
          </cell>
          <cell r="F423" t="str">
            <v>Valid</v>
          </cell>
          <cell r="H423" t="str">
            <v>Valid</v>
          </cell>
          <cell r="N423" t="str">
            <v>North</v>
          </cell>
          <cell r="V423" t="str">
            <v>Same Day</v>
          </cell>
          <cell r="Z423">
            <v>0.2</v>
          </cell>
          <cell r="AB423" t="str">
            <v>Valid</v>
          </cell>
          <cell r="AC423">
            <v>2489.88</v>
          </cell>
          <cell r="AE423">
            <v>2489.8800000000006</v>
          </cell>
          <cell r="AH423">
            <v>1707.52</v>
          </cell>
          <cell r="AI423">
            <v>782.36</v>
          </cell>
          <cell r="AO423" t="str">
            <v>Pending</v>
          </cell>
          <cell r="AP423" t="str">
            <v>Returned</v>
          </cell>
        </row>
        <row r="424">
          <cell r="A424" t="str">
            <v>ORD-2025-10423</v>
          </cell>
          <cell r="B424" t="str">
            <v>09/03/2025</v>
          </cell>
          <cell r="D424" t="str">
            <v>06 Sep 2025</v>
          </cell>
          <cell r="F424" t="str">
            <v>Valid</v>
          </cell>
          <cell r="H424" t="str">
            <v>Valid</v>
          </cell>
          <cell r="N424" t="str">
            <v>West</v>
          </cell>
          <cell r="V424" t="str">
            <v>Same Day</v>
          </cell>
          <cell r="Z424">
            <v>0.15</v>
          </cell>
          <cell r="AB424" t="str">
            <v>Valid</v>
          </cell>
          <cell r="AC424">
            <v>4098.66</v>
          </cell>
          <cell r="AE424">
            <v>4098.6574999999993</v>
          </cell>
          <cell r="AH424">
            <v>2678.06</v>
          </cell>
          <cell r="AI424">
            <v>1420.6</v>
          </cell>
          <cell r="AO424" t="str">
            <v>Paid</v>
          </cell>
          <cell r="AP424" t="str">
            <v>Completed</v>
          </cell>
        </row>
        <row r="425">
          <cell r="A425" t="str">
            <v>ORD-2024-10424</v>
          </cell>
          <cell r="B425" t="str">
            <v>2024-02-20</v>
          </cell>
          <cell r="D425" t="str">
            <v>27-02-2024</v>
          </cell>
          <cell r="F425" t="str">
            <v>Valid</v>
          </cell>
          <cell r="H425" t="str">
            <v>Valid</v>
          </cell>
          <cell r="N425" t="str">
            <v>South</v>
          </cell>
          <cell r="V425" t="str">
            <v>FIRST CLASS</v>
          </cell>
          <cell r="Z425">
            <v>0.2</v>
          </cell>
          <cell r="AB425" t="str">
            <v>Valid</v>
          </cell>
          <cell r="AC425">
            <v>27211.03</v>
          </cell>
          <cell r="AE425">
            <v>27211.032000000003</v>
          </cell>
          <cell r="AH425">
            <v>17940.43</v>
          </cell>
          <cell r="AI425">
            <v>9270.6</v>
          </cell>
          <cell r="AO425" t="str">
            <v>Paid</v>
          </cell>
          <cell r="AP425" t="str">
            <v>Completed</v>
          </cell>
        </row>
        <row r="426">
          <cell r="A426" t="str">
            <v>ORD-2024-10425</v>
          </cell>
          <cell r="B426" t="str">
            <v>06/26/2024</v>
          </cell>
          <cell r="D426" t="str">
            <v>2024-06-29</v>
          </cell>
          <cell r="F426" t="str">
            <v>Valid</v>
          </cell>
          <cell r="H426" t="str">
            <v>Valid</v>
          </cell>
          <cell r="N426" t="str">
            <v>North</v>
          </cell>
          <cell r="V426" t="str">
            <v>Standard Class</v>
          </cell>
          <cell r="Z426">
            <v>0</v>
          </cell>
          <cell r="AB426" t="str">
            <v>Valid</v>
          </cell>
          <cell r="AC426">
            <v>6436.16</v>
          </cell>
          <cell r="AE426">
            <v>6436.16</v>
          </cell>
          <cell r="AH426">
            <v>4263.83</v>
          </cell>
          <cell r="AI426">
            <v>2172.33</v>
          </cell>
          <cell r="AO426" t="str">
            <v>Paid</v>
          </cell>
          <cell r="AP426" t="str">
            <v>Completed</v>
          </cell>
        </row>
        <row r="427">
          <cell r="A427" t="str">
            <v>ORD-2024-10426</v>
          </cell>
          <cell r="B427" t="str">
            <v>26-09-2024</v>
          </cell>
          <cell r="D427" t="str">
            <v>09/27/2024</v>
          </cell>
          <cell r="F427" t="str">
            <v>Valid</v>
          </cell>
          <cell r="H427" t="str">
            <v>Valid</v>
          </cell>
          <cell r="N427" t="str">
            <v>North</v>
          </cell>
          <cell r="V427" t="str">
            <v>First Class</v>
          </cell>
          <cell r="Z427">
            <v>0.1</v>
          </cell>
          <cell r="AB427" t="str">
            <v>Valid</v>
          </cell>
          <cell r="AC427">
            <v>1918.24</v>
          </cell>
          <cell r="AE427">
            <v>1918.2420000000002</v>
          </cell>
          <cell r="AH427">
            <v>1373.52</v>
          </cell>
          <cell r="AI427">
            <v>544.72</v>
          </cell>
          <cell r="AO427" t="str">
            <v>Refunded</v>
          </cell>
          <cell r="AP427" t="str">
            <v>Cancelled</v>
          </cell>
        </row>
        <row r="428">
          <cell r="A428" t="str">
            <v>ORD-2024-10427</v>
          </cell>
          <cell r="B428" t="str">
            <v>30-06-2024</v>
          </cell>
          <cell r="D428" t="str">
            <v>01-07-2024</v>
          </cell>
          <cell r="F428" t="str">
            <v>Valid</v>
          </cell>
          <cell r="H428" t="str">
            <v>Valid</v>
          </cell>
          <cell r="N428" t="str">
            <v>North</v>
          </cell>
          <cell r="V428" t="str">
            <v>Same Day</v>
          </cell>
          <cell r="Z428">
            <v>0.1</v>
          </cell>
          <cell r="AB428" t="str">
            <v>Valid</v>
          </cell>
          <cell r="AC428">
            <v>27047.95</v>
          </cell>
          <cell r="AE428">
            <v>27047.952000000001</v>
          </cell>
          <cell r="AH428">
            <v>18431.330000000002</v>
          </cell>
          <cell r="AI428">
            <v>8616.6200000000008</v>
          </cell>
          <cell r="AO428" t="str">
            <v>Paid</v>
          </cell>
          <cell r="AP428" t="str">
            <v>Completed</v>
          </cell>
        </row>
        <row r="429">
          <cell r="A429" t="str">
            <v>ORD-2025-10428</v>
          </cell>
          <cell r="B429" t="str">
            <v>2025-04-22</v>
          </cell>
          <cell r="D429" t="str">
            <v>24-04-2025</v>
          </cell>
          <cell r="F429" t="str">
            <v>Valid</v>
          </cell>
          <cell r="H429" t="str">
            <v>Valid</v>
          </cell>
          <cell r="V429" t="str">
            <v>STANDARD CLASS</v>
          </cell>
          <cell r="Z429">
            <v>0</v>
          </cell>
          <cell r="AB429" t="str">
            <v>Valid</v>
          </cell>
          <cell r="AC429">
            <v>26454.959999999999</v>
          </cell>
          <cell r="AE429">
            <v>26454.959999999999</v>
          </cell>
          <cell r="AH429">
            <v>17630.25</v>
          </cell>
          <cell r="AI429">
            <v>8824.7099999999991</v>
          </cell>
          <cell r="AO429" t="str">
            <v>Paid</v>
          </cell>
          <cell r="AP429" t="str">
            <v>Completed</v>
          </cell>
        </row>
        <row r="430">
          <cell r="A430" t="str">
            <v>ORD-2025-10429</v>
          </cell>
          <cell r="B430" t="str">
            <v>2025-03-15</v>
          </cell>
          <cell r="D430" t="str">
            <v>22 Mar 2025</v>
          </cell>
          <cell r="F430" t="str">
            <v>Valid</v>
          </cell>
          <cell r="H430" t="str">
            <v>Valid</v>
          </cell>
          <cell r="N430" t="str">
            <v>East</v>
          </cell>
          <cell r="V430" t="str">
            <v>Same Day</v>
          </cell>
          <cell r="Z430">
            <v>0.25</v>
          </cell>
          <cell r="AB430" t="str">
            <v>Valid</v>
          </cell>
          <cell r="AC430">
            <v>1853.89</v>
          </cell>
          <cell r="AE430">
            <v>1853.895</v>
          </cell>
          <cell r="AH430">
            <v>1101.23</v>
          </cell>
          <cell r="AI430">
            <v>752.66</v>
          </cell>
          <cell r="AO430" t="str">
            <v>Pending</v>
          </cell>
          <cell r="AP430" t="str">
            <v>Cancelled</v>
          </cell>
        </row>
        <row r="431">
          <cell r="A431" t="str">
            <v>ORD-2025-10430</v>
          </cell>
          <cell r="B431" t="str">
            <v>01 Mar 2025</v>
          </cell>
          <cell r="D431" t="str">
            <v>08-03-2025</v>
          </cell>
          <cell r="F431" t="str">
            <v>Valid</v>
          </cell>
          <cell r="H431" t="str">
            <v>Valid</v>
          </cell>
          <cell r="N431" t="str">
            <v>North</v>
          </cell>
          <cell r="V431" t="str">
            <v>Same Day</v>
          </cell>
          <cell r="Z431">
            <v>0.25</v>
          </cell>
          <cell r="AB431" t="str">
            <v>Valid</v>
          </cell>
          <cell r="AC431">
            <v>17658.599999999999</v>
          </cell>
          <cell r="AE431">
            <v>17658.599999999999</v>
          </cell>
          <cell r="AH431">
            <v>13842.48</v>
          </cell>
          <cell r="AI431">
            <v>3816.12</v>
          </cell>
          <cell r="AO431" t="str">
            <v>Paid</v>
          </cell>
          <cell r="AP431" t="str">
            <v>Completed</v>
          </cell>
        </row>
        <row r="432">
          <cell r="A432" t="str">
            <v>ORD-2024-10431</v>
          </cell>
          <cell r="B432" t="str">
            <v>30 Aug 2024</v>
          </cell>
          <cell r="D432" t="str">
            <v>02-09-2024</v>
          </cell>
          <cell r="F432" t="str">
            <v>Valid</v>
          </cell>
          <cell r="H432" t="str">
            <v>Valid</v>
          </cell>
          <cell r="N432" t="str">
            <v>North</v>
          </cell>
          <cell r="V432" t="str">
            <v>Second Class</v>
          </cell>
          <cell r="Z432">
            <v>0.15</v>
          </cell>
          <cell r="AB432" t="str">
            <v>Valid</v>
          </cell>
          <cell r="AC432">
            <v>3672.71</v>
          </cell>
          <cell r="AE432">
            <v>3672.7139999999999</v>
          </cell>
          <cell r="AH432">
            <v>2714.23</v>
          </cell>
          <cell r="AI432">
            <v>763.38</v>
          </cell>
          <cell r="AO432" t="str">
            <v>Paid</v>
          </cell>
          <cell r="AP432" t="str">
            <v>Completed</v>
          </cell>
        </row>
        <row r="433">
          <cell r="A433" t="str">
            <v>ORD-2024-10432</v>
          </cell>
          <cell r="B433" t="str">
            <v>10 Feb 2024</v>
          </cell>
          <cell r="D433" t="str">
            <v>02/13/2024</v>
          </cell>
          <cell r="F433" t="str">
            <v>Valid</v>
          </cell>
          <cell r="H433" t="str">
            <v>Valid</v>
          </cell>
          <cell r="N433" t="str">
            <v>West</v>
          </cell>
          <cell r="V433" t="str">
            <v>Same Day</v>
          </cell>
          <cell r="Z433">
            <v>0.25</v>
          </cell>
          <cell r="AB433" t="str">
            <v>Valid</v>
          </cell>
          <cell r="AC433">
            <v>6177.67</v>
          </cell>
          <cell r="AE433">
            <v>6177.6749999999993</v>
          </cell>
          <cell r="AH433">
            <v>4520.75</v>
          </cell>
          <cell r="AI433">
            <v>1656.92</v>
          </cell>
          <cell r="AO433" t="str">
            <v>Paid</v>
          </cell>
          <cell r="AP433" t="str">
            <v>Completed</v>
          </cell>
        </row>
        <row r="434">
          <cell r="A434" t="str">
            <v>ORD-2024-10433</v>
          </cell>
          <cell r="B434" t="str">
            <v>08/29/2024</v>
          </cell>
          <cell r="D434" t="str">
            <v>02-09-2024</v>
          </cell>
          <cell r="F434" t="str">
            <v>Valid</v>
          </cell>
          <cell r="H434" t="str">
            <v>Valid</v>
          </cell>
          <cell r="N434" t="str">
            <v>West</v>
          </cell>
          <cell r="V434" t="str">
            <v>Standard Class</v>
          </cell>
          <cell r="Z434">
            <v>0.05</v>
          </cell>
          <cell r="AB434" t="str">
            <v>Valid</v>
          </cell>
          <cell r="AC434">
            <v>985.07</v>
          </cell>
          <cell r="AE434">
            <v>985.07400000000007</v>
          </cell>
          <cell r="AH434">
            <v>844.48</v>
          </cell>
          <cell r="AI434">
            <v>140.59</v>
          </cell>
          <cell r="AO434" t="str">
            <v>Paid</v>
          </cell>
          <cell r="AP434" t="str">
            <v>Completed</v>
          </cell>
        </row>
        <row r="435">
          <cell r="A435" t="str">
            <v>ORD-2024-10434</v>
          </cell>
          <cell r="B435" t="str">
            <v>04/19/2024</v>
          </cell>
          <cell r="D435" t="str">
            <v>20-04-2024</v>
          </cell>
          <cell r="F435" t="str">
            <v>Valid</v>
          </cell>
          <cell r="H435" t="str">
            <v>Valid</v>
          </cell>
          <cell r="N435" t="str">
            <v>South</v>
          </cell>
          <cell r="V435" t="str">
            <v>Second Class</v>
          </cell>
          <cell r="Z435">
            <v>0</v>
          </cell>
          <cell r="AB435" t="str">
            <v>Valid</v>
          </cell>
          <cell r="AC435">
            <v>6160.88</v>
          </cell>
          <cell r="AE435">
            <v>6160.88</v>
          </cell>
          <cell r="AH435">
            <v>4938.7</v>
          </cell>
          <cell r="AI435">
            <v>1222.18</v>
          </cell>
          <cell r="AO435" t="str">
            <v>Refunded</v>
          </cell>
          <cell r="AP435" t="str">
            <v>Returned</v>
          </cell>
        </row>
        <row r="436">
          <cell r="A436" t="str">
            <v>ORD-2025-10435</v>
          </cell>
          <cell r="B436" t="str">
            <v>04/11/2025</v>
          </cell>
          <cell r="D436" t="str">
            <v>2025-04-15</v>
          </cell>
          <cell r="F436" t="str">
            <v>Valid</v>
          </cell>
          <cell r="H436" t="str">
            <v>Valid</v>
          </cell>
          <cell r="N436" t="str">
            <v>North</v>
          </cell>
          <cell r="V436" t="str">
            <v>Second Class</v>
          </cell>
          <cell r="Z436">
            <v>0</v>
          </cell>
          <cell r="AB436" t="str">
            <v>Valid</v>
          </cell>
          <cell r="AC436">
            <v>3263.9</v>
          </cell>
          <cell r="AE436">
            <v>3263.8999999999996</v>
          </cell>
          <cell r="AH436">
            <v>2068.44</v>
          </cell>
          <cell r="AI436">
            <v>1195.46</v>
          </cell>
          <cell r="AO436" t="str">
            <v>Paid</v>
          </cell>
          <cell r="AP436" t="str">
            <v>Completed</v>
          </cell>
        </row>
        <row r="437">
          <cell r="A437" t="str">
            <v>ORD-2025-10436</v>
          </cell>
          <cell r="B437" t="str">
            <v>2025-04-12</v>
          </cell>
          <cell r="D437" t="str">
            <v>20-04-2025</v>
          </cell>
          <cell r="F437" t="str">
            <v>Valid</v>
          </cell>
          <cell r="H437" t="str">
            <v>Valid</v>
          </cell>
          <cell r="N437" t="str">
            <v>North</v>
          </cell>
          <cell r="V437" t="str">
            <v>Standard Class</v>
          </cell>
          <cell r="Z437">
            <v>0.15</v>
          </cell>
          <cell r="AB437" t="str">
            <v>Valid</v>
          </cell>
          <cell r="AC437">
            <v>2327.0500000000002</v>
          </cell>
          <cell r="AE437">
            <v>2327.0535</v>
          </cell>
          <cell r="AH437">
            <v>1919.42</v>
          </cell>
          <cell r="AI437">
            <v>407.63</v>
          </cell>
          <cell r="AO437" t="str">
            <v>Paid</v>
          </cell>
          <cell r="AP437" t="str">
            <v>Cancelled</v>
          </cell>
        </row>
        <row r="438">
          <cell r="A438" t="str">
            <v>ORD-2024-10437</v>
          </cell>
          <cell r="B438" t="str">
            <v>16 Jun 2024</v>
          </cell>
          <cell r="D438" t="str">
            <v>21 Jun 2024</v>
          </cell>
          <cell r="F438" t="str">
            <v>Valid</v>
          </cell>
          <cell r="H438" t="str">
            <v>Valid</v>
          </cell>
          <cell r="N438" t="str">
            <v>South</v>
          </cell>
          <cell r="V438" t="str">
            <v>Same Day</v>
          </cell>
          <cell r="Z438">
            <v>0.05</v>
          </cell>
          <cell r="AB438" t="str">
            <v>Valid</v>
          </cell>
          <cell r="AC438">
            <v>6593.65</v>
          </cell>
          <cell r="AE438">
            <v>6593.6459999999997</v>
          </cell>
          <cell r="AH438">
            <v>4359.3900000000003</v>
          </cell>
          <cell r="AI438">
            <v>2234.2600000000002</v>
          </cell>
          <cell r="AO438" t="str">
            <v>Paid</v>
          </cell>
          <cell r="AP438" t="str">
            <v>Returned</v>
          </cell>
        </row>
        <row r="439">
          <cell r="A439" t="str">
            <v>ORD-2024-10438</v>
          </cell>
          <cell r="B439" t="str">
            <v>15-02-2024</v>
          </cell>
          <cell r="D439" t="str">
            <v>2024-02-18</v>
          </cell>
          <cell r="F439" t="str">
            <v>Valid</v>
          </cell>
          <cell r="H439" t="str">
            <v>Valid</v>
          </cell>
          <cell r="N439" t="str">
            <v>South</v>
          </cell>
          <cell r="V439" t="str">
            <v>Same Day</v>
          </cell>
          <cell r="Z439">
            <v>0.05</v>
          </cell>
          <cell r="AB439" t="str">
            <v>Valid</v>
          </cell>
          <cell r="AC439">
            <v>2886.63</v>
          </cell>
          <cell r="AE439">
            <v>2886.6319999999996</v>
          </cell>
          <cell r="AH439">
            <v>1588.23</v>
          </cell>
          <cell r="AI439">
            <v>1298.4000000000001</v>
          </cell>
          <cell r="AO439" t="str">
            <v>Failed</v>
          </cell>
          <cell r="AP439" t="str">
            <v>Returned</v>
          </cell>
        </row>
        <row r="440">
          <cell r="A440" t="str">
            <v>ORD-2025-10439</v>
          </cell>
          <cell r="B440" t="str">
            <v>07 May 2025</v>
          </cell>
          <cell r="D440" t="str">
            <v>05/05/2025</v>
          </cell>
          <cell r="F440" t="str">
            <v>Invalid Shipping Record</v>
          </cell>
          <cell r="H440" t="str">
            <v>Invalid Shipping Record</v>
          </cell>
          <cell r="N440" t="str">
            <v>East</v>
          </cell>
          <cell r="V440" t="str">
            <v>Standard Class</v>
          </cell>
          <cell r="Z440">
            <v>0.2</v>
          </cell>
          <cell r="AB440" t="str">
            <v>Valid</v>
          </cell>
          <cell r="AC440">
            <v>1813.18</v>
          </cell>
          <cell r="AE440">
            <v>1813.1759999999999</v>
          </cell>
          <cell r="AH440">
            <v>1363.64</v>
          </cell>
          <cell r="AI440">
            <v>449.54</v>
          </cell>
          <cell r="AO440" t="str">
            <v>Paid</v>
          </cell>
          <cell r="AP440" t="str">
            <v>Completed</v>
          </cell>
        </row>
        <row r="441">
          <cell r="A441" t="str">
            <v>ORD-2025-10440</v>
          </cell>
          <cell r="B441" t="str">
            <v>30-06-2025</v>
          </cell>
          <cell r="D441" t="str">
            <v>03 Jul 2025</v>
          </cell>
          <cell r="F441" t="str">
            <v>Valid</v>
          </cell>
          <cell r="H441" t="str">
            <v>Valid</v>
          </cell>
          <cell r="N441" t="str">
            <v>West</v>
          </cell>
          <cell r="V441" t="str">
            <v>Same Day</v>
          </cell>
          <cell r="Z441">
            <v>0</v>
          </cell>
          <cell r="AB441" t="str">
            <v>Valid</v>
          </cell>
          <cell r="AC441">
            <v>3326.25</v>
          </cell>
          <cell r="AE441">
            <v>3326.25</v>
          </cell>
          <cell r="AH441">
            <v>2689.36</v>
          </cell>
          <cell r="AI441">
            <v>636.89</v>
          </cell>
          <cell r="AO441" t="str">
            <v>Refunded</v>
          </cell>
          <cell r="AP441" t="str">
            <v>Returned</v>
          </cell>
        </row>
        <row r="442">
          <cell r="A442" t="str">
            <v>ORD-2024-10441</v>
          </cell>
          <cell r="B442" t="str">
            <v>04/02/2024</v>
          </cell>
          <cell r="D442" t="str">
            <v>04/08/2024</v>
          </cell>
          <cell r="F442" t="str">
            <v>Valid</v>
          </cell>
          <cell r="H442" t="str">
            <v>Valid</v>
          </cell>
          <cell r="N442" t="str">
            <v>East</v>
          </cell>
          <cell r="V442" t="str">
            <v>Second Class</v>
          </cell>
          <cell r="Z442">
            <v>0.2</v>
          </cell>
          <cell r="AB442" t="str">
            <v>Valid</v>
          </cell>
          <cell r="AC442">
            <v>17869.63</v>
          </cell>
          <cell r="AE442">
            <v>17869.632000000001</v>
          </cell>
          <cell r="AH442">
            <v>12163.8</v>
          </cell>
          <cell r="AI442">
            <v>5705.83</v>
          </cell>
          <cell r="AO442" t="str">
            <v>Paid</v>
          </cell>
          <cell r="AP442" t="str">
            <v>Completed</v>
          </cell>
        </row>
        <row r="443">
          <cell r="A443" t="str">
            <v>ORD-2024-10442</v>
          </cell>
          <cell r="B443" t="str">
            <v>03-10-2024</v>
          </cell>
          <cell r="D443" t="str">
            <v>2024-10-03</v>
          </cell>
          <cell r="F443" t="str">
            <v>Valid</v>
          </cell>
          <cell r="H443" t="str">
            <v>Valid</v>
          </cell>
          <cell r="N443" t="str">
            <v>East</v>
          </cell>
          <cell r="V443" t="str">
            <v>Standard Class</v>
          </cell>
          <cell r="Z443">
            <v>0</v>
          </cell>
          <cell r="AB443" t="str">
            <v>Valid</v>
          </cell>
          <cell r="AC443">
            <v>25304.94</v>
          </cell>
          <cell r="AE443">
            <v>25304.94</v>
          </cell>
          <cell r="AH443">
            <v>20771.95</v>
          </cell>
          <cell r="AI443">
            <v>4532.99</v>
          </cell>
          <cell r="AO443" t="str">
            <v>Paid</v>
          </cell>
          <cell r="AP443" t="str">
            <v>Cancelled</v>
          </cell>
        </row>
        <row r="444">
          <cell r="A444" t="str">
            <v>ORD-2025-10443</v>
          </cell>
          <cell r="B444" t="str">
            <v>12 Jan 2025</v>
          </cell>
          <cell r="D444" t="str">
            <v>2025-01-19</v>
          </cell>
          <cell r="F444" t="str">
            <v>Valid</v>
          </cell>
          <cell r="H444" t="str">
            <v>Valid</v>
          </cell>
          <cell r="N444" t="str">
            <v>East</v>
          </cell>
          <cell r="V444" t="str">
            <v>First Class</v>
          </cell>
          <cell r="Z444">
            <v>0</v>
          </cell>
          <cell r="AB444" t="str">
            <v>Valid</v>
          </cell>
          <cell r="AC444">
            <v>1842.31</v>
          </cell>
          <cell r="AE444">
            <v>1842.31</v>
          </cell>
          <cell r="AH444">
            <v>1019.17</v>
          </cell>
          <cell r="AI444">
            <v>823.14</v>
          </cell>
          <cell r="AO444" t="str">
            <v>Paid</v>
          </cell>
          <cell r="AP444" t="str">
            <v>Completed</v>
          </cell>
        </row>
        <row r="445">
          <cell r="A445" t="str">
            <v>ORD-2024-10444</v>
          </cell>
          <cell r="B445" t="str">
            <v>04-04-2024</v>
          </cell>
          <cell r="D445" t="str">
            <v>07 Apr 2024</v>
          </cell>
          <cell r="F445" t="str">
            <v>Valid</v>
          </cell>
          <cell r="H445" t="str">
            <v>Valid</v>
          </cell>
          <cell r="N445" t="str">
            <v>East</v>
          </cell>
          <cell r="V445" t="str">
            <v>First Class</v>
          </cell>
          <cell r="Z445">
            <v>0.1</v>
          </cell>
          <cell r="AB445" t="str">
            <v>Valid</v>
          </cell>
          <cell r="AC445">
            <v>3315.38</v>
          </cell>
          <cell r="AE445">
            <v>3315.375</v>
          </cell>
          <cell r="AH445">
            <v>2347.6799999999998</v>
          </cell>
          <cell r="AI445">
            <v>967.7</v>
          </cell>
          <cell r="AO445" t="str">
            <v>Paid</v>
          </cell>
          <cell r="AP445" t="str">
            <v>Completed</v>
          </cell>
        </row>
        <row r="446">
          <cell r="A446" t="str">
            <v>ORD-2025-10445</v>
          </cell>
          <cell r="B446" t="str">
            <v>12 Aug 2025</v>
          </cell>
          <cell r="D446" t="str">
            <v>2025-08-16</v>
          </cell>
          <cell r="F446" t="str">
            <v>Valid</v>
          </cell>
          <cell r="H446" t="str">
            <v>Valid</v>
          </cell>
          <cell r="N446" t="str">
            <v>East</v>
          </cell>
          <cell r="V446" t="str">
            <v>Same Day</v>
          </cell>
          <cell r="Z446">
            <v>0.05</v>
          </cell>
          <cell r="AB446" t="str">
            <v>Valid</v>
          </cell>
          <cell r="AC446">
            <v>20342.5</v>
          </cell>
          <cell r="AE446">
            <v>20342.501999999997</v>
          </cell>
          <cell r="AH446">
            <v>12407.51</v>
          </cell>
          <cell r="AI446">
            <v>7934.99</v>
          </cell>
          <cell r="AO446" t="str">
            <v>Paid</v>
          </cell>
          <cell r="AP446" t="str">
            <v>Completed</v>
          </cell>
        </row>
        <row r="447">
          <cell r="A447" t="str">
            <v>ORD-2024-10446</v>
          </cell>
          <cell r="B447" t="str">
            <v>05/09/2024</v>
          </cell>
          <cell r="D447" t="str">
            <v>05-05-2024</v>
          </cell>
          <cell r="F447" t="str">
            <v>Invalid Shipping Record</v>
          </cell>
          <cell r="H447" t="str">
            <v>Invalid Shipping Record</v>
          </cell>
          <cell r="N447" t="str">
            <v>East</v>
          </cell>
          <cell r="V447" t="str">
            <v>Same Day</v>
          </cell>
          <cell r="Z447">
            <v>0.2</v>
          </cell>
          <cell r="AB447" t="str">
            <v>Valid</v>
          </cell>
          <cell r="AC447">
            <v>3377.97</v>
          </cell>
          <cell r="AE447">
            <v>3377.9680000000003</v>
          </cell>
          <cell r="AH447">
            <v>2496.29</v>
          </cell>
          <cell r="AI447">
            <v>881.68</v>
          </cell>
          <cell r="AO447" t="str">
            <v>Paid</v>
          </cell>
          <cell r="AP447" t="str">
            <v>Completed</v>
          </cell>
        </row>
        <row r="448">
          <cell r="A448" t="str">
            <v>ORD-2025-10447</v>
          </cell>
          <cell r="B448" t="str">
            <v>18-09-2025</v>
          </cell>
          <cell r="D448" t="str">
            <v>19-09-2025</v>
          </cell>
          <cell r="F448" t="str">
            <v>Valid</v>
          </cell>
          <cell r="H448" t="str">
            <v>Valid</v>
          </cell>
          <cell r="N448" t="str">
            <v>South</v>
          </cell>
          <cell r="V448" t="str">
            <v>Same Day</v>
          </cell>
          <cell r="Z448">
            <v>0</v>
          </cell>
          <cell r="AB448" t="str">
            <v>Valid</v>
          </cell>
          <cell r="AC448">
            <v>33940.080000000002</v>
          </cell>
          <cell r="AE448">
            <v>33940.080000000002</v>
          </cell>
          <cell r="AH448">
            <v>23754.19</v>
          </cell>
          <cell r="AI448">
            <v>10185.89</v>
          </cell>
          <cell r="AO448" t="str">
            <v>Paid</v>
          </cell>
          <cell r="AP448" t="str">
            <v>Completed</v>
          </cell>
        </row>
        <row r="449">
          <cell r="A449" t="str">
            <v>ORD-2025-10448</v>
          </cell>
          <cell r="B449" t="str">
            <v>10-08-2025</v>
          </cell>
          <cell r="D449" t="str">
            <v>10 Aug 2025</v>
          </cell>
          <cell r="F449" t="str">
            <v>Valid</v>
          </cell>
          <cell r="H449" t="str">
            <v>Valid</v>
          </cell>
          <cell r="N449" t="str">
            <v>South</v>
          </cell>
          <cell r="V449" t="str">
            <v>Standard Class</v>
          </cell>
          <cell r="Z449">
            <v>0.15</v>
          </cell>
          <cell r="AB449" t="str">
            <v>Valid</v>
          </cell>
          <cell r="AC449">
            <v>21872.37</v>
          </cell>
          <cell r="AE449">
            <v>21872.369999999995</v>
          </cell>
          <cell r="AH449">
            <v>13829.5</v>
          </cell>
          <cell r="AI449">
            <v>8042.87</v>
          </cell>
          <cell r="AO449" t="str">
            <v>Pending</v>
          </cell>
          <cell r="AP449" t="str">
            <v>Returned</v>
          </cell>
        </row>
        <row r="450">
          <cell r="A450" t="str">
            <v>ORD-2024-10449</v>
          </cell>
          <cell r="B450" t="str">
            <v>01/15/2024</v>
          </cell>
          <cell r="D450" t="str">
            <v>18 Jan 2024</v>
          </cell>
          <cell r="F450" t="str">
            <v>Valid</v>
          </cell>
          <cell r="H450" t="str">
            <v>Valid</v>
          </cell>
          <cell r="N450" t="str">
            <v>South</v>
          </cell>
          <cell r="V450" t="str">
            <v>First Class</v>
          </cell>
          <cell r="Z450">
            <v>0.15</v>
          </cell>
          <cell r="AB450" t="str">
            <v>Valid</v>
          </cell>
          <cell r="AC450">
            <v>342.06</v>
          </cell>
          <cell r="AE450">
            <v>342.05700000000002</v>
          </cell>
          <cell r="AH450">
            <v>244.57</v>
          </cell>
          <cell r="AI450">
            <v>97.49</v>
          </cell>
          <cell r="AO450" t="str">
            <v>Paid</v>
          </cell>
          <cell r="AP450" t="str">
            <v>Completed</v>
          </cell>
        </row>
        <row r="451">
          <cell r="A451" t="str">
            <v>ORD-2024-10450</v>
          </cell>
          <cell r="B451" t="str">
            <v>06-06-2024</v>
          </cell>
          <cell r="D451" t="str">
            <v>13 Jun 2024</v>
          </cell>
          <cell r="F451" t="str">
            <v>Valid</v>
          </cell>
          <cell r="H451" t="str">
            <v>Valid</v>
          </cell>
          <cell r="N451" t="str">
            <v>East</v>
          </cell>
          <cell r="V451" t="str">
            <v>Second Class</v>
          </cell>
          <cell r="Z451">
            <v>0</v>
          </cell>
          <cell r="AB451" t="str">
            <v>Valid</v>
          </cell>
          <cell r="AC451">
            <v>19622.16</v>
          </cell>
          <cell r="AE451">
            <v>19622.16</v>
          </cell>
          <cell r="AH451">
            <v>14271.27</v>
          </cell>
          <cell r="AI451">
            <v>5350.89</v>
          </cell>
          <cell r="AO451" t="str">
            <v>Paid</v>
          </cell>
          <cell r="AP451" t="str">
            <v>Completed</v>
          </cell>
        </row>
        <row r="452">
          <cell r="A452" t="str">
            <v>ORD-2025-10451</v>
          </cell>
          <cell r="B452" t="str">
            <v>06/12/2025</v>
          </cell>
          <cell r="D452" t="str">
            <v>2025-06-19</v>
          </cell>
          <cell r="F452" t="str">
            <v>Valid</v>
          </cell>
          <cell r="H452" t="str">
            <v>Valid</v>
          </cell>
          <cell r="N452" t="str">
            <v>North</v>
          </cell>
          <cell r="V452" t="str">
            <v>Standard Class</v>
          </cell>
          <cell r="Z452">
            <v>0.25</v>
          </cell>
          <cell r="AB452" t="str">
            <v>Valid</v>
          </cell>
          <cell r="AC452">
            <v>15380.35</v>
          </cell>
          <cell r="AE452">
            <v>15380.3475</v>
          </cell>
          <cell r="AH452">
            <v>9907.3700000000008</v>
          </cell>
          <cell r="AI452">
            <v>5472.98</v>
          </cell>
          <cell r="AO452" t="str">
            <v>Paid</v>
          </cell>
          <cell r="AP452" t="str">
            <v>Completed</v>
          </cell>
        </row>
        <row r="453">
          <cell r="A453" t="str">
            <v>ORD-2024-10452</v>
          </cell>
          <cell r="B453" t="str">
            <v>24-03-2024</v>
          </cell>
          <cell r="D453" t="str">
            <v>26-03-2024</v>
          </cell>
          <cell r="F453" t="str">
            <v>Valid</v>
          </cell>
          <cell r="H453" t="str">
            <v>Valid</v>
          </cell>
          <cell r="N453" t="str">
            <v>North</v>
          </cell>
          <cell r="V453" t="str">
            <v>Second Class</v>
          </cell>
          <cell r="Z453">
            <v>0.15</v>
          </cell>
          <cell r="AB453" t="str">
            <v>Valid</v>
          </cell>
          <cell r="AC453">
            <v>13039.95</v>
          </cell>
          <cell r="AE453">
            <v>13039.952000000001</v>
          </cell>
          <cell r="AH453">
            <v>11127.82</v>
          </cell>
          <cell r="AI453">
            <v>1912.13</v>
          </cell>
          <cell r="AO453" t="str">
            <v>Paid</v>
          </cell>
          <cell r="AP453" t="str">
            <v>Cancelled</v>
          </cell>
        </row>
        <row r="454">
          <cell r="A454" t="str">
            <v>ORD-2024-10453</v>
          </cell>
          <cell r="B454" t="str">
            <v>10-05-2024</v>
          </cell>
          <cell r="D454" t="str">
            <v>16-05-2024</v>
          </cell>
          <cell r="F454" t="str">
            <v>Valid</v>
          </cell>
          <cell r="H454" t="str">
            <v>Valid</v>
          </cell>
          <cell r="N454" t="str">
            <v>East</v>
          </cell>
          <cell r="V454" t="str">
            <v>Second Class</v>
          </cell>
          <cell r="Z454">
            <v>0.2</v>
          </cell>
          <cell r="AB454" t="str">
            <v>Valid</v>
          </cell>
          <cell r="AC454">
            <v>9663.98</v>
          </cell>
          <cell r="AE454">
            <v>9663.9840000000004</v>
          </cell>
          <cell r="AH454">
            <v>5628.93</v>
          </cell>
          <cell r="AI454">
            <v>4035.05</v>
          </cell>
          <cell r="AO454" t="str">
            <v>Paid</v>
          </cell>
          <cell r="AP454" t="str">
            <v>Completed</v>
          </cell>
        </row>
        <row r="455">
          <cell r="A455" t="str">
            <v>ORD-2025-10454</v>
          </cell>
          <cell r="B455" t="str">
            <v>05/03/2025</v>
          </cell>
          <cell r="D455" t="str">
            <v>2025-05-11</v>
          </cell>
          <cell r="F455" t="str">
            <v>Valid</v>
          </cell>
          <cell r="H455" t="str">
            <v>Valid</v>
          </cell>
          <cell r="N455" t="str">
            <v>West</v>
          </cell>
          <cell r="V455" t="str">
            <v>Same Day</v>
          </cell>
          <cell r="Z455">
            <v>0</v>
          </cell>
          <cell r="AB455" t="str">
            <v>Valid</v>
          </cell>
          <cell r="AC455">
            <v>7417.6</v>
          </cell>
          <cell r="AE455">
            <v>7417.6</v>
          </cell>
          <cell r="AH455">
            <v>4955.8599999999997</v>
          </cell>
          <cell r="AI455">
            <v>2461.7399999999998</v>
          </cell>
          <cell r="AO455" t="str">
            <v>Paid</v>
          </cell>
          <cell r="AP455" t="str">
            <v>Completed</v>
          </cell>
        </row>
        <row r="456">
          <cell r="A456" t="str">
            <v>ORD-2025-10455</v>
          </cell>
          <cell r="B456" t="str">
            <v>2025-03-23</v>
          </cell>
          <cell r="D456" t="str">
            <v>28-03-2025</v>
          </cell>
          <cell r="F456" t="str">
            <v>Valid</v>
          </cell>
          <cell r="H456" t="str">
            <v>Valid</v>
          </cell>
          <cell r="N456" t="str">
            <v>North</v>
          </cell>
          <cell r="V456" t="str">
            <v>Standard Class</v>
          </cell>
          <cell r="Z456">
            <v>0.15</v>
          </cell>
          <cell r="AB456" t="str">
            <v>Valid</v>
          </cell>
          <cell r="AC456">
            <v>25229.7</v>
          </cell>
          <cell r="AE456">
            <v>25229.7</v>
          </cell>
          <cell r="AH456">
            <v>20170.43</v>
          </cell>
          <cell r="AI456">
            <v>5059.2700000000004</v>
          </cell>
          <cell r="AO456" t="str">
            <v>Paid</v>
          </cell>
          <cell r="AP456" t="str">
            <v>Completed</v>
          </cell>
        </row>
        <row r="457">
          <cell r="A457" t="str">
            <v>ORD-2024-10456</v>
          </cell>
          <cell r="B457" t="str">
            <v>18 Jul 2024</v>
          </cell>
          <cell r="D457" t="str">
            <v>22-07-2024</v>
          </cell>
          <cell r="F457" t="str">
            <v>Valid</v>
          </cell>
          <cell r="H457" t="str">
            <v>Valid</v>
          </cell>
          <cell r="N457" t="str">
            <v>South</v>
          </cell>
          <cell r="V457" t="str">
            <v>Standard Class</v>
          </cell>
          <cell r="Z457">
            <v>0</v>
          </cell>
          <cell r="AB457" t="str">
            <v>Valid</v>
          </cell>
          <cell r="AC457">
            <v>3235.08</v>
          </cell>
          <cell r="AE457">
            <v>3235.08</v>
          </cell>
          <cell r="AH457">
            <v>1848.6</v>
          </cell>
          <cell r="AI457">
            <v>1386.48</v>
          </cell>
          <cell r="AO457" t="str">
            <v>Paid</v>
          </cell>
          <cell r="AP457" t="str">
            <v>Completed</v>
          </cell>
        </row>
        <row r="458">
          <cell r="A458" t="str">
            <v>ORD-2024-10457</v>
          </cell>
          <cell r="B458" t="str">
            <v>2024-02-20</v>
          </cell>
          <cell r="D458" t="str">
            <v>2024-02-20</v>
          </cell>
          <cell r="F458" t="str">
            <v>Valid</v>
          </cell>
          <cell r="H458" t="str">
            <v>Valid</v>
          </cell>
          <cell r="N458" t="str">
            <v>North</v>
          </cell>
          <cell r="V458" t="str">
            <v>Same Day</v>
          </cell>
          <cell r="Z458">
            <v>0.15</v>
          </cell>
          <cell r="AB458" t="str">
            <v>Valid</v>
          </cell>
          <cell r="AC458">
            <v>11070.87</v>
          </cell>
          <cell r="AE458">
            <v>11070.867499999998</v>
          </cell>
          <cell r="AH458">
            <v>6623.61</v>
          </cell>
          <cell r="AI458">
            <v>4447.26</v>
          </cell>
          <cell r="AO458" t="str">
            <v>Paid</v>
          </cell>
          <cell r="AP458" t="str">
            <v>Returned</v>
          </cell>
        </row>
        <row r="459">
          <cell r="A459" t="str">
            <v>ORD-2024-10458</v>
          </cell>
          <cell r="B459" t="str">
            <v>05/04/2024</v>
          </cell>
          <cell r="D459" t="str">
            <v>2024-05-04</v>
          </cell>
          <cell r="F459" t="str">
            <v>Valid</v>
          </cell>
          <cell r="H459" t="str">
            <v>Valid</v>
          </cell>
          <cell r="N459" t="str">
            <v>West</v>
          </cell>
          <cell r="V459" t="str">
            <v>Standard Class</v>
          </cell>
          <cell r="Z459">
            <v>0</v>
          </cell>
          <cell r="AB459" t="str">
            <v>Valid</v>
          </cell>
          <cell r="AC459">
            <v>19960.57</v>
          </cell>
          <cell r="AE459">
            <v>19960.57</v>
          </cell>
          <cell r="AH459">
            <v>16603.599999999999</v>
          </cell>
          <cell r="AI459">
            <v>3356.97</v>
          </cell>
          <cell r="AO459" t="str">
            <v>Paid</v>
          </cell>
          <cell r="AP459" t="str">
            <v>Completed</v>
          </cell>
        </row>
        <row r="460">
          <cell r="A460" t="str">
            <v>ORD-2024-10459</v>
          </cell>
          <cell r="B460" t="str">
            <v>2024-02-10</v>
          </cell>
          <cell r="D460" t="str">
            <v>02/11/2024</v>
          </cell>
          <cell r="F460" t="str">
            <v>Valid</v>
          </cell>
          <cell r="H460" t="str">
            <v>Valid</v>
          </cell>
          <cell r="N460" t="str">
            <v>North</v>
          </cell>
          <cell r="V460" t="str">
            <v>Second Class</v>
          </cell>
          <cell r="Z460">
            <v>0.1</v>
          </cell>
          <cell r="AB460" t="str">
            <v>Valid</v>
          </cell>
          <cell r="AC460">
            <v>8596.0400000000009</v>
          </cell>
          <cell r="AE460">
            <v>8596.0439999999999</v>
          </cell>
          <cell r="AH460">
            <v>5378.16</v>
          </cell>
          <cell r="AI460">
            <v>3217.88</v>
          </cell>
          <cell r="AO460" t="str">
            <v>Paid</v>
          </cell>
          <cell r="AP460" t="str">
            <v>Completed</v>
          </cell>
        </row>
        <row r="461">
          <cell r="A461" t="str">
            <v>ORD-2024-10460</v>
          </cell>
          <cell r="B461" t="str">
            <v>03/28/2024</v>
          </cell>
          <cell r="D461" t="str">
            <v>04-04-2024</v>
          </cell>
          <cell r="F461" t="str">
            <v>Valid</v>
          </cell>
          <cell r="H461" t="str">
            <v>Valid</v>
          </cell>
          <cell r="N461" t="str">
            <v>West</v>
          </cell>
          <cell r="V461" t="str">
            <v>First Class</v>
          </cell>
          <cell r="Z461">
            <v>0</v>
          </cell>
          <cell r="AB461" t="str">
            <v>Valid</v>
          </cell>
          <cell r="AC461">
            <v>3452.76</v>
          </cell>
          <cell r="AE461">
            <v>3452.76</v>
          </cell>
          <cell r="AH461">
            <v>2077.96</v>
          </cell>
          <cell r="AI461">
            <v>1374.8</v>
          </cell>
          <cell r="AO461" t="str">
            <v>Paid</v>
          </cell>
          <cell r="AP461" t="str">
            <v>Completed</v>
          </cell>
        </row>
        <row r="462">
          <cell r="A462" t="str">
            <v>ORD-2025-10461</v>
          </cell>
          <cell r="B462" t="str">
            <v>30 Sep 2025</v>
          </cell>
          <cell r="D462" t="str">
            <v>06 Oct 2025</v>
          </cell>
          <cell r="F462" t="str">
            <v>Valid</v>
          </cell>
          <cell r="H462" t="str">
            <v>Valid</v>
          </cell>
          <cell r="V462" t="str">
            <v>Second Class</v>
          </cell>
          <cell r="Z462">
            <v>0.05</v>
          </cell>
          <cell r="AB462" t="str">
            <v>Valid</v>
          </cell>
          <cell r="AC462">
            <v>11626.97</v>
          </cell>
          <cell r="AE462">
            <v>11626.974000000002</v>
          </cell>
          <cell r="AH462">
            <v>7394.07</v>
          </cell>
          <cell r="AI462">
            <v>4232.8999999999996</v>
          </cell>
          <cell r="AO462" t="str">
            <v>Paid</v>
          </cell>
          <cell r="AP462" t="str">
            <v>Completed</v>
          </cell>
        </row>
        <row r="463">
          <cell r="A463" t="str">
            <v>ORD-2025-10462</v>
          </cell>
          <cell r="B463" t="str">
            <v>05/25/2025</v>
          </cell>
          <cell r="D463" t="str">
            <v>05/26/2025</v>
          </cell>
          <cell r="F463" t="str">
            <v>Valid</v>
          </cell>
          <cell r="H463" t="str">
            <v>Valid</v>
          </cell>
          <cell r="N463" t="str">
            <v>South</v>
          </cell>
          <cell r="V463" t="str">
            <v>Standard Class</v>
          </cell>
          <cell r="Z463">
            <v>0.15</v>
          </cell>
          <cell r="AB463" t="str">
            <v>Valid</v>
          </cell>
          <cell r="AC463">
            <v>8614.2800000000007</v>
          </cell>
          <cell r="AE463">
            <v>8614.2825000000012</v>
          </cell>
          <cell r="AH463">
            <v>7052.08</v>
          </cell>
          <cell r="AI463">
            <v>1562.2</v>
          </cell>
          <cell r="AO463" t="str">
            <v>Paid</v>
          </cell>
          <cell r="AP463" t="str">
            <v>Completed</v>
          </cell>
        </row>
        <row r="464">
          <cell r="A464" t="str">
            <v>ORD-2024-10463</v>
          </cell>
          <cell r="B464" t="str">
            <v>09/23/2024</v>
          </cell>
          <cell r="D464" t="str">
            <v>25-09-2024</v>
          </cell>
          <cell r="F464" t="str">
            <v>Valid</v>
          </cell>
          <cell r="H464" t="str">
            <v>Valid</v>
          </cell>
          <cell r="N464" t="str">
            <v>North</v>
          </cell>
          <cell r="V464" t="str">
            <v>First Class</v>
          </cell>
          <cell r="Z464">
            <v>0.2</v>
          </cell>
          <cell r="AB464" t="str">
            <v>Valid</v>
          </cell>
          <cell r="AC464">
            <v>2040.22</v>
          </cell>
          <cell r="AE464">
            <v>2040.2240000000002</v>
          </cell>
          <cell r="AH464">
            <v>1395.71</v>
          </cell>
          <cell r="AI464">
            <v>644.51</v>
          </cell>
          <cell r="AO464" t="str">
            <v>Paid</v>
          </cell>
          <cell r="AP464" t="str">
            <v>Completed</v>
          </cell>
        </row>
        <row r="465">
          <cell r="A465" t="str">
            <v>ORD-2025-10464</v>
          </cell>
          <cell r="B465" t="str">
            <v>07-02-2025</v>
          </cell>
          <cell r="D465" t="str">
            <v>2025-02-08</v>
          </cell>
          <cell r="F465" t="str">
            <v>Valid</v>
          </cell>
          <cell r="H465" t="str">
            <v>Valid</v>
          </cell>
          <cell r="N465" t="str">
            <v>West</v>
          </cell>
          <cell r="V465" t="str">
            <v>Standard Class</v>
          </cell>
          <cell r="Z465">
            <v>0.2</v>
          </cell>
          <cell r="AB465" t="str">
            <v>Valid</v>
          </cell>
          <cell r="AC465">
            <v>2846.4</v>
          </cell>
          <cell r="AE465">
            <v>2846.4</v>
          </cell>
          <cell r="AH465">
            <v>2132.37</v>
          </cell>
          <cell r="AI465">
            <v>714.03</v>
          </cell>
          <cell r="AO465" t="str">
            <v>Paid</v>
          </cell>
          <cell r="AP465" t="str">
            <v>Completed</v>
          </cell>
        </row>
        <row r="466">
          <cell r="A466" t="str">
            <v>ORD-2025-10465</v>
          </cell>
          <cell r="B466" t="str">
            <v>11-03-2025</v>
          </cell>
          <cell r="D466" t="str">
            <v>03/15/2025</v>
          </cell>
          <cell r="F466" t="str">
            <v>Valid</v>
          </cell>
          <cell r="H466" t="str">
            <v>Valid</v>
          </cell>
          <cell r="N466" t="str">
            <v>East</v>
          </cell>
          <cell r="V466" t="str">
            <v>Same Day</v>
          </cell>
          <cell r="Z466">
            <v>0.05</v>
          </cell>
          <cell r="AB466" t="str">
            <v>Valid</v>
          </cell>
          <cell r="AC466">
            <v>10331.48</v>
          </cell>
          <cell r="AE466">
            <v>10331.477999999999</v>
          </cell>
          <cell r="AH466">
            <v>7131.91</v>
          </cell>
          <cell r="AI466">
            <v>3199.57</v>
          </cell>
          <cell r="AO466" t="str">
            <v>Pending</v>
          </cell>
          <cell r="AP466" t="str">
            <v>Cancelled</v>
          </cell>
        </row>
        <row r="467">
          <cell r="A467" t="str">
            <v>ORD-2024-10466</v>
          </cell>
          <cell r="B467" t="str">
            <v>29-01-2024</v>
          </cell>
          <cell r="D467" t="str">
            <v>2024-02-06</v>
          </cell>
          <cell r="F467" t="str">
            <v>Valid</v>
          </cell>
          <cell r="H467" t="str">
            <v>Valid</v>
          </cell>
          <cell r="N467" t="str">
            <v>West</v>
          </cell>
          <cell r="V467" t="str">
            <v>Standard Class</v>
          </cell>
          <cell r="Z467">
            <v>0</v>
          </cell>
          <cell r="AB467" t="str">
            <v>Valid</v>
          </cell>
          <cell r="AC467">
            <v>2517.8000000000002</v>
          </cell>
          <cell r="AE467">
            <v>2517.8000000000002</v>
          </cell>
          <cell r="AH467">
            <v>1478.54</v>
          </cell>
          <cell r="AI467">
            <v>1039.26</v>
          </cell>
          <cell r="AO467" t="str">
            <v>Paid</v>
          </cell>
          <cell r="AP467" t="str">
            <v>Completed</v>
          </cell>
        </row>
        <row r="468">
          <cell r="A468" t="str">
            <v>ORD-2024-10467</v>
          </cell>
          <cell r="B468" t="str">
            <v>04-01-2024</v>
          </cell>
          <cell r="D468" t="str">
            <v>01/08/2024</v>
          </cell>
          <cell r="F468" t="str">
            <v>Valid</v>
          </cell>
          <cell r="H468" t="str">
            <v>Valid</v>
          </cell>
          <cell r="N468" t="str">
            <v>East</v>
          </cell>
          <cell r="V468" t="str">
            <v>Same Day</v>
          </cell>
          <cell r="Z468">
            <v>0.2</v>
          </cell>
          <cell r="AB468" t="str">
            <v>Valid</v>
          </cell>
          <cell r="AC468">
            <v>11462.11</v>
          </cell>
          <cell r="AE468">
            <v>11462.112000000001</v>
          </cell>
          <cell r="AH468">
            <v>7105.48</v>
          </cell>
          <cell r="AI468">
            <v>4356.63</v>
          </cell>
          <cell r="AO468" t="str">
            <v>Paid</v>
          </cell>
          <cell r="AP468" t="str">
            <v>Completed</v>
          </cell>
        </row>
        <row r="469">
          <cell r="A469" t="str">
            <v>ORD-2024-10468</v>
          </cell>
          <cell r="B469" t="str">
            <v>20-08-2024</v>
          </cell>
          <cell r="D469" t="str">
            <v>21 Aug 2024</v>
          </cell>
          <cell r="F469" t="str">
            <v>Valid</v>
          </cell>
          <cell r="H469" t="str">
            <v>Valid</v>
          </cell>
          <cell r="N469" t="str">
            <v>East</v>
          </cell>
          <cell r="V469" t="str">
            <v>First Class</v>
          </cell>
          <cell r="Z469">
            <v>0.1</v>
          </cell>
          <cell r="AB469" t="str">
            <v>Valid</v>
          </cell>
          <cell r="AC469">
            <v>19297.490000000002</v>
          </cell>
          <cell r="AE469">
            <v>19297.485000000001</v>
          </cell>
          <cell r="AH469">
            <v>15451.66</v>
          </cell>
          <cell r="AI469">
            <v>3845.83</v>
          </cell>
          <cell r="AO469" t="str">
            <v>Refunded</v>
          </cell>
          <cell r="AP469" t="str">
            <v>Cancelled</v>
          </cell>
        </row>
        <row r="470">
          <cell r="A470" t="str">
            <v>ORD-2025-10469</v>
          </cell>
          <cell r="B470" t="str">
            <v>09 Jan 2025</v>
          </cell>
          <cell r="D470" t="str">
            <v>07 Jan 2025</v>
          </cell>
          <cell r="F470" t="str">
            <v>Invalid Shipping Record</v>
          </cell>
          <cell r="H470" t="str">
            <v>Invalid Shipping Record</v>
          </cell>
          <cell r="N470" t="str">
            <v>East</v>
          </cell>
          <cell r="V470" t="str">
            <v>Second Class</v>
          </cell>
          <cell r="Z470">
            <v>0</v>
          </cell>
          <cell r="AB470" t="str">
            <v>Valid</v>
          </cell>
          <cell r="AC470">
            <v>6564.99</v>
          </cell>
          <cell r="AE470">
            <v>6564.99</v>
          </cell>
          <cell r="AH470">
            <v>5407.24</v>
          </cell>
          <cell r="AI470">
            <v>1157.75</v>
          </cell>
          <cell r="AO470" t="str">
            <v>Paid</v>
          </cell>
          <cell r="AP470" t="str">
            <v>Completed</v>
          </cell>
        </row>
        <row r="471">
          <cell r="A471" t="str">
            <v>ORD-2024-10470</v>
          </cell>
          <cell r="B471" t="str">
            <v>2024-01-19</v>
          </cell>
          <cell r="D471" t="str">
            <v>01/25/2024</v>
          </cell>
          <cell r="F471" t="str">
            <v>Valid</v>
          </cell>
          <cell r="H471" t="str">
            <v>Valid</v>
          </cell>
          <cell r="N471" t="str">
            <v>West</v>
          </cell>
          <cell r="V471" t="str">
            <v>First Class</v>
          </cell>
          <cell r="Z471">
            <v>0.1</v>
          </cell>
          <cell r="AB471" t="str">
            <v>Valid</v>
          </cell>
          <cell r="AC471">
            <v>2812.48</v>
          </cell>
          <cell r="AE471">
            <v>2812.4820000000004</v>
          </cell>
          <cell r="AH471">
            <v>2282.12</v>
          </cell>
          <cell r="AI471">
            <v>530.36</v>
          </cell>
          <cell r="AO471" t="str">
            <v>Paid</v>
          </cell>
          <cell r="AP471" t="str">
            <v>Completed</v>
          </cell>
        </row>
        <row r="472">
          <cell r="A472" t="str">
            <v>ORD-2024-10471</v>
          </cell>
          <cell r="B472" t="str">
            <v>28-07-2024</v>
          </cell>
          <cell r="D472" t="str">
            <v>07/31/2024</v>
          </cell>
          <cell r="F472" t="str">
            <v>Valid</v>
          </cell>
          <cell r="H472" t="str">
            <v>Valid</v>
          </cell>
          <cell r="N472" t="str">
            <v>North</v>
          </cell>
          <cell r="V472" t="str">
            <v>Same Day</v>
          </cell>
          <cell r="Z472">
            <v>0.2</v>
          </cell>
          <cell r="AB472" t="str">
            <v>Valid</v>
          </cell>
          <cell r="AC472">
            <v>7079.65</v>
          </cell>
          <cell r="AE472">
            <v>7079.6480000000001</v>
          </cell>
          <cell r="AH472">
            <v>4465.91</v>
          </cell>
          <cell r="AI472">
            <v>2613.7399999999998</v>
          </cell>
          <cell r="AO472" t="str">
            <v>Paid</v>
          </cell>
          <cell r="AP472" t="str">
            <v>Completed</v>
          </cell>
        </row>
        <row r="473">
          <cell r="A473" t="str">
            <v>ORD-2024-10472</v>
          </cell>
          <cell r="B473" t="str">
            <v>11-02-2024</v>
          </cell>
          <cell r="D473" t="str">
            <v>02/15/2024</v>
          </cell>
          <cell r="F473" t="str">
            <v>Valid</v>
          </cell>
          <cell r="H473" t="str">
            <v>Valid</v>
          </cell>
          <cell r="N473" t="str">
            <v>South</v>
          </cell>
          <cell r="V473" t="str">
            <v>Standard Class</v>
          </cell>
          <cell r="Z473">
            <v>0.25</v>
          </cell>
          <cell r="AB473" t="str">
            <v>Valid</v>
          </cell>
          <cell r="AC473">
            <v>6793.07</v>
          </cell>
          <cell r="AE473">
            <v>6793.0650000000005</v>
          </cell>
          <cell r="AH473">
            <v>4985.22</v>
          </cell>
          <cell r="AI473">
            <v>1807.85</v>
          </cell>
          <cell r="AO473" t="str">
            <v>Paid</v>
          </cell>
          <cell r="AP473" t="str">
            <v>Completed</v>
          </cell>
        </row>
        <row r="474">
          <cell r="A474" t="str">
            <v>ORD-2024-10473</v>
          </cell>
          <cell r="B474" t="str">
            <v>02-03-2024</v>
          </cell>
          <cell r="D474" t="str">
            <v>03/07/2024</v>
          </cell>
          <cell r="F474" t="str">
            <v>Valid</v>
          </cell>
          <cell r="H474" t="str">
            <v>Valid</v>
          </cell>
          <cell r="N474" t="str">
            <v>East</v>
          </cell>
          <cell r="V474" t="str">
            <v>Standard Class</v>
          </cell>
          <cell r="Z474">
            <v>0</v>
          </cell>
          <cell r="AB474" t="str">
            <v>Valid</v>
          </cell>
          <cell r="AC474">
            <v>1844.22</v>
          </cell>
          <cell r="AE474">
            <v>1844.2199999999998</v>
          </cell>
          <cell r="AH474">
            <v>1094.21</v>
          </cell>
          <cell r="AI474">
            <v>750.01</v>
          </cell>
          <cell r="AO474" t="str">
            <v>Paid</v>
          </cell>
          <cell r="AP474" t="str">
            <v>Completed</v>
          </cell>
        </row>
        <row r="475">
          <cell r="A475" t="str">
            <v>ORD-2024-10474</v>
          </cell>
          <cell r="B475" t="str">
            <v>13-11-2024</v>
          </cell>
          <cell r="D475" t="str">
            <v>13 Nov 2024</v>
          </cell>
          <cell r="F475" t="str">
            <v>Valid</v>
          </cell>
          <cell r="H475" t="str">
            <v>Valid</v>
          </cell>
          <cell r="N475" t="str">
            <v>West</v>
          </cell>
          <cell r="V475" t="str">
            <v>Standard Class</v>
          </cell>
          <cell r="Z475">
            <v>0.2</v>
          </cell>
          <cell r="AB475" t="str">
            <v>Valid</v>
          </cell>
          <cell r="AC475">
            <v>918.96</v>
          </cell>
          <cell r="AE475">
            <v>918.95999999999992</v>
          </cell>
          <cell r="AH475">
            <v>554.17999999999995</v>
          </cell>
          <cell r="AI475">
            <v>364.78</v>
          </cell>
          <cell r="AO475" t="str">
            <v>Paid</v>
          </cell>
          <cell r="AP475" t="str">
            <v>Completed</v>
          </cell>
        </row>
        <row r="476">
          <cell r="A476" t="str">
            <v>ORD-2024-10475</v>
          </cell>
          <cell r="B476" t="str">
            <v>03-06-2024</v>
          </cell>
          <cell r="D476" t="str">
            <v>2024-06-10</v>
          </cell>
          <cell r="F476" t="str">
            <v>Valid</v>
          </cell>
          <cell r="H476" t="str">
            <v>Valid</v>
          </cell>
          <cell r="N476" t="str">
            <v>North</v>
          </cell>
          <cell r="V476" t="str">
            <v>Standard Class</v>
          </cell>
          <cell r="Z476">
            <v>0</v>
          </cell>
          <cell r="AB476" t="str">
            <v>Valid</v>
          </cell>
          <cell r="AC476">
            <v>4900.71</v>
          </cell>
          <cell r="AE476">
            <v>4900.71</v>
          </cell>
          <cell r="AH476">
            <v>2713.9</v>
          </cell>
          <cell r="AI476">
            <v>2186.81</v>
          </cell>
          <cell r="AO476" t="str">
            <v>Paid</v>
          </cell>
          <cell r="AP476" t="str">
            <v>Completed</v>
          </cell>
        </row>
        <row r="477">
          <cell r="A477" t="str">
            <v>ORD-2025-10476</v>
          </cell>
          <cell r="B477" t="str">
            <v>03/01/2025</v>
          </cell>
          <cell r="D477" t="str">
            <v>08 Mar 2025</v>
          </cell>
          <cell r="F477" t="str">
            <v>Valid</v>
          </cell>
          <cell r="H477" t="str">
            <v>Valid</v>
          </cell>
          <cell r="N477" t="str">
            <v>East</v>
          </cell>
          <cell r="V477" t="str">
            <v>Same Day</v>
          </cell>
          <cell r="Z477">
            <v>0.25</v>
          </cell>
          <cell r="AB477" t="str">
            <v>Valid</v>
          </cell>
          <cell r="AC477">
            <v>20272.919999999998</v>
          </cell>
          <cell r="AE477">
            <v>20272.920000000002</v>
          </cell>
          <cell r="AH477">
            <v>15873.38</v>
          </cell>
          <cell r="AI477">
            <v>4399.54</v>
          </cell>
          <cell r="AO477" t="str">
            <v>Pending</v>
          </cell>
          <cell r="AP477" t="str">
            <v>Returned</v>
          </cell>
        </row>
        <row r="478">
          <cell r="A478" t="str">
            <v>ORD-2024-10477</v>
          </cell>
          <cell r="B478" t="str">
            <v>05/07/2024</v>
          </cell>
          <cell r="D478" t="str">
            <v>05/14/2024</v>
          </cell>
          <cell r="F478" t="str">
            <v>Valid</v>
          </cell>
          <cell r="H478" t="str">
            <v>Valid</v>
          </cell>
          <cell r="N478" t="str">
            <v>North</v>
          </cell>
          <cell r="V478" t="str">
            <v>First Class</v>
          </cell>
          <cell r="Z478">
            <v>0.1</v>
          </cell>
          <cell r="AB478" t="str">
            <v>Valid</v>
          </cell>
          <cell r="AC478">
            <v>1035.67</v>
          </cell>
          <cell r="AE478">
            <v>1035.6659999999999</v>
          </cell>
          <cell r="AH478">
            <v>595.41999999999996</v>
          </cell>
          <cell r="AI478">
            <v>440.25</v>
          </cell>
          <cell r="AO478" t="str">
            <v>Paid</v>
          </cell>
          <cell r="AP478" t="str">
            <v>Completed</v>
          </cell>
        </row>
        <row r="479">
          <cell r="A479" t="str">
            <v>ORD-2025-10478</v>
          </cell>
          <cell r="B479" t="str">
            <v>08/23/2025</v>
          </cell>
          <cell r="D479" t="str">
            <v>28-08-2025</v>
          </cell>
          <cell r="F479" t="str">
            <v>Valid</v>
          </cell>
          <cell r="H479" t="str">
            <v>Valid</v>
          </cell>
          <cell r="N479" t="str">
            <v>West</v>
          </cell>
          <cell r="V479" t="str">
            <v>Standard Class</v>
          </cell>
          <cell r="Z479">
            <v>0.1</v>
          </cell>
          <cell r="AB479" t="str">
            <v>Valid</v>
          </cell>
          <cell r="AC479">
            <v>11843.44</v>
          </cell>
          <cell r="AE479">
            <v>11843.442000000001</v>
          </cell>
          <cell r="AH479">
            <v>9356.8799999999992</v>
          </cell>
          <cell r="AI479">
            <v>2486.56</v>
          </cell>
          <cell r="AO479" t="str">
            <v>Paid</v>
          </cell>
          <cell r="AP479" t="str">
            <v>Cancelled</v>
          </cell>
        </row>
        <row r="480">
          <cell r="A480" t="str">
            <v>ORD-2024-10479</v>
          </cell>
          <cell r="B480" t="str">
            <v>06/09/2024</v>
          </cell>
          <cell r="D480" t="str">
            <v>2024-06-13</v>
          </cell>
          <cell r="F480" t="str">
            <v>Valid</v>
          </cell>
          <cell r="H480" t="str">
            <v>Valid</v>
          </cell>
          <cell r="V480" t="str">
            <v>Same Day</v>
          </cell>
          <cell r="Z480">
            <v>0.1</v>
          </cell>
          <cell r="AB480" t="str">
            <v>Valid</v>
          </cell>
          <cell r="AC480">
            <v>25702.17</v>
          </cell>
          <cell r="AE480">
            <v>25702.173000000003</v>
          </cell>
          <cell r="AH480">
            <v>14571.48</v>
          </cell>
          <cell r="AI480">
            <v>11130.69</v>
          </cell>
          <cell r="AO480" t="str">
            <v>Refunded</v>
          </cell>
          <cell r="AP480" t="str">
            <v>Returned</v>
          </cell>
        </row>
        <row r="481">
          <cell r="A481" t="str">
            <v>ORD-2024-10480</v>
          </cell>
          <cell r="B481" t="str">
            <v>23 Feb 2024</v>
          </cell>
          <cell r="D481" t="str">
            <v>2024-02-20</v>
          </cell>
          <cell r="F481" t="str">
            <v>Invalid Shipping Record</v>
          </cell>
          <cell r="H481" t="str">
            <v>Invalid Shipping Record</v>
          </cell>
          <cell r="N481" t="str">
            <v>East</v>
          </cell>
          <cell r="V481" t="str">
            <v>Second Class</v>
          </cell>
          <cell r="AB481" t="str">
            <v>Valid</v>
          </cell>
          <cell r="AC481">
            <v>1651.91</v>
          </cell>
          <cell r="AE481">
            <v>2202.5500000000002</v>
          </cell>
          <cell r="AH481">
            <v>1034.57</v>
          </cell>
          <cell r="AI481">
            <v>617.34</v>
          </cell>
          <cell r="AO481" t="str">
            <v>Paid</v>
          </cell>
          <cell r="AP481" t="str">
            <v>Completed</v>
          </cell>
        </row>
        <row r="482">
          <cell r="A482" t="str">
            <v>ORD-2025-10481</v>
          </cell>
          <cell r="B482" t="str">
            <v>2025-01-05</v>
          </cell>
          <cell r="D482" t="str">
            <v>09 Jan 2025</v>
          </cell>
          <cell r="F482" t="str">
            <v>Valid</v>
          </cell>
          <cell r="H482" t="str">
            <v>Valid</v>
          </cell>
          <cell r="N482" t="str">
            <v>South</v>
          </cell>
          <cell r="Z482">
            <v>0</v>
          </cell>
          <cell r="AB482" t="str">
            <v>Valid</v>
          </cell>
          <cell r="AC482">
            <v>4525.8</v>
          </cell>
          <cell r="AE482">
            <v>4525.8</v>
          </cell>
          <cell r="AH482">
            <v>2714.51</v>
          </cell>
          <cell r="AI482">
            <v>1811.29</v>
          </cell>
          <cell r="AO482" t="str">
            <v>Paid</v>
          </cell>
          <cell r="AP482" t="str">
            <v>Completed</v>
          </cell>
        </row>
        <row r="483">
          <cell r="A483" t="str">
            <v>ORD-2025-10482</v>
          </cell>
          <cell r="B483" t="str">
            <v>2025-06-05</v>
          </cell>
          <cell r="D483" t="str">
            <v>06/13/2025</v>
          </cell>
          <cell r="F483" t="str">
            <v>Valid</v>
          </cell>
          <cell r="H483" t="str">
            <v>Valid</v>
          </cell>
          <cell r="N483" t="str">
            <v>North</v>
          </cell>
          <cell r="V483" t="str">
            <v>Same Day</v>
          </cell>
          <cell r="Z483" t="str">
            <v>85%</v>
          </cell>
          <cell r="AB483" t="str">
            <v>Invalid - Discount Above Limit</v>
          </cell>
          <cell r="AC483">
            <v>10616.74</v>
          </cell>
          <cell r="AE483">
            <v>1676.3280000000002</v>
          </cell>
          <cell r="AH483">
            <v>6353.59</v>
          </cell>
          <cell r="AI483">
            <v>4263.1499999999996</v>
          </cell>
          <cell r="AO483" t="str">
            <v>Paid</v>
          </cell>
          <cell r="AP483" t="str">
            <v>Completed</v>
          </cell>
        </row>
        <row r="484">
          <cell r="A484" t="str">
            <v>ORD-2024-10483</v>
          </cell>
          <cell r="B484" t="str">
            <v>07/22/2024</v>
          </cell>
          <cell r="D484" t="str">
            <v>07/22/2024</v>
          </cell>
          <cell r="F484" t="str">
            <v>Valid</v>
          </cell>
          <cell r="H484" t="str">
            <v>Valid</v>
          </cell>
          <cell r="N484" t="str">
            <v>South</v>
          </cell>
          <cell r="V484" t="str">
            <v>Second Class</v>
          </cell>
          <cell r="Z484">
            <v>0.25</v>
          </cell>
          <cell r="AB484" t="str">
            <v>Valid</v>
          </cell>
          <cell r="AC484">
            <v>2893.99</v>
          </cell>
          <cell r="AE484">
            <v>2893.9949999999999</v>
          </cell>
          <cell r="AH484">
            <v>1856.03</v>
          </cell>
          <cell r="AI484">
            <v>1037.96</v>
          </cell>
          <cell r="AO484" t="str">
            <v>Paid</v>
          </cell>
          <cell r="AP484" t="str">
            <v>Completed</v>
          </cell>
        </row>
        <row r="485">
          <cell r="A485" t="str">
            <v>ORD-2024-10484</v>
          </cell>
          <cell r="B485" t="str">
            <v>25 Dec 2024</v>
          </cell>
          <cell r="D485" t="str">
            <v>25-12-2024</v>
          </cell>
          <cell r="F485" t="str">
            <v>Valid</v>
          </cell>
          <cell r="H485" t="str">
            <v>Valid</v>
          </cell>
          <cell r="N485" t="str">
            <v>East</v>
          </cell>
          <cell r="V485" t="str">
            <v>Standard Class</v>
          </cell>
          <cell r="Z485">
            <v>0.15</v>
          </cell>
          <cell r="AB485" t="str">
            <v>Valid</v>
          </cell>
          <cell r="AC485">
            <v>705.21</v>
          </cell>
          <cell r="AE485">
            <v>705.2109999999999</v>
          </cell>
          <cell r="AH485">
            <v>438.32</v>
          </cell>
          <cell r="AI485">
            <v>266.89</v>
          </cell>
          <cell r="AO485" t="str">
            <v>Paid</v>
          </cell>
          <cell r="AP485" t="str">
            <v>Completed</v>
          </cell>
        </row>
        <row r="486">
          <cell r="A486" t="str">
            <v>ORD-2024-10485</v>
          </cell>
          <cell r="B486" t="str">
            <v>2024-12-28</v>
          </cell>
          <cell r="D486" t="str">
            <v>12/31/2024</v>
          </cell>
          <cell r="F486" t="str">
            <v>Valid</v>
          </cell>
          <cell r="H486" t="str">
            <v>Valid</v>
          </cell>
          <cell r="N486" t="str">
            <v>South</v>
          </cell>
          <cell r="V486" t="str">
            <v>First Class</v>
          </cell>
          <cell r="Z486">
            <v>0.25</v>
          </cell>
          <cell r="AB486" t="str">
            <v>Valid</v>
          </cell>
          <cell r="AC486">
            <v>16385.490000000002</v>
          </cell>
          <cell r="AE486">
            <v>16385.489999999998</v>
          </cell>
          <cell r="AH486">
            <v>13679.24</v>
          </cell>
          <cell r="AI486">
            <v>2706.25</v>
          </cell>
          <cell r="AO486" t="str">
            <v>Paid</v>
          </cell>
          <cell r="AP486" t="str">
            <v>Completed</v>
          </cell>
        </row>
        <row r="487">
          <cell r="A487" t="str">
            <v>ORD-2025-10486</v>
          </cell>
          <cell r="B487" t="str">
            <v>2025-01-22</v>
          </cell>
          <cell r="D487" t="str">
            <v>23 Jan 2025</v>
          </cell>
          <cell r="F487" t="str">
            <v>Valid</v>
          </cell>
          <cell r="H487" t="str">
            <v>Valid</v>
          </cell>
          <cell r="N487" t="str">
            <v>West</v>
          </cell>
          <cell r="V487" t="str">
            <v>Standard Class</v>
          </cell>
          <cell r="Z487">
            <v>0.25</v>
          </cell>
          <cell r="AB487" t="str">
            <v>Valid</v>
          </cell>
          <cell r="AC487">
            <v>7665.57</v>
          </cell>
          <cell r="AE487">
            <v>7665.57</v>
          </cell>
          <cell r="AH487">
            <v>5595.6</v>
          </cell>
          <cell r="AI487">
            <v>2069.9699999999998</v>
          </cell>
          <cell r="AO487" t="str">
            <v>Paid</v>
          </cell>
          <cell r="AP487" t="str">
            <v>Completed</v>
          </cell>
        </row>
        <row r="488">
          <cell r="A488" t="str">
            <v>ORD-2025-10487</v>
          </cell>
          <cell r="B488" t="str">
            <v>22-06-2025</v>
          </cell>
          <cell r="D488" t="str">
            <v>06/26/2025</v>
          </cell>
          <cell r="F488" t="str">
            <v>Valid</v>
          </cell>
          <cell r="H488" t="str">
            <v>Valid</v>
          </cell>
          <cell r="N488" t="str">
            <v>West</v>
          </cell>
          <cell r="V488" t="str">
            <v>Standard Class</v>
          </cell>
          <cell r="Z488">
            <v>0.2</v>
          </cell>
          <cell r="AB488" t="str">
            <v>Valid</v>
          </cell>
          <cell r="AC488">
            <v>4670.83</v>
          </cell>
          <cell r="AE488">
            <v>4670.8320000000003</v>
          </cell>
          <cell r="AH488">
            <v>3166.49</v>
          </cell>
          <cell r="AI488">
            <v>1504.34</v>
          </cell>
          <cell r="AO488" t="str">
            <v>Paid</v>
          </cell>
          <cell r="AP488" t="str">
            <v>Completed</v>
          </cell>
        </row>
        <row r="489">
          <cell r="A489" t="str">
            <v>ORD-2025-10488</v>
          </cell>
          <cell r="B489" t="str">
            <v>10 Jun 2025</v>
          </cell>
          <cell r="D489" t="str">
            <v>06/17/2025</v>
          </cell>
          <cell r="F489" t="str">
            <v>Valid</v>
          </cell>
          <cell r="H489" t="str">
            <v>Valid</v>
          </cell>
          <cell r="N489" t="str">
            <v>South</v>
          </cell>
          <cell r="V489" t="str">
            <v>Standard Class</v>
          </cell>
          <cell r="Z489">
            <v>0</v>
          </cell>
          <cell r="AB489" t="str">
            <v>Valid</v>
          </cell>
          <cell r="AC489">
            <v>6155.5</v>
          </cell>
          <cell r="AE489">
            <v>6155.5</v>
          </cell>
          <cell r="AH489">
            <v>4282.09</v>
          </cell>
          <cell r="AI489">
            <v>1873.41</v>
          </cell>
          <cell r="AO489" t="str">
            <v>Refunded</v>
          </cell>
          <cell r="AP489" t="str">
            <v>Returned</v>
          </cell>
        </row>
        <row r="490">
          <cell r="A490" t="str">
            <v>ORD-2024-10489</v>
          </cell>
          <cell r="B490" t="str">
            <v>14 Oct 2024</v>
          </cell>
          <cell r="D490" t="str">
            <v>2024-10-20</v>
          </cell>
          <cell r="F490" t="str">
            <v>Valid</v>
          </cell>
          <cell r="H490" t="str">
            <v>Valid</v>
          </cell>
          <cell r="N490" t="str">
            <v>North</v>
          </cell>
          <cell r="V490" t="str">
            <v>Same Day</v>
          </cell>
          <cell r="Z490">
            <v>0.2</v>
          </cell>
          <cell r="AB490" t="str">
            <v>Valid</v>
          </cell>
          <cell r="AC490">
            <v>8666.56</v>
          </cell>
          <cell r="AE490">
            <v>8666.56</v>
          </cell>
          <cell r="AH490">
            <v>5967.44</v>
          </cell>
          <cell r="AI490">
            <v>2699.12</v>
          </cell>
          <cell r="AO490" t="str">
            <v>Paid</v>
          </cell>
          <cell r="AP490" t="str">
            <v>Completed</v>
          </cell>
        </row>
        <row r="491">
          <cell r="A491" t="str">
            <v>ORD-2024-10490</v>
          </cell>
          <cell r="B491" t="str">
            <v>2024-02-07</v>
          </cell>
          <cell r="D491" t="str">
            <v>2024-02-12</v>
          </cell>
          <cell r="F491" t="str">
            <v>Valid</v>
          </cell>
          <cell r="H491" t="str">
            <v>Valid</v>
          </cell>
          <cell r="N491" t="str">
            <v>East</v>
          </cell>
          <cell r="V491" t="str">
            <v>Second Class</v>
          </cell>
          <cell r="Z491">
            <v>0.2</v>
          </cell>
          <cell r="AB491" t="str">
            <v>Valid</v>
          </cell>
          <cell r="AC491">
            <v>361.75</v>
          </cell>
          <cell r="AE491">
            <v>361.75200000000001</v>
          </cell>
          <cell r="AH491">
            <v>262.52999999999997</v>
          </cell>
          <cell r="AI491">
            <v>99.22</v>
          </cell>
          <cell r="AO491" t="str">
            <v>Paid</v>
          </cell>
          <cell r="AP491" t="str">
            <v>Completed</v>
          </cell>
        </row>
        <row r="492">
          <cell r="A492" t="str">
            <v>ORD-2024-10491</v>
          </cell>
          <cell r="B492" t="str">
            <v>2024-09-16</v>
          </cell>
          <cell r="D492" t="str">
            <v>09/19/2024</v>
          </cell>
          <cell r="F492" t="str">
            <v>Valid</v>
          </cell>
          <cell r="H492" t="str">
            <v>Valid</v>
          </cell>
          <cell r="N492" t="str">
            <v>West</v>
          </cell>
          <cell r="V492" t="str">
            <v>First Class</v>
          </cell>
          <cell r="Z492">
            <v>0.15</v>
          </cell>
          <cell r="AB492" t="str">
            <v>Valid</v>
          </cell>
          <cell r="AC492">
            <v>2418.1999999999998</v>
          </cell>
          <cell r="AE492">
            <v>2418.1990000000001</v>
          </cell>
          <cell r="AH492">
            <v>1613.82</v>
          </cell>
          <cell r="AI492">
            <v>804.38</v>
          </cell>
          <cell r="AO492" t="str">
            <v>Paid</v>
          </cell>
          <cell r="AP492" t="str">
            <v>Completed</v>
          </cell>
        </row>
        <row r="493">
          <cell r="A493" t="str">
            <v>ORD-2025-10492</v>
          </cell>
          <cell r="B493" t="str">
            <v>2025-04-29</v>
          </cell>
          <cell r="D493" t="str">
            <v>30-04-2025</v>
          </cell>
          <cell r="F493" t="str">
            <v>Valid</v>
          </cell>
          <cell r="H493" t="str">
            <v>Valid</v>
          </cell>
          <cell r="N493" t="str">
            <v>South</v>
          </cell>
          <cell r="V493" t="str">
            <v>Standard Class</v>
          </cell>
          <cell r="Z493">
            <v>0.2</v>
          </cell>
          <cell r="AB493" t="str">
            <v>Valid</v>
          </cell>
          <cell r="AC493">
            <v>1941.06</v>
          </cell>
          <cell r="AE493">
            <v>1941.0560000000003</v>
          </cell>
          <cell r="AH493">
            <v>1207.42</v>
          </cell>
          <cell r="AI493">
            <v>733.64</v>
          </cell>
          <cell r="AO493" t="str">
            <v>Paid</v>
          </cell>
          <cell r="AP493" t="str">
            <v>Completed</v>
          </cell>
        </row>
        <row r="494">
          <cell r="A494" t="str">
            <v>ORD-2025-10493</v>
          </cell>
          <cell r="B494" t="str">
            <v>28-06-2025</v>
          </cell>
          <cell r="D494" t="str">
            <v>07/02/2025</v>
          </cell>
          <cell r="F494" t="str">
            <v>Valid</v>
          </cell>
          <cell r="H494" t="str">
            <v>Valid</v>
          </cell>
          <cell r="N494" t="str">
            <v>South</v>
          </cell>
          <cell r="V494" t="str">
            <v>Second Class</v>
          </cell>
          <cell r="Z494">
            <v>0.25</v>
          </cell>
          <cell r="AB494" t="str">
            <v>Valid</v>
          </cell>
          <cell r="AC494">
            <v>4088.16</v>
          </cell>
          <cell r="AE494">
            <v>4088.16</v>
          </cell>
          <cell r="AH494">
            <v>3205.68</v>
          </cell>
          <cell r="AI494">
            <v>882.48</v>
          </cell>
          <cell r="AO494" t="str">
            <v>Paid</v>
          </cell>
          <cell r="AP494" t="str">
            <v>Completed</v>
          </cell>
        </row>
        <row r="495">
          <cell r="A495" t="str">
            <v>ORD-2025-10494</v>
          </cell>
          <cell r="B495" t="str">
            <v>13 Feb 2025</v>
          </cell>
          <cell r="D495" t="str">
            <v>2025-02-13</v>
          </cell>
          <cell r="F495" t="str">
            <v>Valid</v>
          </cell>
          <cell r="H495" t="str">
            <v>Valid</v>
          </cell>
          <cell r="N495" t="str">
            <v>East</v>
          </cell>
          <cell r="V495" t="str">
            <v>Second Class</v>
          </cell>
          <cell r="Z495">
            <v>0.05</v>
          </cell>
          <cell r="AB495" t="str">
            <v>Valid</v>
          </cell>
          <cell r="AC495">
            <v>15273.05</v>
          </cell>
          <cell r="AE495">
            <v>15273.054999999997</v>
          </cell>
          <cell r="AH495">
            <v>11088.76</v>
          </cell>
          <cell r="AI495">
            <v>4184.29</v>
          </cell>
          <cell r="AO495" t="str">
            <v>Paid</v>
          </cell>
          <cell r="AP495" t="str">
            <v>COMPLETED</v>
          </cell>
        </row>
        <row r="496">
          <cell r="A496" t="str">
            <v>ORD-2024-10495</v>
          </cell>
          <cell r="B496" t="str">
            <v>2024-11-14</v>
          </cell>
          <cell r="D496" t="str">
            <v>2024-11-22</v>
          </cell>
          <cell r="F496" t="str">
            <v>Valid</v>
          </cell>
          <cell r="H496" t="str">
            <v>Valid</v>
          </cell>
          <cell r="N496" t="str">
            <v>West</v>
          </cell>
          <cell r="V496" t="str">
            <v>Standard Class</v>
          </cell>
          <cell r="Z496">
            <v>-0.13</v>
          </cell>
          <cell r="AB496" t="str">
            <v>Invalid - Negative Discount</v>
          </cell>
          <cell r="AC496">
            <v>1712.78</v>
          </cell>
          <cell r="AE496">
            <v>2276.9951999999998</v>
          </cell>
          <cell r="AH496">
            <v>1569.38</v>
          </cell>
          <cell r="AI496">
            <v>360.66</v>
          </cell>
          <cell r="AO496" t="str">
            <v>Failed</v>
          </cell>
          <cell r="AP496" t="str">
            <v>Cancelled</v>
          </cell>
        </row>
        <row r="497">
          <cell r="A497" t="str">
            <v>ORD-2024-10496</v>
          </cell>
          <cell r="B497" t="str">
            <v>05/09/2024</v>
          </cell>
          <cell r="D497" t="str">
            <v>05/15/2024</v>
          </cell>
          <cell r="F497" t="str">
            <v>Valid</v>
          </cell>
          <cell r="H497" t="str">
            <v>Valid</v>
          </cell>
          <cell r="N497" t="str">
            <v>East</v>
          </cell>
          <cell r="V497" t="str">
            <v>Second Class</v>
          </cell>
          <cell r="Z497">
            <v>0.05</v>
          </cell>
          <cell r="AB497" t="str">
            <v>Valid</v>
          </cell>
          <cell r="AC497">
            <v>3784.72</v>
          </cell>
          <cell r="AE497">
            <v>3784.7239999999997</v>
          </cell>
          <cell r="AH497">
            <v>2419.2399999999998</v>
          </cell>
          <cell r="AI497">
            <v>1365.48</v>
          </cell>
          <cell r="AO497" t="str">
            <v>Refunded</v>
          </cell>
          <cell r="AP497" t="str">
            <v>Returned</v>
          </cell>
        </row>
        <row r="498">
          <cell r="A498" t="str">
            <v>ORD-2025-10497</v>
          </cell>
          <cell r="B498" t="str">
            <v>2025-07-04</v>
          </cell>
          <cell r="D498" t="str">
            <v>2025-07-06</v>
          </cell>
          <cell r="F498" t="str">
            <v>Valid</v>
          </cell>
          <cell r="H498" t="str">
            <v>Valid</v>
          </cell>
          <cell r="N498" t="str">
            <v>East</v>
          </cell>
          <cell r="V498" t="str">
            <v>Second Class</v>
          </cell>
          <cell r="Z498">
            <v>0.1</v>
          </cell>
          <cell r="AB498" t="str">
            <v>Valid</v>
          </cell>
          <cell r="AC498">
            <v>6635.56</v>
          </cell>
          <cell r="AE498">
            <v>6635.5560000000005</v>
          </cell>
          <cell r="AH498">
            <v>3652.91</v>
          </cell>
          <cell r="AI498">
            <v>2982.65</v>
          </cell>
          <cell r="AO498" t="str">
            <v>Paid</v>
          </cell>
          <cell r="AP498" t="str">
            <v>Completed</v>
          </cell>
        </row>
        <row r="499">
          <cell r="A499" t="str">
            <v>ORD-2024-10498</v>
          </cell>
          <cell r="B499" t="str">
            <v>29 Aug 2024</v>
          </cell>
          <cell r="D499" t="str">
            <v>29 Aug 2024</v>
          </cell>
          <cell r="F499" t="str">
            <v>Valid</v>
          </cell>
          <cell r="H499" t="str">
            <v>Valid</v>
          </cell>
          <cell r="N499" t="str">
            <v>NORTH</v>
          </cell>
          <cell r="V499" t="str">
            <v>Second Class</v>
          </cell>
          <cell r="Z499">
            <v>0.2</v>
          </cell>
          <cell r="AB499" t="str">
            <v>Valid</v>
          </cell>
          <cell r="AC499">
            <v>2485.5</v>
          </cell>
          <cell r="AE499">
            <v>2485.5040000000004</v>
          </cell>
          <cell r="AH499">
            <v>2028.43</v>
          </cell>
          <cell r="AI499">
            <v>457.07</v>
          </cell>
          <cell r="AO499" t="str">
            <v>Paid</v>
          </cell>
          <cell r="AP499" t="str">
            <v>Cancelled</v>
          </cell>
        </row>
        <row r="500">
          <cell r="A500" t="str">
            <v>ORD-2025-10499</v>
          </cell>
          <cell r="B500" t="str">
            <v>2025-09-07</v>
          </cell>
          <cell r="D500" t="str">
            <v>10 Sep 2025</v>
          </cell>
          <cell r="F500" t="str">
            <v>Valid</v>
          </cell>
          <cell r="H500" t="str">
            <v>Valid</v>
          </cell>
          <cell r="N500" t="str">
            <v>North</v>
          </cell>
          <cell r="V500" t="str">
            <v>Same Day</v>
          </cell>
          <cell r="Z500">
            <v>0.05</v>
          </cell>
          <cell r="AB500" t="str">
            <v>Valid</v>
          </cell>
          <cell r="AC500">
            <v>850.35</v>
          </cell>
          <cell r="AE500">
            <v>850.34500000000003</v>
          </cell>
          <cell r="AH500">
            <v>600.98</v>
          </cell>
          <cell r="AI500">
            <v>249.37</v>
          </cell>
          <cell r="AO500" t="str">
            <v>Refunded</v>
          </cell>
          <cell r="AP500" t="str">
            <v>cancelled</v>
          </cell>
        </row>
        <row r="501">
          <cell r="A501" t="str">
            <v>ORD-2024-10500</v>
          </cell>
          <cell r="B501" t="str">
            <v>2024-12-22</v>
          </cell>
          <cell r="D501" t="str">
            <v>26-12-2024</v>
          </cell>
          <cell r="F501" t="str">
            <v>Valid</v>
          </cell>
          <cell r="H501" t="str">
            <v>Valid</v>
          </cell>
          <cell r="N501" t="str">
            <v>North</v>
          </cell>
          <cell r="V501" t="str">
            <v>Standard Class</v>
          </cell>
          <cell r="AB501" t="str">
            <v>Valid</v>
          </cell>
          <cell r="AC501">
            <v>7498.37</v>
          </cell>
          <cell r="AE501">
            <v>9997.8299999999981</v>
          </cell>
          <cell r="AH501">
            <v>6059.07</v>
          </cell>
          <cell r="AI501">
            <v>1439.3</v>
          </cell>
          <cell r="AO501" t="str">
            <v>Paid</v>
          </cell>
          <cell r="AP501" t="str">
            <v>Cancelled</v>
          </cell>
        </row>
        <row r="502">
          <cell r="A502" t="str">
            <v>ORD-2024-10501</v>
          </cell>
          <cell r="B502" t="str">
            <v>05/17/2024</v>
          </cell>
          <cell r="D502" t="str">
            <v>05/22/2024</v>
          </cell>
          <cell r="F502" t="str">
            <v>Valid</v>
          </cell>
          <cell r="H502" t="str">
            <v>Valid</v>
          </cell>
          <cell r="N502" t="str">
            <v>South</v>
          </cell>
          <cell r="V502" t="str">
            <v>Same Day</v>
          </cell>
          <cell r="Z502" t="str">
            <v>85%</v>
          </cell>
          <cell r="AB502" t="str">
            <v>Invalid - Discount Above Limit</v>
          </cell>
          <cell r="AC502">
            <v>34163.910000000003</v>
          </cell>
          <cell r="AE502">
            <v>5124.5865000000003</v>
          </cell>
          <cell r="AH502">
            <v>28577.15</v>
          </cell>
          <cell r="AI502">
            <v>5586.76</v>
          </cell>
          <cell r="AO502" t="str">
            <v>Paid</v>
          </cell>
          <cell r="AP502" t="str">
            <v>Completed</v>
          </cell>
        </row>
        <row r="503">
          <cell r="A503" t="str">
            <v>ORD-2024-10502</v>
          </cell>
          <cell r="B503" t="str">
            <v>11 Aug 2024</v>
          </cell>
          <cell r="D503" t="str">
            <v>08/17/2024</v>
          </cell>
          <cell r="F503" t="str">
            <v>Valid</v>
          </cell>
          <cell r="H503" t="str">
            <v>Valid</v>
          </cell>
          <cell r="N503" t="str">
            <v>East</v>
          </cell>
          <cell r="V503" t="str">
            <v>Second Class</v>
          </cell>
          <cell r="Z503">
            <v>0.15</v>
          </cell>
          <cell r="AB503" t="str">
            <v>Valid</v>
          </cell>
          <cell r="AC503">
            <v>17837.45</v>
          </cell>
          <cell r="AE503">
            <v>17837.453999999998</v>
          </cell>
          <cell r="AH503">
            <v>13627.02</v>
          </cell>
          <cell r="AI503">
            <v>4210.43</v>
          </cell>
          <cell r="AO503" t="str">
            <v>Paid</v>
          </cell>
          <cell r="AP503" t="str">
            <v>Completed</v>
          </cell>
        </row>
        <row r="504">
          <cell r="A504" t="str">
            <v>ORD-2024-10503</v>
          </cell>
          <cell r="B504" t="str">
            <v>04/01/2024</v>
          </cell>
          <cell r="D504" t="str">
            <v>2024-04-09</v>
          </cell>
          <cell r="F504" t="str">
            <v>Valid</v>
          </cell>
          <cell r="H504" t="str">
            <v>Valid</v>
          </cell>
          <cell r="N504" t="str">
            <v>East</v>
          </cell>
          <cell r="V504" t="str">
            <v>Second Class</v>
          </cell>
          <cell r="Z504">
            <v>0.1</v>
          </cell>
          <cell r="AB504" t="str">
            <v>Valid</v>
          </cell>
          <cell r="AC504">
            <v>4465.42</v>
          </cell>
          <cell r="AE504">
            <v>4465.4220000000005</v>
          </cell>
          <cell r="AH504">
            <v>3377.1</v>
          </cell>
          <cell r="AI504">
            <v>1088.32</v>
          </cell>
          <cell r="AO504" t="str">
            <v>Paid</v>
          </cell>
          <cell r="AP504" t="str">
            <v>Completed</v>
          </cell>
        </row>
        <row r="505">
          <cell r="A505" t="str">
            <v>ORD-2024-10504</v>
          </cell>
          <cell r="B505" t="str">
            <v>2024-09-28</v>
          </cell>
          <cell r="D505" t="str">
            <v>2024-10-05</v>
          </cell>
          <cell r="F505" t="str">
            <v>Valid</v>
          </cell>
          <cell r="H505" t="str">
            <v>Valid</v>
          </cell>
          <cell r="N505" t="str">
            <v>South</v>
          </cell>
          <cell r="V505" t="str">
            <v>Standard Class</v>
          </cell>
          <cell r="Z505">
            <v>0.1</v>
          </cell>
          <cell r="AB505" t="str">
            <v>Valid</v>
          </cell>
          <cell r="AC505">
            <v>10594.08</v>
          </cell>
          <cell r="AE505">
            <v>10594.08</v>
          </cell>
          <cell r="AH505">
            <v>7160.31</v>
          </cell>
          <cell r="AI505">
            <v>3433.77</v>
          </cell>
          <cell r="AO505" t="str">
            <v>Paid</v>
          </cell>
          <cell r="AP505" t="str">
            <v>Completed</v>
          </cell>
        </row>
        <row r="506">
          <cell r="A506" t="str">
            <v>ORD-2025-10505</v>
          </cell>
          <cell r="B506" t="str">
            <v>2025-02-12</v>
          </cell>
          <cell r="D506" t="str">
            <v>2025-02-17</v>
          </cell>
          <cell r="F506" t="str">
            <v>Valid</v>
          </cell>
          <cell r="H506" t="str">
            <v>Valid</v>
          </cell>
          <cell r="N506" t="str">
            <v>West</v>
          </cell>
          <cell r="V506" t="str">
            <v>Standard Class</v>
          </cell>
          <cell r="Z506">
            <v>0</v>
          </cell>
          <cell r="AB506" t="str">
            <v>Valid</v>
          </cell>
          <cell r="AC506">
            <v>17312.48</v>
          </cell>
          <cell r="AE506">
            <v>17312.48</v>
          </cell>
          <cell r="AH506">
            <v>14424.22</v>
          </cell>
          <cell r="AI506">
            <v>2888.26</v>
          </cell>
          <cell r="AO506" t="str">
            <v>Paid</v>
          </cell>
          <cell r="AP506" t="str">
            <v>Completed</v>
          </cell>
        </row>
        <row r="507">
          <cell r="A507" t="str">
            <v>ORD-2024-10506</v>
          </cell>
          <cell r="B507" t="str">
            <v>2024-11-09</v>
          </cell>
          <cell r="D507" t="str">
            <v>14 Nov 2024</v>
          </cell>
          <cell r="F507" t="str">
            <v>Valid</v>
          </cell>
          <cell r="H507" t="str">
            <v>Valid</v>
          </cell>
          <cell r="N507" t="str">
            <v>West</v>
          </cell>
          <cell r="V507" t="str">
            <v>First Class</v>
          </cell>
          <cell r="Z507">
            <v>0.2</v>
          </cell>
          <cell r="AB507" t="str">
            <v>Valid</v>
          </cell>
          <cell r="AC507">
            <v>17555.689999999999</v>
          </cell>
          <cell r="AE507">
            <v>17555.688000000002</v>
          </cell>
          <cell r="AH507">
            <v>13293.2</v>
          </cell>
          <cell r="AI507">
            <v>4262.49</v>
          </cell>
          <cell r="AO507" t="str">
            <v>Paid</v>
          </cell>
          <cell r="AP507" t="str">
            <v>Cancelled</v>
          </cell>
        </row>
        <row r="508">
          <cell r="A508" t="str">
            <v>ORD-2024-10507</v>
          </cell>
          <cell r="B508" t="str">
            <v>15-12-2024</v>
          </cell>
          <cell r="D508" t="str">
            <v>2024-12-15</v>
          </cell>
          <cell r="F508" t="str">
            <v>Valid</v>
          </cell>
          <cell r="H508" t="str">
            <v>Valid</v>
          </cell>
          <cell r="N508" t="str">
            <v>North</v>
          </cell>
          <cell r="V508" t="str">
            <v>First Class</v>
          </cell>
          <cell r="Z508">
            <v>0.1</v>
          </cell>
          <cell r="AB508" t="str">
            <v>Valid</v>
          </cell>
          <cell r="AC508">
            <v>1205.6400000000001</v>
          </cell>
          <cell r="AE508">
            <v>1205.6399999999999</v>
          </cell>
          <cell r="AH508">
            <v>842.07</v>
          </cell>
          <cell r="AI508">
            <v>363.57</v>
          </cell>
          <cell r="AO508" t="str">
            <v>Refunded</v>
          </cell>
          <cell r="AP508" t="str">
            <v>Returned</v>
          </cell>
        </row>
        <row r="509">
          <cell r="A509" t="str">
            <v>ORD-2025-10508</v>
          </cell>
          <cell r="B509" t="str">
            <v>2025-04-15</v>
          </cell>
          <cell r="D509" t="str">
            <v>2025-04-22</v>
          </cell>
          <cell r="F509" t="str">
            <v>Valid</v>
          </cell>
          <cell r="H509" t="str">
            <v>Valid</v>
          </cell>
          <cell r="N509" t="str">
            <v>North</v>
          </cell>
          <cell r="V509" t="str">
            <v>Same Day</v>
          </cell>
          <cell r="Z509">
            <v>0.25</v>
          </cell>
          <cell r="AB509" t="str">
            <v>Valid</v>
          </cell>
          <cell r="AC509">
            <v>8971.26</v>
          </cell>
          <cell r="AE509">
            <v>8971.26</v>
          </cell>
          <cell r="AH509">
            <v>6814.35</v>
          </cell>
          <cell r="AI509">
            <v>2156.91</v>
          </cell>
          <cell r="AO509" t="str">
            <v>Paid</v>
          </cell>
          <cell r="AP509" t="str">
            <v>Completed</v>
          </cell>
        </row>
        <row r="510">
          <cell r="A510" t="str">
            <v>ORD-2024-10509</v>
          </cell>
          <cell r="B510" t="str">
            <v>31 Mar 2024</v>
          </cell>
          <cell r="D510" t="str">
            <v>07-04-2024</v>
          </cell>
          <cell r="F510" t="str">
            <v>Valid</v>
          </cell>
          <cell r="H510" t="str">
            <v>Valid</v>
          </cell>
          <cell r="N510" t="str">
            <v>North</v>
          </cell>
          <cell r="V510" t="str">
            <v>Second Class</v>
          </cell>
          <cell r="Z510">
            <v>0</v>
          </cell>
          <cell r="AB510" t="str">
            <v>Valid</v>
          </cell>
          <cell r="AC510">
            <v>7324</v>
          </cell>
          <cell r="AE510">
            <v>7324</v>
          </cell>
          <cell r="AH510">
            <v>4179.63</v>
          </cell>
          <cell r="AI510">
            <v>3144.37</v>
          </cell>
          <cell r="AO510" t="str">
            <v>Paid</v>
          </cell>
          <cell r="AP510" t="str">
            <v>Completed</v>
          </cell>
        </row>
        <row r="511">
          <cell r="A511" t="str">
            <v>ORD-2025-10510</v>
          </cell>
          <cell r="B511" t="str">
            <v>2025-05-12</v>
          </cell>
          <cell r="D511" t="str">
            <v>05/14/2025</v>
          </cell>
          <cell r="F511" t="str">
            <v>Valid</v>
          </cell>
          <cell r="H511" t="str">
            <v>Valid</v>
          </cell>
          <cell r="N511" t="str">
            <v>West</v>
          </cell>
          <cell r="V511" t="str">
            <v>Same Day</v>
          </cell>
          <cell r="Z511">
            <v>0.2</v>
          </cell>
          <cell r="AB511" t="str">
            <v>Valid</v>
          </cell>
          <cell r="AC511">
            <v>23241.22</v>
          </cell>
          <cell r="AE511">
            <v>23241.216</v>
          </cell>
          <cell r="AH511">
            <v>17220.900000000001</v>
          </cell>
          <cell r="AI511">
            <v>6020.32</v>
          </cell>
          <cell r="AO511" t="str">
            <v>Paid</v>
          </cell>
          <cell r="AP511" t="str">
            <v>Completed</v>
          </cell>
        </row>
        <row r="512">
          <cell r="A512" t="str">
            <v>ORD-2024-10511</v>
          </cell>
          <cell r="B512" t="str">
            <v>10/18/2024</v>
          </cell>
          <cell r="D512" t="str">
            <v>21-10-2024</v>
          </cell>
          <cell r="F512" t="str">
            <v>Valid</v>
          </cell>
          <cell r="H512" t="str">
            <v>Valid</v>
          </cell>
          <cell r="N512" t="str">
            <v>South</v>
          </cell>
          <cell r="V512" t="str">
            <v>Second Class</v>
          </cell>
          <cell r="Z512">
            <v>0</v>
          </cell>
          <cell r="AB512" t="str">
            <v>Valid</v>
          </cell>
          <cell r="AC512">
            <v>8477.02</v>
          </cell>
          <cell r="AE512">
            <v>8477.02</v>
          </cell>
          <cell r="AH512">
            <v>6884.96</v>
          </cell>
          <cell r="AI512">
            <v>1592.06</v>
          </cell>
          <cell r="AO512" t="str">
            <v>Paid</v>
          </cell>
          <cell r="AP512" t="str">
            <v>Completed</v>
          </cell>
        </row>
        <row r="513">
          <cell r="A513" t="str">
            <v>ORD-2024-10512</v>
          </cell>
          <cell r="B513" t="str">
            <v>10/23/2024</v>
          </cell>
          <cell r="D513" t="str">
            <v>26 Oct 2024</v>
          </cell>
          <cell r="F513" t="str">
            <v>Valid</v>
          </cell>
          <cell r="H513" t="str">
            <v>Valid</v>
          </cell>
          <cell r="N513" t="str">
            <v>West</v>
          </cell>
          <cell r="V513" t="str">
            <v>Standard Class</v>
          </cell>
          <cell r="Z513">
            <v>0.25</v>
          </cell>
          <cell r="AB513" t="str">
            <v>Valid</v>
          </cell>
          <cell r="AC513">
            <v>3673.82</v>
          </cell>
          <cell r="AE513">
            <v>3673.8225000000002</v>
          </cell>
          <cell r="AH513">
            <v>2088.15</v>
          </cell>
          <cell r="AI513">
            <v>1585.67</v>
          </cell>
          <cell r="AO513" t="str">
            <v>Paid</v>
          </cell>
          <cell r="AP513" t="str">
            <v>Completed</v>
          </cell>
        </row>
        <row r="514">
          <cell r="A514" t="str">
            <v>ORD-2025-10513</v>
          </cell>
          <cell r="B514" t="str">
            <v>03/02/2025</v>
          </cell>
          <cell r="D514" t="str">
            <v>2025-03-03</v>
          </cell>
          <cell r="F514" t="str">
            <v>Valid</v>
          </cell>
          <cell r="H514" t="str">
            <v>Valid</v>
          </cell>
          <cell r="N514" t="str">
            <v>South</v>
          </cell>
          <cell r="V514" t="str">
            <v>Second Class</v>
          </cell>
          <cell r="Z514">
            <v>0.25</v>
          </cell>
          <cell r="AB514" t="str">
            <v>Valid</v>
          </cell>
          <cell r="AC514">
            <v>6047.17</v>
          </cell>
          <cell r="AE514">
            <v>6047.1749999999993</v>
          </cell>
          <cell r="AH514">
            <v>3368.79</v>
          </cell>
          <cell r="AI514">
            <v>2678.38</v>
          </cell>
          <cell r="AO514" t="str">
            <v>Paid</v>
          </cell>
          <cell r="AP514" t="str">
            <v>Completed</v>
          </cell>
        </row>
        <row r="515">
          <cell r="A515" t="str">
            <v>ORD-2025-10514</v>
          </cell>
          <cell r="B515" t="str">
            <v>27-06-2025</v>
          </cell>
          <cell r="D515" t="str">
            <v>07/02/2025</v>
          </cell>
          <cell r="F515" t="str">
            <v>Valid</v>
          </cell>
          <cell r="H515" t="str">
            <v>Valid</v>
          </cell>
          <cell r="N515" t="str">
            <v>South</v>
          </cell>
          <cell r="V515" t="str">
            <v>First Class</v>
          </cell>
          <cell r="Z515">
            <v>0.1</v>
          </cell>
          <cell r="AB515" t="str">
            <v>Valid</v>
          </cell>
          <cell r="AC515">
            <v>6212.38</v>
          </cell>
          <cell r="AE515">
            <v>5937.246000000001</v>
          </cell>
          <cell r="AH515">
            <v>4088.46</v>
          </cell>
          <cell r="AI515">
            <v>1848.79</v>
          </cell>
          <cell r="AO515" t="str">
            <v>Paid</v>
          </cell>
          <cell r="AP515" t="str">
            <v>Completed</v>
          </cell>
        </row>
        <row r="516">
          <cell r="A516" t="str">
            <v>ORD-2024-10515</v>
          </cell>
          <cell r="B516" t="str">
            <v>18 Nov 2024</v>
          </cell>
          <cell r="D516" t="str">
            <v>2024-11-22</v>
          </cell>
          <cell r="F516" t="str">
            <v>Valid</v>
          </cell>
          <cell r="H516" t="str">
            <v>Valid</v>
          </cell>
          <cell r="N516" t="str">
            <v>South</v>
          </cell>
          <cell r="V516" t="str">
            <v>Standard Class</v>
          </cell>
          <cell r="Z516">
            <v>0.1</v>
          </cell>
          <cell r="AB516" t="str">
            <v>Valid</v>
          </cell>
          <cell r="AC516">
            <v>20913.88</v>
          </cell>
          <cell r="AE516">
            <v>20913.876</v>
          </cell>
          <cell r="AH516">
            <v>11684.68</v>
          </cell>
          <cell r="AI516">
            <v>9229.2000000000007</v>
          </cell>
          <cell r="AO516" t="str">
            <v>Paid</v>
          </cell>
          <cell r="AP516" t="str">
            <v>Completed</v>
          </cell>
        </row>
        <row r="517">
          <cell r="A517" t="str">
            <v>ORD-2025-10516</v>
          </cell>
          <cell r="B517" t="str">
            <v>04/11/2025</v>
          </cell>
          <cell r="D517" t="str">
            <v>2025-04-11</v>
          </cell>
          <cell r="F517" t="str">
            <v>Valid</v>
          </cell>
          <cell r="H517" t="str">
            <v>Valid</v>
          </cell>
          <cell r="N517" t="str">
            <v>North</v>
          </cell>
          <cell r="V517" t="str">
            <v>Standard Class</v>
          </cell>
          <cell r="Z517">
            <v>-7.0000000000000007E-2</v>
          </cell>
          <cell r="AB517" t="str">
            <v>Invalid - Negative Discount</v>
          </cell>
          <cell r="AC517">
            <v>3566.79</v>
          </cell>
          <cell r="AE517">
            <v>4770.5843000000004</v>
          </cell>
          <cell r="AH517">
            <v>2083.41</v>
          </cell>
          <cell r="AI517">
            <v>1483.38</v>
          </cell>
          <cell r="AO517" t="str">
            <v>Paid</v>
          </cell>
          <cell r="AP517" t="str">
            <v>Completed</v>
          </cell>
        </row>
        <row r="518">
          <cell r="A518" t="str">
            <v>ORD-2024-10517</v>
          </cell>
          <cell r="B518" t="str">
            <v>09/28/2024</v>
          </cell>
          <cell r="D518" t="str">
            <v>04 Oct 2024</v>
          </cell>
          <cell r="F518" t="str">
            <v>Valid</v>
          </cell>
          <cell r="H518" t="str">
            <v>Valid</v>
          </cell>
          <cell r="N518" t="str">
            <v>North</v>
          </cell>
          <cell r="V518" t="str">
            <v>Standard Class</v>
          </cell>
          <cell r="Z518">
            <v>0</v>
          </cell>
          <cell r="AB518" t="str">
            <v>Valid</v>
          </cell>
          <cell r="AC518">
            <v>2233.1799999999998</v>
          </cell>
          <cell r="AE518">
            <v>2233.1799999999998</v>
          </cell>
          <cell r="AH518">
            <v>1585.82</v>
          </cell>
          <cell r="AI518">
            <v>647.36</v>
          </cell>
          <cell r="AO518" t="str">
            <v>Failed</v>
          </cell>
          <cell r="AP518" t="str">
            <v>Returned</v>
          </cell>
        </row>
        <row r="519">
          <cell r="A519" t="str">
            <v>ORD-2025-10518</v>
          </cell>
          <cell r="B519" t="str">
            <v>2025-05-25</v>
          </cell>
          <cell r="D519" t="str">
            <v>27 May 2025</v>
          </cell>
          <cell r="F519" t="str">
            <v>Valid</v>
          </cell>
          <cell r="H519" t="str">
            <v>Valid</v>
          </cell>
          <cell r="N519" t="str">
            <v>East</v>
          </cell>
          <cell r="V519" t="str">
            <v>Second Class</v>
          </cell>
          <cell r="Z519">
            <v>0.2</v>
          </cell>
          <cell r="AB519" t="str">
            <v>Valid</v>
          </cell>
          <cell r="AC519">
            <v>11890.37</v>
          </cell>
          <cell r="AE519">
            <v>11890.368000000002</v>
          </cell>
          <cell r="AH519">
            <v>9234.5300000000007</v>
          </cell>
          <cell r="AI519">
            <v>2655.84</v>
          </cell>
          <cell r="AO519" t="str">
            <v>Refunded</v>
          </cell>
          <cell r="AP519" t="str">
            <v>Returned</v>
          </cell>
        </row>
        <row r="520">
          <cell r="A520" t="str">
            <v>ORD-2025-10519</v>
          </cell>
          <cell r="B520" t="str">
            <v>30-04-2025</v>
          </cell>
          <cell r="D520" t="str">
            <v>26 Apr 2025</v>
          </cell>
          <cell r="F520" t="str">
            <v>Invalid Shipping Record</v>
          </cell>
          <cell r="H520" t="str">
            <v>Invalid Shipping Record</v>
          </cell>
          <cell r="N520" t="str">
            <v>East</v>
          </cell>
          <cell r="V520" t="str">
            <v>First Class</v>
          </cell>
          <cell r="Z520">
            <v>0.25</v>
          </cell>
          <cell r="AB520" t="str">
            <v>Valid</v>
          </cell>
          <cell r="AC520">
            <v>8421.68</v>
          </cell>
          <cell r="AE520">
            <v>8421.682499999999</v>
          </cell>
          <cell r="AH520">
            <v>6534.47</v>
          </cell>
          <cell r="AI520">
            <v>1887.21</v>
          </cell>
          <cell r="AO520" t="str">
            <v>Paid</v>
          </cell>
          <cell r="AP520" t="str">
            <v>Cancelled</v>
          </cell>
        </row>
        <row r="521">
          <cell r="A521" t="str">
            <v>ORD-2025-10520</v>
          </cell>
          <cell r="B521" t="str">
            <v>03-07-2025</v>
          </cell>
          <cell r="D521" t="str">
            <v>2025-07-07</v>
          </cell>
          <cell r="F521" t="str">
            <v>Valid</v>
          </cell>
          <cell r="H521" t="str">
            <v>Valid</v>
          </cell>
          <cell r="N521" t="str">
            <v>North</v>
          </cell>
          <cell r="V521" t="str">
            <v>Standard Class</v>
          </cell>
          <cell r="Z521">
            <v>0.2</v>
          </cell>
          <cell r="AB521" t="str">
            <v>Valid</v>
          </cell>
          <cell r="AC521">
            <v>13968.67</v>
          </cell>
          <cell r="AE521">
            <v>13968.672</v>
          </cell>
          <cell r="AH521">
            <v>8857.58</v>
          </cell>
          <cell r="AI521">
            <v>5111.09</v>
          </cell>
          <cell r="AO521" t="str">
            <v>Pending</v>
          </cell>
          <cell r="AP521" t="str">
            <v>Cancelled</v>
          </cell>
        </row>
        <row r="522">
          <cell r="A522" t="str">
            <v>ORD-2024-10521</v>
          </cell>
          <cell r="B522" t="str">
            <v>2024-07-16</v>
          </cell>
          <cell r="D522" t="str">
            <v>23 Jul 2024</v>
          </cell>
          <cell r="F522" t="str">
            <v>Valid</v>
          </cell>
          <cell r="H522" t="str">
            <v>Valid</v>
          </cell>
          <cell r="N522" t="str">
            <v>South</v>
          </cell>
          <cell r="V522" t="str">
            <v>Same Day</v>
          </cell>
          <cell r="Z522">
            <v>0.05</v>
          </cell>
          <cell r="AB522" t="str">
            <v>Valid</v>
          </cell>
          <cell r="AC522">
            <v>1611.11</v>
          </cell>
          <cell r="AE522">
            <v>1611.1144999999999</v>
          </cell>
          <cell r="AH522">
            <v>895.15</v>
          </cell>
          <cell r="AI522">
            <v>715.96</v>
          </cell>
          <cell r="AO522" t="str">
            <v>Paid</v>
          </cell>
          <cell r="AP522" t="str">
            <v>Completed</v>
          </cell>
        </row>
        <row r="523">
          <cell r="A523" t="str">
            <v>ORD-2025-10522</v>
          </cell>
          <cell r="B523" t="str">
            <v>2025-03-25</v>
          </cell>
          <cell r="D523" t="str">
            <v>2025-04-01</v>
          </cell>
          <cell r="F523" t="str">
            <v>Valid</v>
          </cell>
          <cell r="H523" t="str">
            <v>Valid</v>
          </cell>
          <cell r="N523" t="str">
            <v>North</v>
          </cell>
          <cell r="V523" t="str">
            <v>Second Class</v>
          </cell>
          <cell r="Z523">
            <v>0.05</v>
          </cell>
          <cell r="AB523" t="str">
            <v>Valid</v>
          </cell>
          <cell r="AC523">
            <v>12495.03</v>
          </cell>
          <cell r="AE523">
            <v>12495.027</v>
          </cell>
          <cell r="AH523">
            <v>9184.52</v>
          </cell>
          <cell r="AI523">
            <v>3310.51</v>
          </cell>
          <cell r="AO523" t="str">
            <v>Paid</v>
          </cell>
          <cell r="AP523" t="str">
            <v>Completed</v>
          </cell>
        </row>
        <row r="524">
          <cell r="A524" t="str">
            <v>ORD-2025-10523</v>
          </cell>
          <cell r="B524" t="str">
            <v>02/28/2025</v>
          </cell>
          <cell r="D524" t="str">
            <v>08 Mar 2025</v>
          </cell>
          <cell r="F524" t="str">
            <v>Valid</v>
          </cell>
          <cell r="H524" t="str">
            <v>Valid</v>
          </cell>
          <cell r="N524" t="str">
            <v>East</v>
          </cell>
          <cell r="V524" t="str">
            <v>First Class</v>
          </cell>
          <cell r="Z524">
            <v>0</v>
          </cell>
          <cell r="AB524" t="str">
            <v>Valid</v>
          </cell>
          <cell r="AC524">
            <v>33034.86</v>
          </cell>
          <cell r="AE524">
            <v>33034.86</v>
          </cell>
          <cell r="AH524">
            <v>24539.83</v>
          </cell>
          <cell r="AI524">
            <v>8495.0300000000007</v>
          </cell>
          <cell r="AO524" t="str">
            <v>Paid</v>
          </cell>
          <cell r="AP524" t="str">
            <v>Completed</v>
          </cell>
        </row>
        <row r="525">
          <cell r="A525" t="str">
            <v>ORD-2024-10524</v>
          </cell>
          <cell r="B525" t="str">
            <v>02-04-2024</v>
          </cell>
          <cell r="D525" t="str">
            <v>2024-04-03</v>
          </cell>
          <cell r="F525" t="str">
            <v>Valid</v>
          </cell>
          <cell r="H525" t="str">
            <v>Valid</v>
          </cell>
          <cell r="N525" t="str">
            <v>West</v>
          </cell>
          <cell r="V525" t="str">
            <v>Second Class</v>
          </cell>
          <cell r="Z525">
            <v>0</v>
          </cell>
          <cell r="AB525" t="str">
            <v>Valid</v>
          </cell>
          <cell r="AC525">
            <v>5805.26</v>
          </cell>
          <cell r="AE525">
            <v>5805.26</v>
          </cell>
          <cell r="AH525">
            <v>4654.3599999999997</v>
          </cell>
          <cell r="AI525">
            <v>1150.9000000000001</v>
          </cell>
          <cell r="AO525" t="str">
            <v>Paid</v>
          </cell>
          <cell r="AP525" t="str">
            <v>Returned</v>
          </cell>
        </row>
        <row r="526">
          <cell r="A526" t="str">
            <v>ORD-2024-10525</v>
          </cell>
          <cell r="B526" t="str">
            <v>30 Nov 2024</v>
          </cell>
          <cell r="D526" t="str">
            <v>01 Dec 2024</v>
          </cell>
          <cell r="F526" t="str">
            <v>Valid</v>
          </cell>
          <cell r="H526" t="str">
            <v>Valid</v>
          </cell>
          <cell r="N526" t="str">
            <v>West</v>
          </cell>
          <cell r="V526" t="str">
            <v>First Class</v>
          </cell>
          <cell r="Z526">
            <v>0.1</v>
          </cell>
          <cell r="AB526" t="str">
            <v>Valid</v>
          </cell>
          <cell r="AC526">
            <v>34079.620000000003</v>
          </cell>
          <cell r="AE526">
            <v>34079.616000000002</v>
          </cell>
          <cell r="AH526">
            <v>21871.39</v>
          </cell>
          <cell r="AI526">
            <v>12208.23</v>
          </cell>
          <cell r="AO526" t="str">
            <v>Paid</v>
          </cell>
          <cell r="AP526" t="str">
            <v>Completed</v>
          </cell>
        </row>
        <row r="527">
          <cell r="A527" t="str">
            <v>ORD-2024-10526</v>
          </cell>
          <cell r="B527" t="str">
            <v>10/17/2024</v>
          </cell>
          <cell r="D527" t="str">
            <v>2024-10-17</v>
          </cell>
          <cell r="F527" t="str">
            <v>Valid</v>
          </cell>
          <cell r="H527" t="str">
            <v>Valid</v>
          </cell>
          <cell r="N527" t="str">
            <v>East</v>
          </cell>
          <cell r="V527" t="str">
            <v>Standard Class</v>
          </cell>
          <cell r="Z527">
            <v>0.1</v>
          </cell>
          <cell r="AB527" t="str">
            <v>Valid</v>
          </cell>
          <cell r="AC527">
            <v>11359.8</v>
          </cell>
          <cell r="AE527">
            <v>11359.800000000001</v>
          </cell>
          <cell r="AH527">
            <v>7062.44</v>
          </cell>
          <cell r="AI527">
            <v>4297.3599999999997</v>
          </cell>
          <cell r="AO527" t="str">
            <v>Paid</v>
          </cell>
          <cell r="AP527" t="str">
            <v>Completed</v>
          </cell>
        </row>
        <row r="528">
          <cell r="A528" t="str">
            <v>ORD-2025-10527</v>
          </cell>
          <cell r="B528" t="str">
            <v>2025-07-18</v>
          </cell>
          <cell r="D528" t="str">
            <v>21 Jul 2025</v>
          </cell>
          <cell r="F528" t="str">
            <v>Valid</v>
          </cell>
          <cell r="H528" t="str">
            <v>Valid</v>
          </cell>
          <cell r="N528" t="str">
            <v>East</v>
          </cell>
          <cell r="V528" t="str">
            <v>Second Class</v>
          </cell>
          <cell r="AB528" t="str">
            <v>Valid</v>
          </cell>
          <cell r="AC528">
            <v>908.93</v>
          </cell>
          <cell r="AE528">
            <v>1136.1600000000001</v>
          </cell>
          <cell r="AH528">
            <v>572.08000000000004</v>
          </cell>
          <cell r="AI528">
            <v>336.85</v>
          </cell>
          <cell r="AO528" t="str">
            <v>Paid</v>
          </cell>
          <cell r="AP528" t="str">
            <v>Completed</v>
          </cell>
        </row>
        <row r="529">
          <cell r="A529" t="str">
            <v>ORD-2025-10528</v>
          </cell>
          <cell r="B529" t="str">
            <v>01-10-2025</v>
          </cell>
          <cell r="D529" t="str">
            <v>2025-10-05</v>
          </cell>
          <cell r="F529" t="str">
            <v>Valid</v>
          </cell>
          <cell r="H529" t="str">
            <v>Valid</v>
          </cell>
          <cell r="N529" t="str">
            <v>North</v>
          </cell>
          <cell r="V529" t="str">
            <v>First Class</v>
          </cell>
          <cell r="Z529">
            <v>0.15</v>
          </cell>
          <cell r="AB529" t="str">
            <v>Valid</v>
          </cell>
          <cell r="AC529">
            <v>13802.13</v>
          </cell>
          <cell r="AE529">
            <v>13802.13</v>
          </cell>
          <cell r="AH529">
            <v>10075.93</v>
          </cell>
          <cell r="AI529">
            <v>3726.2</v>
          </cell>
          <cell r="AO529" t="str">
            <v>Paid</v>
          </cell>
          <cell r="AP529" t="str">
            <v>Completed</v>
          </cell>
        </row>
        <row r="530">
          <cell r="A530" t="str">
            <v>ORD-2024-10529</v>
          </cell>
          <cell r="B530" t="str">
            <v>2024-10-07</v>
          </cell>
          <cell r="D530" t="str">
            <v>09-10-2024</v>
          </cell>
          <cell r="F530" t="str">
            <v>Valid</v>
          </cell>
          <cell r="H530" t="str">
            <v>Valid</v>
          </cell>
          <cell r="N530" t="str">
            <v>South</v>
          </cell>
          <cell r="V530" t="str">
            <v>Standard Class</v>
          </cell>
          <cell r="Z530">
            <v>0.05</v>
          </cell>
          <cell r="AB530" t="str">
            <v>Valid</v>
          </cell>
          <cell r="AC530">
            <v>29558.12</v>
          </cell>
          <cell r="AE530">
            <v>29558.119500000001</v>
          </cell>
          <cell r="AH530">
            <v>21302.13</v>
          </cell>
          <cell r="AI530">
            <v>8255.99</v>
          </cell>
          <cell r="AO530" t="str">
            <v>Pending</v>
          </cell>
          <cell r="AP530" t="str">
            <v>Returned</v>
          </cell>
        </row>
        <row r="531">
          <cell r="A531" t="str">
            <v>ORD-2024-10530</v>
          </cell>
          <cell r="B531" t="str">
            <v>2024-02-06</v>
          </cell>
          <cell r="D531" t="str">
            <v>2024-02-08</v>
          </cell>
          <cell r="F531" t="str">
            <v>Valid</v>
          </cell>
          <cell r="H531" t="str">
            <v>Valid</v>
          </cell>
          <cell r="N531" t="str">
            <v>East</v>
          </cell>
          <cell r="V531" t="str">
            <v>Second Class</v>
          </cell>
          <cell r="Z531">
            <v>0</v>
          </cell>
          <cell r="AB531" t="str">
            <v>Valid</v>
          </cell>
          <cell r="AC531">
            <v>16400.25</v>
          </cell>
          <cell r="AE531">
            <v>16400.25</v>
          </cell>
          <cell r="AH531">
            <v>12146.96</v>
          </cell>
          <cell r="AI531">
            <v>4253.29</v>
          </cell>
          <cell r="AO531" t="str">
            <v>Paid</v>
          </cell>
          <cell r="AP531" t="str">
            <v>Completed</v>
          </cell>
        </row>
        <row r="532">
          <cell r="A532" t="str">
            <v>ORD-2025-10531</v>
          </cell>
          <cell r="B532" t="str">
            <v>05/30/2025</v>
          </cell>
          <cell r="D532" t="str">
            <v>2025-06-01</v>
          </cell>
          <cell r="F532" t="str">
            <v>Valid</v>
          </cell>
          <cell r="H532" t="str">
            <v>Valid</v>
          </cell>
          <cell r="N532" t="str">
            <v>South</v>
          </cell>
          <cell r="V532" t="str">
            <v>Standard Class</v>
          </cell>
          <cell r="Z532">
            <v>0.05</v>
          </cell>
          <cell r="AB532" t="str">
            <v>Valid</v>
          </cell>
          <cell r="AC532">
            <v>17053.060000000001</v>
          </cell>
          <cell r="AE532">
            <v>17053.0605</v>
          </cell>
          <cell r="AH532">
            <v>10742.38</v>
          </cell>
          <cell r="AI532">
            <v>6310.68</v>
          </cell>
          <cell r="AO532" t="str">
            <v>Paid</v>
          </cell>
          <cell r="AP532" t="str">
            <v>Completed</v>
          </cell>
        </row>
        <row r="533">
          <cell r="A533" t="str">
            <v>ORD-2024-10532</v>
          </cell>
          <cell r="B533" t="str">
            <v>01 Aug 2024</v>
          </cell>
          <cell r="D533" t="str">
            <v>08-08-2024</v>
          </cell>
          <cell r="F533" t="str">
            <v>Valid</v>
          </cell>
          <cell r="H533" t="str">
            <v>Valid</v>
          </cell>
          <cell r="N533" t="str">
            <v>West</v>
          </cell>
          <cell r="Z533">
            <v>0.1</v>
          </cell>
          <cell r="AB533" t="str">
            <v>Valid</v>
          </cell>
          <cell r="AC533">
            <v>398.67</v>
          </cell>
          <cell r="AE533">
            <v>398.67300000000006</v>
          </cell>
          <cell r="AH533">
            <v>311.66000000000003</v>
          </cell>
          <cell r="AI533">
            <v>87.01</v>
          </cell>
          <cell r="AO533" t="str">
            <v>Paid</v>
          </cell>
          <cell r="AP533" t="str">
            <v>Completed</v>
          </cell>
        </row>
        <row r="534">
          <cell r="A534" t="str">
            <v>ORD-2025-10533</v>
          </cell>
          <cell r="B534" t="str">
            <v>2025-10-05</v>
          </cell>
          <cell r="D534" t="str">
            <v>2025-10-10</v>
          </cell>
          <cell r="F534" t="str">
            <v>Valid</v>
          </cell>
          <cell r="H534" t="str">
            <v>Valid</v>
          </cell>
          <cell r="N534" t="str">
            <v>East</v>
          </cell>
          <cell r="V534" t="str">
            <v>Second Class</v>
          </cell>
          <cell r="Z534">
            <v>0.05</v>
          </cell>
          <cell r="AB534" t="str">
            <v>Valid</v>
          </cell>
          <cell r="AC534">
            <v>17862.150000000001</v>
          </cell>
          <cell r="AE534">
            <v>17862.146999999997</v>
          </cell>
          <cell r="AH534">
            <v>9892.2099999999991</v>
          </cell>
          <cell r="AI534">
            <v>7969.94</v>
          </cell>
          <cell r="AO534" t="str">
            <v>Failed</v>
          </cell>
          <cell r="AP534" t="str">
            <v>Cancelled</v>
          </cell>
        </row>
        <row r="535">
          <cell r="A535" t="str">
            <v>ORD-2024-10534</v>
          </cell>
          <cell r="B535" t="str">
            <v>25 Aug 2024</v>
          </cell>
          <cell r="D535" t="str">
            <v>2024-09-01</v>
          </cell>
          <cell r="F535" t="str">
            <v>Valid</v>
          </cell>
          <cell r="H535" t="str">
            <v>Valid</v>
          </cell>
          <cell r="N535" t="str">
            <v>North</v>
          </cell>
          <cell r="V535" t="str">
            <v>Same Day</v>
          </cell>
          <cell r="Z535">
            <v>0.25</v>
          </cell>
          <cell r="AB535" t="str">
            <v>Valid</v>
          </cell>
          <cell r="AC535">
            <v>2165.85</v>
          </cell>
          <cell r="AE535">
            <v>2165.8500000000004</v>
          </cell>
          <cell r="AH535">
            <v>2124.48</v>
          </cell>
          <cell r="AI535">
            <v>430.45</v>
          </cell>
          <cell r="AO535" t="str">
            <v>Paid</v>
          </cell>
          <cell r="AP535" t="str">
            <v>Completed</v>
          </cell>
        </row>
        <row r="536">
          <cell r="A536" t="str">
            <v>ORD-2025-10535</v>
          </cell>
          <cell r="B536" t="str">
            <v>04/27/2025</v>
          </cell>
          <cell r="D536" t="str">
            <v>2025-05-05</v>
          </cell>
          <cell r="F536" t="str">
            <v>Valid</v>
          </cell>
          <cell r="H536" t="str">
            <v>Valid</v>
          </cell>
          <cell r="N536" t="str">
            <v>East</v>
          </cell>
          <cell r="V536" t="str">
            <v>Second Class</v>
          </cell>
          <cell r="Z536">
            <v>0.1</v>
          </cell>
          <cell r="AB536" t="str">
            <v>Valid</v>
          </cell>
          <cell r="AC536">
            <v>14268.2</v>
          </cell>
          <cell r="AE536">
            <v>14268.204</v>
          </cell>
          <cell r="AH536">
            <v>11705.3</v>
          </cell>
          <cell r="AI536">
            <v>2562.9</v>
          </cell>
          <cell r="AO536" t="str">
            <v>Pending</v>
          </cell>
          <cell r="AP536" t="str">
            <v>Returned</v>
          </cell>
        </row>
        <row r="537">
          <cell r="A537" t="str">
            <v>ORD-2024-10536</v>
          </cell>
          <cell r="B537" t="str">
            <v>19-05-2024</v>
          </cell>
          <cell r="D537" t="str">
            <v>21 May 2024</v>
          </cell>
          <cell r="F537" t="str">
            <v>Valid</v>
          </cell>
          <cell r="H537" t="str">
            <v>Valid</v>
          </cell>
          <cell r="N537" t="str">
            <v>West</v>
          </cell>
          <cell r="V537" t="str">
            <v>First Class</v>
          </cell>
          <cell r="Z537">
            <v>0.2</v>
          </cell>
          <cell r="AB537" t="str">
            <v>Valid</v>
          </cell>
          <cell r="AC537">
            <v>9602.35</v>
          </cell>
          <cell r="AE537">
            <v>9602.3520000000008</v>
          </cell>
          <cell r="AH537">
            <v>7387.57</v>
          </cell>
          <cell r="AI537">
            <v>2214.7800000000002</v>
          </cell>
          <cell r="AO537" t="str">
            <v>Paid</v>
          </cell>
          <cell r="AP537" t="str">
            <v>Completed</v>
          </cell>
        </row>
        <row r="538">
          <cell r="A538" t="str">
            <v>ORD-2025-10537</v>
          </cell>
          <cell r="B538" t="str">
            <v>2025-04-10</v>
          </cell>
          <cell r="D538" t="str">
            <v>2025-04-17</v>
          </cell>
          <cell r="F538" t="str">
            <v>Valid</v>
          </cell>
          <cell r="H538" t="str">
            <v>Valid</v>
          </cell>
          <cell r="N538" t="str">
            <v>West</v>
          </cell>
          <cell r="V538" t="str">
            <v>First Class</v>
          </cell>
          <cell r="Z538">
            <v>0.25</v>
          </cell>
          <cell r="AB538" t="str">
            <v>Valid</v>
          </cell>
          <cell r="AC538">
            <v>19891.72</v>
          </cell>
          <cell r="AE538">
            <v>19891.724999999999</v>
          </cell>
          <cell r="AH538">
            <v>12295.76</v>
          </cell>
          <cell r="AI538">
            <v>7595.96</v>
          </cell>
          <cell r="AO538" t="str">
            <v>Failed</v>
          </cell>
          <cell r="AP538" t="str">
            <v>Cancelled</v>
          </cell>
        </row>
        <row r="539">
          <cell r="A539" t="str">
            <v>ORD-2024-10538</v>
          </cell>
          <cell r="B539" t="str">
            <v>2024-01-22</v>
          </cell>
          <cell r="D539" t="str">
            <v>2024-01-30</v>
          </cell>
          <cell r="F539" t="str">
            <v>Valid</v>
          </cell>
          <cell r="H539" t="str">
            <v>Valid</v>
          </cell>
          <cell r="N539" t="str">
            <v>North</v>
          </cell>
          <cell r="V539" t="str">
            <v>Same Day</v>
          </cell>
          <cell r="Z539">
            <v>0.05</v>
          </cell>
          <cell r="AB539" t="str">
            <v>Valid</v>
          </cell>
          <cell r="AC539">
            <v>1927.65</v>
          </cell>
          <cell r="AE539">
            <v>1927.6545000000001</v>
          </cell>
          <cell r="AH539">
            <v>1460.6</v>
          </cell>
          <cell r="AI539">
            <v>467.05</v>
          </cell>
          <cell r="AO539" t="str">
            <v>Failed</v>
          </cell>
          <cell r="AP539" t="str">
            <v>Cancelled</v>
          </cell>
        </row>
        <row r="540">
          <cell r="A540" t="str">
            <v>ORD-2024-10539</v>
          </cell>
          <cell r="B540" t="str">
            <v>25-09-2024</v>
          </cell>
          <cell r="D540" t="str">
            <v>01-10-2024</v>
          </cell>
          <cell r="F540" t="str">
            <v>Valid</v>
          </cell>
          <cell r="H540" t="str">
            <v>Valid</v>
          </cell>
          <cell r="N540" t="str">
            <v>East</v>
          </cell>
          <cell r="V540" t="str">
            <v>Second Class</v>
          </cell>
          <cell r="Z540">
            <v>0.15</v>
          </cell>
          <cell r="AB540" t="str">
            <v>Valid</v>
          </cell>
          <cell r="AC540">
            <v>29900.79</v>
          </cell>
          <cell r="AE540">
            <v>29900.79</v>
          </cell>
          <cell r="AH540">
            <v>24650.67</v>
          </cell>
          <cell r="AI540">
            <v>5250.12</v>
          </cell>
          <cell r="AO540" t="str">
            <v>Paid</v>
          </cell>
          <cell r="AP540" t="str">
            <v>Completed</v>
          </cell>
        </row>
        <row r="541">
          <cell r="A541" t="str">
            <v>ORD-2025-10540</v>
          </cell>
          <cell r="B541" t="str">
            <v>07/04/2025</v>
          </cell>
          <cell r="D541" t="str">
            <v>2025-07-04</v>
          </cell>
          <cell r="F541" t="str">
            <v>Valid</v>
          </cell>
          <cell r="H541" t="str">
            <v>Valid</v>
          </cell>
          <cell r="N541" t="str">
            <v>South</v>
          </cell>
          <cell r="V541" t="str">
            <v>Standard Class</v>
          </cell>
          <cell r="Z541">
            <v>0.1</v>
          </cell>
          <cell r="AB541" t="str">
            <v>Valid</v>
          </cell>
          <cell r="AC541">
            <v>1904.45</v>
          </cell>
          <cell r="AE541">
            <v>1904.4450000000002</v>
          </cell>
          <cell r="AH541">
            <v>1316.54</v>
          </cell>
          <cell r="AI541">
            <v>587.91</v>
          </cell>
          <cell r="AO541" t="str">
            <v>Paid</v>
          </cell>
          <cell r="AP541" t="str">
            <v>Cancelled</v>
          </cell>
        </row>
        <row r="542">
          <cell r="A542" t="str">
            <v>ORD-2024-10541</v>
          </cell>
          <cell r="B542" t="str">
            <v>26-02-2024</v>
          </cell>
          <cell r="D542" t="str">
            <v>23 Feb 2024</v>
          </cell>
          <cell r="F542" t="str">
            <v>Invalid Shipping Record</v>
          </cell>
          <cell r="H542" t="str">
            <v>Invalid Shipping Record</v>
          </cell>
          <cell r="N542" t="str">
            <v>West</v>
          </cell>
          <cell r="V542" t="str">
            <v>Standard Class</v>
          </cell>
          <cell r="Z542">
            <v>0.2</v>
          </cell>
          <cell r="AB542" t="str">
            <v>Valid</v>
          </cell>
          <cell r="AC542">
            <v>21571.59</v>
          </cell>
          <cell r="AE542">
            <v>21571.592000000004</v>
          </cell>
          <cell r="AH542">
            <v>17118.07</v>
          </cell>
          <cell r="AI542">
            <v>4453.5200000000004</v>
          </cell>
          <cell r="AO542" t="str">
            <v>Paid</v>
          </cell>
          <cell r="AP542" t="str">
            <v>Completed</v>
          </cell>
        </row>
        <row r="543">
          <cell r="A543" t="str">
            <v>ORD-2025-10542</v>
          </cell>
          <cell r="B543" t="str">
            <v>08-07-2025</v>
          </cell>
          <cell r="D543" t="str">
            <v>2025-07-09</v>
          </cell>
          <cell r="F543" t="str">
            <v>Valid</v>
          </cell>
          <cell r="H543" t="str">
            <v>Valid</v>
          </cell>
          <cell r="N543" t="str">
            <v>West</v>
          </cell>
          <cell r="V543" t="str">
            <v>Same Day</v>
          </cell>
          <cell r="Z543">
            <v>0</v>
          </cell>
          <cell r="AB543" t="str">
            <v>Valid</v>
          </cell>
          <cell r="AC543">
            <v>8641.68</v>
          </cell>
          <cell r="AE543">
            <v>8641.68</v>
          </cell>
          <cell r="AH543">
            <v>5747.09</v>
          </cell>
          <cell r="AI543">
            <v>2894.59</v>
          </cell>
          <cell r="AO543" t="str">
            <v>Paid</v>
          </cell>
          <cell r="AP543" t="str">
            <v>Returned</v>
          </cell>
        </row>
        <row r="544">
          <cell r="A544" t="str">
            <v>ORD-2024-10543</v>
          </cell>
          <cell r="B544" t="str">
            <v>09/17/2024</v>
          </cell>
          <cell r="D544" t="str">
            <v>2024-09-23</v>
          </cell>
          <cell r="F544" t="str">
            <v>Valid</v>
          </cell>
          <cell r="H544" t="str">
            <v>Valid</v>
          </cell>
          <cell r="N544" t="str">
            <v>South</v>
          </cell>
          <cell r="V544" t="str">
            <v>Second Class</v>
          </cell>
          <cell r="Z544">
            <v>0.2</v>
          </cell>
          <cell r="AB544" t="str">
            <v>Valid</v>
          </cell>
          <cell r="AC544">
            <v>9988.5300000000007</v>
          </cell>
          <cell r="AE544">
            <v>9762.2880000000005</v>
          </cell>
          <cell r="AH544">
            <v>8368.24</v>
          </cell>
          <cell r="AI544">
            <v>1394.05</v>
          </cell>
          <cell r="AO544" t="str">
            <v>Paid</v>
          </cell>
          <cell r="AP544" t="str">
            <v>CANCELLED</v>
          </cell>
        </row>
        <row r="545">
          <cell r="A545" t="str">
            <v>ORD-2024-10544</v>
          </cell>
          <cell r="B545" t="str">
            <v>2024-07-14</v>
          </cell>
          <cell r="D545" t="str">
            <v>20-07-2024</v>
          </cell>
          <cell r="F545" t="str">
            <v>Valid</v>
          </cell>
          <cell r="H545" t="str">
            <v>Valid</v>
          </cell>
          <cell r="N545" t="str">
            <v>East</v>
          </cell>
          <cell r="V545" t="str">
            <v>Same Day</v>
          </cell>
          <cell r="Z545">
            <v>0.15</v>
          </cell>
          <cell r="AB545" t="str">
            <v>Valid</v>
          </cell>
          <cell r="AC545">
            <v>418.77</v>
          </cell>
          <cell r="AE545">
            <v>418.76949999999999</v>
          </cell>
          <cell r="AH545">
            <v>313.72000000000003</v>
          </cell>
          <cell r="AI545">
            <v>105.05</v>
          </cell>
          <cell r="AO545" t="str">
            <v>Paid</v>
          </cell>
          <cell r="AP545" t="str">
            <v>Completed</v>
          </cell>
        </row>
        <row r="546">
          <cell r="A546" t="str">
            <v>ORD-2025-10545</v>
          </cell>
          <cell r="B546" t="str">
            <v>2025-01-29</v>
          </cell>
          <cell r="D546" t="str">
            <v>02/05/2025</v>
          </cell>
          <cell r="F546" t="str">
            <v>Valid</v>
          </cell>
          <cell r="H546" t="str">
            <v>Valid</v>
          </cell>
          <cell r="N546" t="str">
            <v>South</v>
          </cell>
          <cell r="V546" t="str">
            <v>Same Day</v>
          </cell>
          <cell r="Z546">
            <v>0.25</v>
          </cell>
          <cell r="AB546" t="str">
            <v>Valid</v>
          </cell>
          <cell r="AC546">
            <v>21861.72</v>
          </cell>
          <cell r="AE546">
            <v>21861.72</v>
          </cell>
          <cell r="AH546">
            <v>18464.34</v>
          </cell>
          <cell r="AI546">
            <v>3397.38</v>
          </cell>
          <cell r="AO546" t="str">
            <v>Paid</v>
          </cell>
          <cell r="AP546" t="str">
            <v>Cancelled</v>
          </cell>
        </row>
        <row r="547">
          <cell r="A547" t="str">
            <v>ORD-2024-10546</v>
          </cell>
          <cell r="B547" t="str">
            <v>05/27/2024</v>
          </cell>
          <cell r="D547" t="str">
            <v>30 May 2024</v>
          </cell>
          <cell r="F547" t="str">
            <v>Valid</v>
          </cell>
          <cell r="H547" t="str">
            <v>Valid</v>
          </cell>
          <cell r="N547" t="str">
            <v>East</v>
          </cell>
          <cell r="V547" t="str">
            <v>Same Day</v>
          </cell>
          <cell r="Z547">
            <v>0.15</v>
          </cell>
          <cell r="AB547" t="str">
            <v>Valid</v>
          </cell>
          <cell r="AC547">
            <v>17260.12</v>
          </cell>
          <cell r="AE547">
            <v>17260.116999999998</v>
          </cell>
          <cell r="AH547">
            <v>13513.51</v>
          </cell>
          <cell r="AI547">
            <v>3746.61</v>
          </cell>
          <cell r="AO547" t="str">
            <v>Paid</v>
          </cell>
          <cell r="AP547" t="str">
            <v>Completed</v>
          </cell>
        </row>
        <row r="548">
          <cell r="A548" t="str">
            <v>ORD-2025-10547</v>
          </cell>
          <cell r="B548" t="str">
            <v>2025-08-14</v>
          </cell>
          <cell r="D548" t="str">
            <v>22 Aug 2025</v>
          </cell>
          <cell r="F548" t="str">
            <v>Valid</v>
          </cell>
          <cell r="H548" t="str">
            <v>Valid</v>
          </cell>
          <cell r="N548" t="str">
            <v>West</v>
          </cell>
          <cell r="V548" t="str">
            <v>First Class</v>
          </cell>
          <cell r="Z548">
            <v>0.15</v>
          </cell>
          <cell r="AB548" t="str">
            <v>Valid</v>
          </cell>
          <cell r="AC548">
            <v>10911.32</v>
          </cell>
          <cell r="AE548">
            <v>10911.322499999998</v>
          </cell>
          <cell r="AH548">
            <v>6966.44</v>
          </cell>
          <cell r="AI548">
            <v>4395.17</v>
          </cell>
          <cell r="AO548" t="str">
            <v>Paid</v>
          </cell>
          <cell r="AP548" t="str">
            <v>Completed</v>
          </cell>
        </row>
        <row r="549">
          <cell r="A549" t="str">
            <v>ORD-2024-10548</v>
          </cell>
          <cell r="B549" t="str">
            <v>16 May 2024</v>
          </cell>
          <cell r="D549" t="str">
            <v>23 May 2024</v>
          </cell>
          <cell r="F549" t="str">
            <v>Valid</v>
          </cell>
          <cell r="H549" t="str">
            <v>Valid</v>
          </cell>
          <cell r="N549" t="str">
            <v>North</v>
          </cell>
          <cell r="V549" t="str">
            <v>Standard Class</v>
          </cell>
          <cell r="Z549">
            <v>0.1</v>
          </cell>
          <cell r="AB549" t="str">
            <v>Valid</v>
          </cell>
          <cell r="AC549">
            <v>30148.93</v>
          </cell>
          <cell r="AE549">
            <v>30148.929</v>
          </cell>
          <cell r="AH549">
            <v>25155.07</v>
          </cell>
          <cell r="AI549">
            <v>4993.8599999999997</v>
          </cell>
          <cell r="AO549" t="str">
            <v>Paid</v>
          </cell>
          <cell r="AP549" t="str">
            <v>Completed</v>
          </cell>
        </row>
        <row r="550">
          <cell r="A550" t="str">
            <v>ORD-2024-10549</v>
          </cell>
          <cell r="B550" t="str">
            <v>29 May 2024</v>
          </cell>
          <cell r="D550" t="str">
            <v>29-05-2024</v>
          </cell>
          <cell r="F550" t="str">
            <v>Valid</v>
          </cell>
          <cell r="H550" t="str">
            <v>Valid</v>
          </cell>
          <cell r="N550" t="str">
            <v>East</v>
          </cell>
          <cell r="V550" t="str">
            <v>Same Day</v>
          </cell>
          <cell r="Z550">
            <v>0</v>
          </cell>
          <cell r="AB550" t="str">
            <v>Valid</v>
          </cell>
          <cell r="AC550">
            <v>1072.01</v>
          </cell>
          <cell r="AE550">
            <v>1072.01</v>
          </cell>
          <cell r="AH550">
            <v>852.62</v>
          </cell>
          <cell r="AI550">
            <v>219.39</v>
          </cell>
          <cell r="AO550" t="str">
            <v>Pending</v>
          </cell>
          <cell r="AP550" t="str">
            <v>Cancelled</v>
          </cell>
        </row>
        <row r="551">
          <cell r="A551" t="str">
            <v>ORD-2025-10550</v>
          </cell>
          <cell r="B551" t="str">
            <v>10/11/2025</v>
          </cell>
          <cell r="D551" t="str">
            <v>13 Oct 2025</v>
          </cell>
          <cell r="F551" t="str">
            <v>Valid</v>
          </cell>
          <cell r="H551" t="str">
            <v>Valid</v>
          </cell>
          <cell r="N551" t="str">
            <v>South</v>
          </cell>
          <cell r="V551" t="str">
            <v>Second Class</v>
          </cell>
          <cell r="Z551">
            <v>0.1</v>
          </cell>
          <cell r="AB551" t="str">
            <v>Valid</v>
          </cell>
          <cell r="AC551">
            <v>10271.530000000001</v>
          </cell>
          <cell r="AE551">
            <v>10271.529</v>
          </cell>
          <cell r="AH551">
            <v>8272.24</v>
          </cell>
          <cell r="AI551">
            <v>1999.29</v>
          </cell>
          <cell r="AO551" t="str">
            <v>Paid</v>
          </cell>
          <cell r="AP551" t="str">
            <v>Completed</v>
          </cell>
        </row>
        <row r="552">
          <cell r="A552" t="str">
            <v>ORD-2024-10551</v>
          </cell>
          <cell r="B552" t="str">
            <v>02-08-2024</v>
          </cell>
          <cell r="D552" t="str">
            <v>08/10/2024</v>
          </cell>
          <cell r="F552" t="str">
            <v>Valid</v>
          </cell>
          <cell r="H552" t="str">
            <v>Valid</v>
          </cell>
          <cell r="N552" t="str">
            <v>East</v>
          </cell>
          <cell r="V552" t="str">
            <v>Standard Class</v>
          </cell>
          <cell r="Z552">
            <v>0.2</v>
          </cell>
          <cell r="AB552" t="str">
            <v>Valid</v>
          </cell>
          <cell r="AC552">
            <v>10206.91</v>
          </cell>
          <cell r="AE552">
            <v>10206.912</v>
          </cell>
          <cell r="AH552">
            <v>6764.53</v>
          </cell>
          <cell r="AI552">
            <v>3442.38</v>
          </cell>
          <cell r="AO552" t="str">
            <v>Paid</v>
          </cell>
          <cell r="AP552" t="str">
            <v>Completed</v>
          </cell>
        </row>
        <row r="553">
          <cell r="A553" t="str">
            <v>ORD-2024-10552</v>
          </cell>
          <cell r="B553" t="str">
            <v>27-02-2024</v>
          </cell>
          <cell r="D553" t="str">
            <v>2024-02-27</v>
          </cell>
          <cell r="F553" t="str">
            <v>Valid</v>
          </cell>
          <cell r="H553" t="str">
            <v>Valid</v>
          </cell>
          <cell r="N553" t="str">
            <v>East</v>
          </cell>
          <cell r="V553" t="str">
            <v>Second Class</v>
          </cell>
          <cell r="Z553">
            <v>0.15</v>
          </cell>
          <cell r="AB553" t="str">
            <v>Valid</v>
          </cell>
          <cell r="AC553">
            <v>8027.63</v>
          </cell>
          <cell r="AE553">
            <v>8027.6295</v>
          </cell>
          <cell r="AH553">
            <v>5496.09</v>
          </cell>
          <cell r="AI553">
            <v>2531.54</v>
          </cell>
          <cell r="AO553" t="str">
            <v>Paid</v>
          </cell>
          <cell r="AP553" t="str">
            <v>Completed</v>
          </cell>
        </row>
        <row r="554">
          <cell r="A554" t="str">
            <v>ORD-2025-10553</v>
          </cell>
          <cell r="B554" t="str">
            <v>24-01-2025</v>
          </cell>
          <cell r="D554" t="str">
            <v>30 Jan 2025</v>
          </cell>
          <cell r="F554" t="str">
            <v>Valid</v>
          </cell>
          <cell r="H554" t="str">
            <v>Valid</v>
          </cell>
          <cell r="N554" t="str">
            <v>East</v>
          </cell>
          <cell r="V554" t="str">
            <v>Standard Class</v>
          </cell>
          <cell r="Z554" t="str">
            <v>70%</v>
          </cell>
          <cell r="AB554" t="str">
            <v>Invalid - Discount Above Limit</v>
          </cell>
          <cell r="AC554">
            <v>1875.18</v>
          </cell>
          <cell r="AE554">
            <v>750.072</v>
          </cell>
          <cell r="AH554">
            <v>1579.17</v>
          </cell>
          <cell r="AI554">
            <v>296.01</v>
          </cell>
          <cell r="AO554" t="str">
            <v>Paid</v>
          </cell>
          <cell r="AP554" t="str">
            <v>Completed</v>
          </cell>
        </row>
        <row r="555">
          <cell r="A555" t="str">
            <v>ORD-2025-10554</v>
          </cell>
          <cell r="B555" t="str">
            <v>04/25/2025</v>
          </cell>
          <cell r="D555" t="str">
            <v>2025-04-28</v>
          </cell>
          <cell r="F555" t="str">
            <v>Valid</v>
          </cell>
          <cell r="H555" t="str">
            <v>Valid</v>
          </cell>
          <cell r="N555" t="str">
            <v>West</v>
          </cell>
          <cell r="V555" t="str">
            <v>First Class</v>
          </cell>
          <cell r="Z555">
            <v>0.25</v>
          </cell>
          <cell r="AB555" t="str">
            <v>Valid</v>
          </cell>
          <cell r="AC555">
            <v>8735.24</v>
          </cell>
          <cell r="AE555">
            <v>8735.2425000000003</v>
          </cell>
          <cell r="AH555">
            <v>6620.07</v>
          </cell>
          <cell r="AI555">
            <v>2115.17</v>
          </cell>
          <cell r="AO555" t="str">
            <v>Paid</v>
          </cell>
          <cell r="AP555" t="str">
            <v>Completed</v>
          </cell>
        </row>
        <row r="556">
          <cell r="A556" t="str">
            <v>ORD-2024-10555</v>
          </cell>
          <cell r="B556" t="str">
            <v>2024-10-12</v>
          </cell>
          <cell r="D556" t="str">
            <v>17 Oct 2024</v>
          </cell>
          <cell r="F556" t="str">
            <v>Valid</v>
          </cell>
          <cell r="H556" t="str">
            <v>Valid</v>
          </cell>
          <cell r="V556" t="str">
            <v>Standard Class</v>
          </cell>
          <cell r="Z556">
            <v>0.05</v>
          </cell>
          <cell r="AB556" t="str">
            <v>Valid</v>
          </cell>
          <cell r="AC556">
            <v>4070.64</v>
          </cell>
          <cell r="AE556">
            <v>4070.636</v>
          </cell>
          <cell r="AH556">
            <v>2831.62</v>
          </cell>
          <cell r="AI556">
            <v>1239.02</v>
          </cell>
          <cell r="AO556" t="str">
            <v>Paid</v>
          </cell>
          <cell r="AP556" t="str">
            <v>Completed</v>
          </cell>
        </row>
        <row r="557">
          <cell r="A557" t="str">
            <v>ORD-2025-10556</v>
          </cell>
          <cell r="B557" t="str">
            <v>04-02-2025</v>
          </cell>
          <cell r="D557" t="str">
            <v>10 Feb 2025</v>
          </cell>
          <cell r="F557" t="str">
            <v>Valid</v>
          </cell>
          <cell r="H557" t="str">
            <v>Valid</v>
          </cell>
          <cell r="N557" t="str">
            <v>South</v>
          </cell>
          <cell r="V557" t="str">
            <v>Standard Class</v>
          </cell>
          <cell r="Z557">
            <v>0.05</v>
          </cell>
          <cell r="AB557" t="str">
            <v>Valid</v>
          </cell>
          <cell r="AC557">
            <v>5943.96</v>
          </cell>
          <cell r="AE557">
            <v>5943.9599999999991</v>
          </cell>
          <cell r="AH557">
            <v>3604.14</v>
          </cell>
          <cell r="AI557">
            <v>2339.8200000000002</v>
          </cell>
          <cell r="AO557" t="str">
            <v>Paid</v>
          </cell>
          <cell r="AP557" t="str">
            <v>Completed</v>
          </cell>
        </row>
        <row r="558">
          <cell r="A558" t="str">
            <v>ORD-2024-10557</v>
          </cell>
          <cell r="B558" t="str">
            <v>23 Jun 2024</v>
          </cell>
          <cell r="D558" t="str">
            <v>2024-06-29</v>
          </cell>
          <cell r="F558" t="str">
            <v>Valid</v>
          </cell>
          <cell r="H558" t="str">
            <v>Valid</v>
          </cell>
          <cell r="N558" t="str">
            <v>North</v>
          </cell>
          <cell r="V558" t="str">
            <v>First Class</v>
          </cell>
          <cell r="Z558">
            <v>0</v>
          </cell>
          <cell r="AB558" t="str">
            <v>Valid</v>
          </cell>
          <cell r="AC558">
            <v>4426.66</v>
          </cell>
          <cell r="AE558">
            <v>4426.66</v>
          </cell>
          <cell r="AH558">
            <v>3035.2</v>
          </cell>
          <cell r="AI558">
            <v>1816.23</v>
          </cell>
          <cell r="AO558" t="str">
            <v>Paid</v>
          </cell>
          <cell r="AP558" t="str">
            <v>Returned</v>
          </cell>
        </row>
        <row r="559">
          <cell r="A559" t="str">
            <v>ORD-2024-10558</v>
          </cell>
          <cell r="B559" t="str">
            <v>2024-05-08</v>
          </cell>
          <cell r="D559" t="str">
            <v>14-05-2024</v>
          </cell>
          <cell r="F559" t="str">
            <v>Valid</v>
          </cell>
          <cell r="H559" t="str">
            <v>Valid</v>
          </cell>
          <cell r="N559" t="str">
            <v>North</v>
          </cell>
          <cell r="V559" t="str">
            <v>First Class</v>
          </cell>
          <cell r="Z559">
            <v>0.05</v>
          </cell>
          <cell r="AB559" t="str">
            <v>Valid</v>
          </cell>
          <cell r="AC559">
            <v>32228.880000000001</v>
          </cell>
          <cell r="AE559">
            <v>32228.882999999998</v>
          </cell>
          <cell r="AH559">
            <v>24971.360000000001</v>
          </cell>
          <cell r="AI559">
            <v>7257.52</v>
          </cell>
          <cell r="AO559" t="str">
            <v>Paid</v>
          </cell>
          <cell r="AP559" t="str">
            <v>Cancelled</v>
          </cell>
        </row>
        <row r="560">
          <cell r="A560" t="str">
            <v>ORD-2025-10559</v>
          </cell>
          <cell r="B560" t="str">
            <v>2025-09-04</v>
          </cell>
          <cell r="D560" t="str">
            <v>09/04/2025</v>
          </cell>
          <cell r="F560" t="str">
            <v>Valid</v>
          </cell>
          <cell r="H560" t="str">
            <v>Valid</v>
          </cell>
          <cell r="N560" t="str">
            <v>North</v>
          </cell>
          <cell r="V560" t="str">
            <v>First Class</v>
          </cell>
          <cell r="Z560">
            <v>0.2</v>
          </cell>
          <cell r="AB560" t="str">
            <v>Valid</v>
          </cell>
          <cell r="AC560">
            <v>19711.68</v>
          </cell>
          <cell r="AE560">
            <v>19711.68</v>
          </cell>
          <cell r="AH560">
            <v>14461.8</v>
          </cell>
          <cell r="AI560">
            <v>5249.88</v>
          </cell>
          <cell r="AO560" t="str">
            <v>Paid</v>
          </cell>
          <cell r="AP560" t="str">
            <v>Completed</v>
          </cell>
        </row>
        <row r="561">
          <cell r="A561" t="str">
            <v>ORD-2025-10560</v>
          </cell>
          <cell r="B561" t="str">
            <v>30 Sep 2025</v>
          </cell>
          <cell r="D561" t="str">
            <v>2025-10-07</v>
          </cell>
          <cell r="F561" t="str">
            <v>Valid</v>
          </cell>
          <cell r="H561" t="str">
            <v>Valid</v>
          </cell>
          <cell r="N561" t="str">
            <v>East</v>
          </cell>
          <cell r="V561" t="str">
            <v>Second Class</v>
          </cell>
          <cell r="Z561">
            <v>0.1</v>
          </cell>
          <cell r="AB561" t="str">
            <v>Valid</v>
          </cell>
          <cell r="AC561">
            <v>14750.19</v>
          </cell>
          <cell r="AE561">
            <v>14750.190000000002</v>
          </cell>
          <cell r="AH561">
            <v>9482.58</v>
          </cell>
          <cell r="AI561">
            <v>5267.61</v>
          </cell>
          <cell r="AO561" t="str">
            <v>Paid</v>
          </cell>
          <cell r="AP561" t="str">
            <v>Returned</v>
          </cell>
        </row>
        <row r="562">
          <cell r="A562" t="str">
            <v>ORD-2024-10561</v>
          </cell>
          <cell r="B562" t="str">
            <v>2024-01-16</v>
          </cell>
          <cell r="D562" t="str">
            <v>22-01-2024</v>
          </cell>
          <cell r="F562" t="str">
            <v>Valid</v>
          </cell>
          <cell r="H562" t="str">
            <v>Valid</v>
          </cell>
          <cell r="N562" t="str">
            <v>West</v>
          </cell>
          <cell r="V562" t="str">
            <v>Standard Class</v>
          </cell>
          <cell r="Z562">
            <v>0</v>
          </cell>
          <cell r="AB562" t="str">
            <v>Valid</v>
          </cell>
          <cell r="AC562">
            <v>1130.1199999999999</v>
          </cell>
          <cell r="AE562">
            <v>1130.1199999999999</v>
          </cell>
          <cell r="AH562">
            <v>848.62</v>
          </cell>
          <cell r="AI562">
            <v>281.5</v>
          </cell>
          <cell r="AO562" t="str">
            <v>Paid</v>
          </cell>
          <cell r="AP562" t="str">
            <v>Cancelled</v>
          </cell>
        </row>
        <row r="563">
          <cell r="A563" t="str">
            <v>ORD-2025-10562</v>
          </cell>
          <cell r="B563" t="str">
            <v>2025-07-14</v>
          </cell>
          <cell r="D563" t="str">
            <v>18 Jul 2025</v>
          </cell>
          <cell r="F563" t="str">
            <v>Valid</v>
          </cell>
          <cell r="H563" t="str">
            <v>Valid</v>
          </cell>
          <cell r="N563" t="str">
            <v>North</v>
          </cell>
          <cell r="V563" t="str">
            <v>First Class</v>
          </cell>
          <cell r="Z563">
            <v>0</v>
          </cell>
          <cell r="AB563" t="str">
            <v>Valid</v>
          </cell>
          <cell r="AC563">
            <v>2900.88</v>
          </cell>
          <cell r="AE563">
            <v>2900.88</v>
          </cell>
          <cell r="AH563">
            <v>2391.85</v>
          </cell>
          <cell r="AI563">
            <v>509.03</v>
          </cell>
          <cell r="AO563" t="str">
            <v>Pending</v>
          </cell>
          <cell r="AP563" t="str">
            <v>Returned</v>
          </cell>
        </row>
        <row r="564">
          <cell r="A564" t="str">
            <v>ORD-2024-10563</v>
          </cell>
          <cell r="B564" t="str">
            <v>10 May 2024</v>
          </cell>
          <cell r="D564" t="str">
            <v>16 May 2024</v>
          </cell>
          <cell r="F564" t="str">
            <v>Valid</v>
          </cell>
          <cell r="H564" t="str">
            <v>Valid</v>
          </cell>
          <cell r="N564" t="str">
            <v>North</v>
          </cell>
          <cell r="V564" t="str">
            <v>Same Day</v>
          </cell>
          <cell r="Z564">
            <v>0.2</v>
          </cell>
          <cell r="AB564" t="str">
            <v>Valid</v>
          </cell>
          <cell r="AC564">
            <v>680.62</v>
          </cell>
          <cell r="AE564">
            <v>680.62400000000014</v>
          </cell>
          <cell r="AH564">
            <v>463.49</v>
          </cell>
          <cell r="AI564">
            <v>217.13</v>
          </cell>
          <cell r="AO564" t="str">
            <v>Failed</v>
          </cell>
          <cell r="AP564" t="str">
            <v>Returned</v>
          </cell>
        </row>
        <row r="565">
          <cell r="A565" t="str">
            <v>ORD-2024-10564</v>
          </cell>
          <cell r="B565" t="str">
            <v>05/06/2024</v>
          </cell>
          <cell r="D565" t="str">
            <v>12-05-2024</v>
          </cell>
          <cell r="F565" t="str">
            <v>Valid</v>
          </cell>
          <cell r="H565" t="str">
            <v>Valid</v>
          </cell>
          <cell r="N565" t="str">
            <v>West</v>
          </cell>
          <cell r="V565" t="str">
            <v>Standard Class</v>
          </cell>
          <cell r="Z565">
            <v>0.2</v>
          </cell>
          <cell r="AB565" t="str">
            <v>Valid</v>
          </cell>
          <cell r="AC565">
            <v>5694.98</v>
          </cell>
          <cell r="AE565">
            <v>5694.9840000000004</v>
          </cell>
          <cell r="AH565">
            <v>4618.33</v>
          </cell>
          <cell r="AI565">
            <v>1076.6500000000001</v>
          </cell>
          <cell r="AO565" t="str">
            <v>Pending</v>
          </cell>
          <cell r="AP565" t="str">
            <v>Cancelled</v>
          </cell>
        </row>
        <row r="566">
          <cell r="A566" t="str">
            <v>ORD-2024-10565</v>
          </cell>
          <cell r="B566" t="str">
            <v>11/10/2024</v>
          </cell>
          <cell r="D566" t="str">
            <v>14-11-2024</v>
          </cell>
          <cell r="F566" t="str">
            <v>Valid</v>
          </cell>
          <cell r="H566" t="str">
            <v>Valid</v>
          </cell>
          <cell r="N566" t="str">
            <v>South</v>
          </cell>
          <cell r="V566" t="str">
            <v>First Class</v>
          </cell>
          <cell r="Z566">
            <v>0.2</v>
          </cell>
          <cell r="AB566" t="str">
            <v>Valid</v>
          </cell>
          <cell r="AC566">
            <v>1474.14</v>
          </cell>
          <cell r="AE566">
            <v>1474.1440000000002</v>
          </cell>
          <cell r="AH566">
            <v>968.46</v>
          </cell>
          <cell r="AI566">
            <v>505.68</v>
          </cell>
          <cell r="AO566" t="str">
            <v>Paid</v>
          </cell>
          <cell r="AP566" t="str">
            <v>Completed</v>
          </cell>
        </row>
        <row r="567">
          <cell r="A567" t="str">
            <v>ORD-2025-10566</v>
          </cell>
          <cell r="B567" t="str">
            <v>07 Aug 2025</v>
          </cell>
          <cell r="D567" t="str">
            <v>13-08-2025</v>
          </cell>
          <cell r="F567" t="str">
            <v>Valid</v>
          </cell>
          <cell r="H567" t="str">
            <v>Valid</v>
          </cell>
          <cell r="N567" t="str">
            <v>North</v>
          </cell>
          <cell r="V567" t="str">
            <v>Standard Class</v>
          </cell>
          <cell r="Z567">
            <v>0.2</v>
          </cell>
          <cell r="AB567" t="str">
            <v>Valid</v>
          </cell>
          <cell r="AC567">
            <v>9224.93</v>
          </cell>
          <cell r="AE567">
            <v>9224.9279999999999</v>
          </cell>
          <cell r="AH567">
            <v>7005.2</v>
          </cell>
          <cell r="AI567">
            <v>2219.73</v>
          </cell>
          <cell r="AO567" t="str">
            <v>Refunded</v>
          </cell>
          <cell r="AP567" t="str">
            <v>Cancelled</v>
          </cell>
        </row>
        <row r="568">
          <cell r="A568" t="str">
            <v>ORD-2024-10567</v>
          </cell>
          <cell r="B568" t="str">
            <v>11 Aug 2024</v>
          </cell>
          <cell r="D568" t="str">
            <v>2024-08-19</v>
          </cell>
          <cell r="F568" t="str">
            <v>Valid</v>
          </cell>
          <cell r="H568" t="str">
            <v>Valid</v>
          </cell>
          <cell r="N568" t="str">
            <v>West</v>
          </cell>
          <cell r="V568" t="str">
            <v>Same Day</v>
          </cell>
          <cell r="Z568">
            <v>0.1</v>
          </cell>
          <cell r="AB568" t="str">
            <v>Valid</v>
          </cell>
          <cell r="AC568">
            <v>4712.2</v>
          </cell>
          <cell r="AE568">
            <v>4712.2020000000002</v>
          </cell>
          <cell r="AH568">
            <v>3851.91</v>
          </cell>
          <cell r="AI568">
            <v>860.29</v>
          </cell>
          <cell r="AO568" t="str">
            <v>Failed</v>
          </cell>
          <cell r="AP568" t="str">
            <v>Returned</v>
          </cell>
        </row>
        <row r="569">
          <cell r="A569" t="str">
            <v>ORD-2024-10568</v>
          </cell>
          <cell r="B569" t="str">
            <v>06 Feb 2024</v>
          </cell>
          <cell r="D569" t="str">
            <v>10-02-2024</v>
          </cell>
          <cell r="F569" t="str">
            <v>Valid</v>
          </cell>
          <cell r="H569" t="str">
            <v>Valid</v>
          </cell>
          <cell r="N569" t="str">
            <v>North</v>
          </cell>
          <cell r="V569" t="str">
            <v>Same Day</v>
          </cell>
          <cell r="Z569">
            <v>0.05</v>
          </cell>
          <cell r="AB569" t="str">
            <v>Valid</v>
          </cell>
          <cell r="AC569">
            <v>1305.3599999999999</v>
          </cell>
          <cell r="AE569">
            <v>1305.357</v>
          </cell>
          <cell r="AH569">
            <v>731.89</v>
          </cell>
          <cell r="AI569">
            <v>573.47</v>
          </cell>
          <cell r="AO569" t="str">
            <v>Paid</v>
          </cell>
          <cell r="AP569" t="str">
            <v>Completed</v>
          </cell>
        </row>
        <row r="570">
          <cell r="A570" t="str">
            <v>ORD-2024-10569</v>
          </cell>
          <cell r="B570" t="str">
            <v>21 Jan 2024</v>
          </cell>
          <cell r="D570" t="str">
            <v>24 Jan 2024</v>
          </cell>
          <cell r="F570" t="str">
            <v>Valid</v>
          </cell>
          <cell r="H570" t="str">
            <v>Valid</v>
          </cell>
          <cell r="N570" t="str">
            <v>North</v>
          </cell>
          <cell r="V570" t="str">
            <v>Same Day</v>
          </cell>
          <cell r="Z570">
            <v>0.25</v>
          </cell>
          <cell r="AB570" t="str">
            <v>Valid</v>
          </cell>
          <cell r="AC570">
            <v>2854.73</v>
          </cell>
          <cell r="AE570">
            <v>2854.7250000000004</v>
          </cell>
          <cell r="AH570">
            <v>1968.12</v>
          </cell>
          <cell r="AI570">
            <v>886.61</v>
          </cell>
          <cell r="AO570" t="str">
            <v>Paid</v>
          </cell>
          <cell r="AP570" t="str">
            <v>Completed</v>
          </cell>
        </row>
        <row r="571">
          <cell r="A571" t="str">
            <v>ORD-2025-10570</v>
          </cell>
          <cell r="B571" t="str">
            <v>09/08/2025</v>
          </cell>
          <cell r="D571" t="str">
            <v>2025-09-10</v>
          </cell>
          <cell r="F571" t="str">
            <v>Valid</v>
          </cell>
          <cell r="H571" t="str">
            <v>Valid</v>
          </cell>
          <cell r="N571" t="str">
            <v>West</v>
          </cell>
          <cell r="V571" t="str">
            <v>Standard Class</v>
          </cell>
          <cell r="Z571">
            <v>0.25</v>
          </cell>
          <cell r="AB571" t="str">
            <v>Valid</v>
          </cell>
          <cell r="AC571">
            <v>14630.26</v>
          </cell>
          <cell r="AE571">
            <v>14630.264999999999</v>
          </cell>
          <cell r="AH571">
            <v>11906.36</v>
          </cell>
          <cell r="AI571">
            <v>2723.9</v>
          </cell>
          <cell r="AO571" t="str">
            <v>Refunded</v>
          </cell>
          <cell r="AP571" t="str">
            <v>Returned</v>
          </cell>
        </row>
        <row r="572">
          <cell r="A572" t="str">
            <v>ORD-2025-10571</v>
          </cell>
          <cell r="B572" t="str">
            <v>2025-08-18</v>
          </cell>
          <cell r="D572" t="str">
            <v>08/22/2025</v>
          </cell>
          <cell r="F572" t="str">
            <v>Valid</v>
          </cell>
          <cell r="H572" t="str">
            <v>Valid</v>
          </cell>
          <cell r="N572" t="str">
            <v>East</v>
          </cell>
          <cell r="V572" t="str">
            <v>Second Class</v>
          </cell>
          <cell r="Z572">
            <v>0.25</v>
          </cell>
          <cell r="AB572" t="str">
            <v>Valid</v>
          </cell>
          <cell r="AC572">
            <v>8879.49</v>
          </cell>
          <cell r="AE572">
            <v>8879.49</v>
          </cell>
          <cell r="AH572">
            <v>6344.57</v>
          </cell>
          <cell r="AI572">
            <v>2534.92</v>
          </cell>
          <cell r="AO572" t="str">
            <v>Failed</v>
          </cell>
          <cell r="AP572" t="str">
            <v>Returned</v>
          </cell>
        </row>
        <row r="573">
          <cell r="A573" t="str">
            <v>ORD-2025-10572</v>
          </cell>
          <cell r="B573" t="str">
            <v>10 Feb 2025</v>
          </cell>
          <cell r="D573" t="str">
            <v>2025-02-14</v>
          </cell>
          <cell r="F573" t="str">
            <v>Valid</v>
          </cell>
          <cell r="H573" t="str">
            <v>Valid</v>
          </cell>
          <cell r="N573" t="str">
            <v>North</v>
          </cell>
          <cell r="Z573">
            <v>0</v>
          </cell>
          <cell r="AB573" t="str">
            <v>Valid</v>
          </cell>
          <cell r="AC573">
            <v>21381.45</v>
          </cell>
          <cell r="AE573">
            <v>21381.45</v>
          </cell>
          <cell r="AH573">
            <v>13240.21</v>
          </cell>
          <cell r="AI573">
            <v>8141.24</v>
          </cell>
          <cell r="AO573" t="str">
            <v>Failed</v>
          </cell>
          <cell r="AP573" t="str">
            <v>Returned</v>
          </cell>
        </row>
        <row r="574">
          <cell r="A574" t="str">
            <v>ORD-2024-10573</v>
          </cell>
          <cell r="B574" t="str">
            <v>01/02/2024</v>
          </cell>
          <cell r="D574" t="str">
            <v>09-01-2024</v>
          </cell>
          <cell r="F574" t="str">
            <v>Valid</v>
          </cell>
          <cell r="H574" t="str">
            <v>Valid</v>
          </cell>
          <cell r="N574" t="str">
            <v>North</v>
          </cell>
          <cell r="V574" t="str">
            <v>Standard Class</v>
          </cell>
          <cell r="Z574">
            <v>0.2</v>
          </cell>
          <cell r="AB574" t="str">
            <v>Valid</v>
          </cell>
          <cell r="AC574">
            <v>1774.94</v>
          </cell>
          <cell r="AE574">
            <v>1774.944</v>
          </cell>
          <cell r="AH574">
            <v>1007.4</v>
          </cell>
          <cell r="AI574">
            <v>767.54</v>
          </cell>
          <cell r="AO574" t="str">
            <v>Paid</v>
          </cell>
          <cell r="AP574" t="str">
            <v>Completed</v>
          </cell>
        </row>
        <row r="575">
          <cell r="A575" t="str">
            <v>ORD-2025-10574</v>
          </cell>
          <cell r="B575" t="str">
            <v>09/22/2025</v>
          </cell>
          <cell r="D575" t="str">
            <v>09/26/2025</v>
          </cell>
          <cell r="F575" t="str">
            <v>Valid</v>
          </cell>
          <cell r="H575" t="str">
            <v>Valid</v>
          </cell>
          <cell r="N575" t="str">
            <v>South</v>
          </cell>
          <cell r="V575" t="str">
            <v>Standard Class</v>
          </cell>
          <cell r="Z575">
            <v>0</v>
          </cell>
          <cell r="AB575" t="str">
            <v>Valid</v>
          </cell>
          <cell r="AC575">
            <v>573.65</v>
          </cell>
          <cell r="AE575">
            <v>573.65</v>
          </cell>
          <cell r="AH575">
            <v>322.67</v>
          </cell>
          <cell r="AI575">
            <v>250.98</v>
          </cell>
          <cell r="AO575" t="str">
            <v>Paid</v>
          </cell>
          <cell r="AP575" t="str">
            <v>Completed</v>
          </cell>
        </row>
        <row r="576">
          <cell r="A576" t="str">
            <v>ORD-2024-10575</v>
          </cell>
          <cell r="B576" t="str">
            <v>20 Feb 2024</v>
          </cell>
          <cell r="D576" t="str">
            <v>25-02-2024</v>
          </cell>
          <cell r="F576" t="str">
            <v>Valid</v>
          </cell>
          <cell r="H576" t="str">
            <v>Valid</v>
          </cell>
          <cell r="N576" t="str">
            <v>North</v>
          </cell>
          <cell r="V576" t="str">
            <v>Standard Class</v>
          </cell>
          <cell r="Z576">
            <v>0</v>
          </cell>
          <cell r="AB576" t="str">
            <v>Valid</v>
          </cell>
          <cell r="AC576">
            <v>5423.2</v>
          </cell>
          <cell r="AE576">
            <v>5423.2</v>
          </cell>
          <cell r="AH576">
            <v>4072.44</v>
          </cell>
          <cell r="AI576">
            <v>1350.76</v>
          </cell>
          <cell r="AO576" t="str">
            <v>Paid</v>
          </cell>
          <cell r="AP576" t="str">
            <v>Completed</v>
          </cell>
        </row>
        <row r="577">
          <cell r="A577" t="str">
            <v>ORD-2025-10576</v>
          </cell>
          <cell r="B577" t="str">
            <v>11 Mar 2025</v>
          </cell>
          <cell r="D577" t="str">
            <v>14 Mar 2025</v>
          </cell>
          <cell r="F577" t="str">
            <v>Valid</v>
          </cell>
          <cell r="H577" t="str">
            <v>Valid</v>
          </cell>
          <cell r="N577" t="str">
            <v>South</v>
          </cell>
          <cell r="V577" t="str">
            <v>Same Day</v>
          </cell>
          <cell r="Z577">
            <v>0.2</v>
          </cell>
          <cell r="AB577" t="str">
            <v>Valid</v>
          </cell>
          <cell r="AC577">
            <v>3983.42</v>
          </cell>
          <cell r="AE577">
            <v>3983.424</v>
          </cell>
          <cell r="AH577">
            <v>3174.91</v>
          </cell>
          <cell r="AI577">
            <v>808.51</v>
          </cell>
          <cell r="AO577" t="str">
            <v>Failed</v>
          </cell>
          <cell r="AP577" t="str">
            <v>Returned</v>
          </cell>
        </row>
        <row r="578">
          <cell r="A578" t="str">
            <v>ORD-2024-10577</v>
          </cell>
          <cell r="B578" t="str">
            <v>17-02-2024</v>
          </cell>
          <cell r="D578" t="str">
            <v>02/23/2024</v>
          </cell>
          <cell r="F578" t="str">
            <v>Valid</v>
          </cell>
          <cell r="H578" t="str">
            <v>Valid</v>
          </cell>
          <cell r="V578" t="str">
            <v>Standard Class</v>
          </cell>
          <cell r="Z578">
            <v>0</v>
          </cell>
          <cell r="AB578" t="str">
            <v>Valid</v>
          </cell>
          <cell r="AC578">
            <v>23530.14</v>
          </cell>
          <cell r="AE578">
            <v>23530.14</v>
          </cell>
          <cell r="AH578">
            <v>19537.79</v>
          </cell>
          <cell r="AI578">
            <v>3992.35</v>
          </cell>
          <cell r="AO578" t="str">
            <v>Refunded</v>
          </cell>
          <cell r="AP578" t="str">
            <v>Returned</v>
          </cell>
        </row>
        <row r="579">
          <cell r="A579" t="str">
            <v>ORD-2025-10578</v>
          </cell>
          <cell r="B579" t="str">
            <v>08/28/2025</v>
          </cell>
          <cell r="D579" t="str">
            <v>2025-09-03</v>
          </cell>
          <cell r="F579" t="str">
            <v>Valid</v>
          </cell>
          <cell r="H579" t="str">
            <v>Valid</v>
          </cell>
          <cell r="N579" t="str">
            <v>West</v>
          </cell>
          <cell r="V579" t="str">
            <v>Standard Class</v>
          </cell>
          <cell r="Z579">
            <v>0</v>
          </cell>
          <cell r="AB579" t="str">
            <v>Valid</v>
          </cell>
          <cell r="AC579">
            <v>1879.15</v>
          </cell>
          <cell r="AE579">
            <v>1879.1499999999999</v>
          </cell>
          <cell r="AH579">
            <v>1134.9000000000001</v>
          </cell>
          <cell r="AI579">
            <v>744.25</v>
          </cell>
          <cell r="AO579" t="str">
            <v>Paid</v>
          </cell>
          <cell r="AP579" t="str">
            <v>Completed</v>
          </cell>
        </row>
        <row r="580">
          <cell r="A580" t="str">
            <v>ORD-2024-10579</v>
          </cell>
          <cell r="B580" t="str">
            <v>2024-02-21</v>
          </cell>
          <cell r="D580" t="str">
            <v>23-02-2024</v>
          </cell>
          <cell r="F580" t="str">
            <v>Valid</v>
          </cell>
          <cell r="H580" t="str">
            <v>Valid</v>
          </cell>
          <cell r="N580" t="str">
            <v>West</v>
          </cell>
          <cell r="V580" t="str">
            <v>First Class</v>
          </cell>
          <cell r="Z580">
            <v>0.05</v>
          </cell>
          <cell r="AB580" t="str">
            <v>Valid</v>
          </cell>
          <cell r="AC580">
            <v>15011.81</v>
          </cell>
          <cell r="AE580">
            <v>15011.805</v>
          </cell>
          <cell r="AH580">
            <v>9660.36</v>
          </cell>
          <cell r="AI580">
            <v>5351.45</v>
          </cell>
          <cell r="AO580" t="str">
            <v>Paid</v>
          </cell>
          <cell r="AP580" t="str">
            <v>Completed</v>
          </cell>
        </row>
        <row r="581">
          <cell r="A581" t="str">
            <v>ORD-2024-10580</v>
          </cell>
          <cell r="B581" t="str">
            <v>19-06-2024</v>
          </cell>
          <cell r="D581" t="str">
            <v>24 Jun 2024</v>
          </cell>
          <cell r="F581" t="str">
            <v>Valid</v>
          </cell>
          <cell r="H581" t="str">
            <v>Valid</v>
          </cell>
          <cell r="N581" t="str">
            <v>South</v>
          </cell>
          <cell r="V581" t="str">
            <v>Same Day</v>
          </cell>
          <cell r="Z581">
            <v>0</v>
          </cell>
          <cell r="AB581" t="str">
            <v>Valid</v>
          </cell>
          <cell r="AC581">
            <v>3202.41</v>
          </cell>
          <cell r="AE581">
            <v>3202.41</v>
          </cell>
          <cell r="AH581">
            <v>2608.44</v>
          </cell>
          <cell r="AI581">
            <v>593.97</v>
          </cell>
          <cell r="AO581" t="str">
            <v>Paid</v>
          </cell>
          <cell r="AP581" t="str">
            <v>Completed</v>
          </cell>
        </row>
        <row r="582">
          <cell r="A582" t="str">
            <v>ORD-2025-10581</v>
          </cell>
          <cell r="B582" t="str">
            <v>06-03-2025</v>
          </cell>
          <cell r="D582" t="str">
            <v>03/13/2025</v>
          </cell>
          <cell r="F582" t="str">
            <v>Valid</v>
          </cell>
          <cell r="H582" t="str">
            <v>Valid</v>
          </cell>
          <cell r="N582" t="str">
            <v>South</v>
          </cell>
          <cell r="V582" t="str">
            <v>Standard Class</v>
          </cell>
          <cell r="Z582">
            <v>0.15</v>
          </cell>
          <cell r="AB582" t="str">
            <v>Valid</v>
          </cell>
          <cell r="AC582">
            <v>417.49</v>
          </cell>
          <cell r="AE582">
            <v>417.48599999999999</v>
          </cell>
          <cell r="AH582">
            <v>261.67</v>
          </cell>
          <cell r="AI582">
            <v>155.82</v>
          </cell>
          <cell r="AO582" t="str">
            <v>Failed</v>
          </cell>
          <cell r="AP582" t="str">
            <v>Returned</v>
          </cell>
        </row>
        <row r="583">
          <cell r="A583" t="str">
            <v>ORD-2025-10582</v>
          </cell>
          <cell r="B583" t="str">
            <v>2025-08-09</v>
          </cell>
          <cell r="D583" t="str">
            <v>08/10/2025</v>
          </cell>
          <cell r="F583" t="str">
            <v>Valid</v>
          </cell>
          <cell r="H583" t="str">
            <v>Valid</v>
          </cell>
          <cell r="N583" t="str">
            <v>North</v>
          </cell>
          <cell r="V583" t="str">
            <v>Second Class</v>
          </cell>
          <cell r="Z583">
            <v>0</v>
          </cell>
          <cell r="AB583" t="str">
            <v>Valid</v>
          </cell>
          <cell r="AC583">
            <v>16323.8</v>
          </cell>
          <cell r="AE583">
            <v>16323.8</v>
          </cell>
          <cell r="AH583">
            <v>9965.7900000000009</v>
          </cell>
          <cell r="AI583">
            <v>6358.01</v>
          </cell>
          <cell r="AO583" t="str">
            <v>Refunded</v>
          </cell>
          <cell r="AP583" t="str">
            <v>Returned</v>
          </cell>
        </row>
        <row r="584">
          <cell r="A584" t="str">
            <v>ORD-2024-10583</v>
          </cell>
          <cell r="B584" t="str">
            <v>2024-10-15</v>
          </cell>
          <cell r="D584" t="str">
            <v>10/20/2024</v>
          </cell>
          <cell r="F584" t="str">
            <v>Valid</v>
          </cell>
          <cell r="H584" t="str">
            <v>Valid</v>
          </cell>
          <cell r="N584" t="str">
            <v>East</v>
          </cell>
          <cell r="V584" t="str">
            <v>First Class</v>
          </cell>
          <cell r="Z584">
            <v>0</v>
          </cell>
          <cell r="AB584" t="str">
            <v>Valid</v>
          </cell>
          <cell r="AC584">
            <v>3356.2</v>
          </cell>
          <cell r="AE584">
            <v>3356.2</v>
          </cell>
          <cell r="AH584">
            <v>2205.7199999999998</v>
          </cell>
          <cell r="AI584">
            <v>1150.48</v>
          </cell>
          <cell r="AO584" t="str">
            <v>Pending</v>
          </cell>
          <cell r="AP584" t="str">
            <v>Returned</v>
          </cell>
        </row>
        <row r="585">
          <cell r="A585" t="str">
            <v>ORD-2024-10584</v>
          </cell>
          <cell r="B585" t="str">
            <v>28 Feb 2024</v>
          </cell>
          <cell r="D585" t="str">
            <v>02/28/2024</v>
          </cell>
          <cell r="F585" t="str">
            <v>Valid</v>
          </cell>
          <cell r="H585" t="str">
            <v>Valid</v>
          </cell>
          <cell r="N585" t="str">
            <v>East</v>
          </cell>
          <cell r="V585" t="str">
            <v>First Class</v>
          </cell>
          <cell r="Z585">
            <v>0.2</v>
          </cell>
          <cell r="AB585" t="str">
            <v>Valid</v>
          </cell>
          <cell r="AC585">
            <v>2101.4699999999998</v>
          </cell>
          <cell r="AE585">
            <v>2101.4720000000002</v>
          </cell>
          <cell r="AH585">
            <v>1217.83</v>
          </cell>
          <cell r="AI585">
            <v>883.64</v>
          </cell>
          <cell r="AO585" t="str">
            <v>Failed</v>
          </cell>
          <cell r="AP585" t="str">
            <v>Returned</v>
          </cell>
        </row>
        <row r="586">
          <cell r="A586" t="str">
            <v>ORD-2024-10585</v>
          </cell>
          <cell r="B586" t="str">
            <v>08/04/2024</v>
          </cell>
          <cell r="D586" t="str">
            <v>10-08-2024</v>
          </cell>
          <cell r="F586" t="str">
            <v>Valid</v>
          </cell>
          <cell r="H586" t="str">
            <v>Valid</v>
          </cell>
          <cell r="N586" t="str">
            <v>East</v>
          </cell>
          <cell r="V586" t="str">
            <v>Same Day</v>
          </cell>
          <cell r="Z586">
            <v>0.15</v>
          </cell>
          <cell r="AB586" t="str">
            <v>Valid</v>
          </cell>
          <cell r="AC586">
            <v>837.19</v>
          </cell>
          <cell r="AE586">
            <v>837.19049999999993</v>
          </cell>
          <cell r="AH586">
            <v>583.79</v>
          </cell>
          <cell r="AI586">
            <v>253.4</v>
          </cell>
          <cell r="AO586" t="str">
            <v>Pending</v>
          </cell>
          <cell r="AP586" t="str">
            <v>Returned</v>
          </cell>
        </row>
        <row r="587">
          <cell r="A587" t="str">
            <v>ORD-2025-10586</v>
          </cell>
          <cell r="B587" t="str">
            <v>22 Jun 2025</v>
          </cell>
          <cell r="D587" t="str">
            <v>2025-06-25</v>
          </cell>
          <cell r="F587" t="str">
            <v>Valid</v>
          </cell>
          <cell r="H587" t="str">
            <v>Valid</v>
          </cell>
          <cell r="N587" t="str">
            <v>WEST</v>
          </cell>
          <cell r="V587" t="str">
            <v>First Class</v>
          </cell>
          <cell r="Z587">
            <v>0</v>
          </cell>
          <cell r="AB587" t="str">
            <v>Valid</v>
          </cell>
          <cell r="AC587">
            <v>27629.279999999999</v>
          </cell>
          <cell r="AE587">
            <v>27629.279999999999</v>
          </cell>
          <cell r="AH587">
            <v>22026.48</v>
          </cell>
          <cell r="AI587">
            <v>5602.8</v>
          </cell>
          <cell r="AO587" t="str">
            <v>Paid</v>
          </cell>
          <cell r="AP587" t="str">
            <v>Completed</v>
          </cell>
        </row>
        <row r="588">
          <cell r="A588" t="str">
            <v>ORD-2025-10587</v>
          </cell>
          <cell r="B588" t="str">
            <v>12-04-2025</v>
          </cell>
          <cell r="D588" t="str">
            <v>12 Apr 2025</v>
          </cell>
          <cell r="F588" t="str">
            <v>Valid</v>
          </cell>
          <cell r="H588" t="str">
            <v>Valid</v>
          </cell>
          <cell r="N588" t="str">
            <v>North</v>
          </cell>
          <cell r="V588" t="str">
            <v>Second Class</v>
          </cell>
          <cell r="Z588">
            <v>0.2</v>
          </cell>
          <cell r="AB588" t="str">
            <v>Valid</v>
          </cell>
          <cell r="AC588">
            <v>7471.52</v>
          </cell>
          <cell r="AE588">
            <v>7471.52</v>
          </cell>
          <cell r="AH588">
            <v>6184.32</v>
          </cell>
          <cell r="AI588">
            <v>1287.2</v>
          </cell>
          <cell r="AO588" t="str">
            <v>Paid</v>
          </cell>
          <cell r="AP588" t="str">
            <v>Completed</v>
          </cell>
        </row>
        <row r="589">
          <cell r="A589" t="str">
            <v>ORD-2025-10588</v>
          </cell>
          <cell r="B589" t="str">
            <v>23-07-2025</v>
          </cell>
          <cell r="D589" t="str">
            <v>2025-07-31</v>
          </cell>
          <cell r="F589" t="str">
            <v>Valid</v>
          </cell>
          <cell r="H589" t="str">
            <v>Valid</v>
          </cell>
          <cell r="N589" t="str">
            <v>West</v>
          </cell>
          <cell r="V589" t="str">
            <v>First Class</v>
          </cell>
          <cell r="Z589">
            <v>0.15</v>
          </cell>
          <cell r="AB589" t="str">
            <v>Valid</v>
          </cell>
          <cell r="AC589">
            <v>3615.76</v>
          </cell>
          <cell r="AE589">
            <v>3615.7640000000001</v>
          </cell>
          <cell r="AH589">
            <v>2951.52</v>
          </cell>
          <cell r="AI589">
            <v>664.24</v>
          </cell>
          <cell r="AO589" t="str">
            <v>Refunded</v>
          </cell>
          <cell r="AP589" t="str">
            <v>Cancelled</v>
          </cell>
        </row>
        <row r="590">
          <cell r="A590" t="str">
            <v>ORD-2025-10589</v>
          </cell>
          <cell r="B590" t="str">
            <v>2025-03-11</v>
          </cell>
          <cell r="D590" t="str">
            <v>15 Mar 2025</v>
          </cell>
          <cell r="F590" t="str">
            <v>Valid</v>
          </cell>
          <cell r="H590" t="str">
            <v>Valid</v>
          </cell>
          <cell r="N590" t="str">
            <v>South</v>
          </cell>
          <cell r="V590" t="str">
            <v>Second Class</v>
          </cell>
          <cell r="Z590">
            <v>0.1</v>
          </cell>
          <cell r="AB590" t="str">
            <v>Valid</v>
          </cell>
          <cell r="AC590">
            <v>32013.79</v>
          </cell>
          <cell r="AE590">
            <v>32013.791999999998</v>
          </cell>
          <cell r="AH590">
            <v>20896.88</v>
          </cell>
          <cell r="AI590">
            <v>11116.91</v>
          </cell>
          <cell r="AO590" t="str">
            <v>Refunded</v>
          </cell>
          <cell r="AP590" t="str">
            <v>Cancelled</v>
          </cell>
        </row>
        <row r="591">
          <cell r="A591" t="str">
            <v>ORD-2024-10590</v>
          </cell>
          <cell r="B591" t="str">
            <v>06 Dec 2024</v>
          </cell>
          <cell r="D591" t="str">
            <v>12/12/2024</v>
          </cell>
          <cell r="F591" t="str">
            <v>Valid</v>
          </cell>
          <cell r="H591" t="str">
            <v>Valid</v>
          </cell>
          <cell r="N591" t="str">
            <v>North</v>
          </cell>
          <cell r="V591" t="str">
            <v>First Class</v>
          </cell>
          <cell r="Z591">
            <v>0</v>
          </cell>
          <cell r="AB591" t="str">
            <v>Valid</v>
          </cell>
          <cell r="AC591">
            <v>1574.25</v>
          </cell>
          <cell r="AE591">
            <v>1574.25</v>
          </cell>
          <cell r="AH591">
            <v>1326.12</v>
          </cell>
          <cell r="AI591">
            <v>248.13</v>
          </cell>
          <cell r="AO591" t="str">
            <v>Paid</v>
          </cell>
          <cell r="AP591" t="str">
            <v>Completed</v>
          </cell>
        </row>
        <row r="592">
          <cell r="A592" t="str">
            <v>ORD-2024-10591</v>
          </cell>
          <cell r="B592" t="str">
            <v>29-05-2024</v>
          </cell>
          <cell r="D592" t="str">
            <v>2024-05-29</v>
          </cell>
          <cell r="F592" t="str">
            <v>Valid</v>
          </cell>
          <cell r="H592" t="str">
            <v>Valid</v>
          </cell>
          <cell r="N592" t="str">
            <v>North</v>
          </cell>
          <cell r="V592" t="str">
            <v>Same Day</v>
          </cell>
          <cell r="Z592">
            <v>0</v>
          </cell>
          <cell r="AB592" t="str">
            <v>Valid</v>
          </cell>
          <cell r="AC592">
            <v>20582.099999999999</v>
          </cell>
          <cell r="AE592">
            <v>20582.099999999999</v>
          </cell>
          <cell r="AH592">
            <v>15897.65</v>
          </cell>
          <cell r="AI592">
            <v>4684.45</v>
          </cell>
          <cell r="AO592" t="str">
            <v>Pending</v>
          </cell>
          <cell r="AP592" t="str">
            <v>Cancelled</v>
          </cell>
        </row>
        <row r="593">
          <cell r="A593" t="str">
            <v>ORD-2024-10592</v>
          </cell>
          <cell r="B593" t="str">
            <v>2024-02-22</v>
          </cell>
          <cell r="D593" t="str">
            <v>24-02-2024</v>
          </cell>
          <cell r="F593" t="str">
            <v>Valid</v>
          </cell>
          <cell r="H593" t="str">
            <v>Valid</v>
          </cell>
          <cell r="N593" t="str">
            <v>South</v>
          </cell>
          <cell r="V593" t="str">
            <v>First Class</v>
          </cell>
          <cell r="Z593">
            <v>0</v>
          </cell>
          <cell r="AB593" t="str">
            <v>Valid</v>
          </cell>
          <cell r="AC593">
            <v>10635.24</v>
          </cell>
          <cell r="AE593">
            <v>10635.24</v>
          </cell>
          <cell r="AH593">
            <v>6031.88</v>
          </cell>
          <cell r="AI593">
            <v>4603.3599999999997</v>
          </cell>
          <cell r="AO593" t="str">
            <v>Failed</v>
          </cell>
          <cell r="AP593" t="str">
            <v>Returned</v>
          </cell>
        </row>
        <row r="594">
          <cell r="A594" t="str">
            <v>ORD-2024-10593</v>
          </cell>
          <cell r="B594" t="str">
            <v>04-03-2024</v>
          </cell>
          <cell r="D594" t="str">
            <v>2024-03-09</v>
          </cell>
          <cell r="F594" t="str">
            <v>Valid</v>
          </cell>
          <cell r="H594" t="str">
            <v>Valid</v>
          </cell>
          <cell r="N594" t="str">
            <v>East</v>
          </cell>
          <cell r="V594" t="str">
            <v>Same Day</v>
          </cell>
          <cell r="Z594">
            <v>0.15</v>
          </cell>
          <cell r="AB594" t="str">
            <v>Valid</v>
          </cell>
          <cell r="AC594">
            <v>29929.59</v>
          </cell>
          <cell r="AE594">
            <v>29929.588</v>
          </cell>
          <cell r="AH594">
            <v>22436.03</v>
          </cell>
          <cell r="AI594">
            <v>7493.56</v>
          </cell>
          <cell r="AO594" t="str">
            <v>Paid</v>
          </cell>
          <cell r="AP594" t="str">
            <v>Completed</v>
          </cell>
        </row>
        <row r="595">
          <cell r="A595" t="str">
            <v>ORD-2025-10594</v>
          </cell>
          <cell r="B595" t="str">
            <v>09/27/2025</v>
          </cell>
          <cell r="D595" t="str">
            <v>2025-09-29</v>
          </cell>
          <cell r="F595" t="str">
            <v>Valid</v>
          </cell>
          <cell r="H595" t="str">
            <v>Valid</v>
          </cell>
          <cell r="N595" t="str">
            <v>North</v>
          </cell>
          <cell r="V595" t="str">
            <v>Second Class</v>
          </cell>
          <cell r="Z595">
            <v>0.25</v>
          </cell>
          <cell r="AB595" t="str">
            <v>Valid</v>
          </cell>
          <cell r="AC595">
            <v>27675.74</v>
          </cell>
          <cell r="AE595">
            <v>27675.7425</v>
          </cell>
          <cell r="AH595">
            <v>15571.08</v>
          </cell>
          <cell r="AI595">
            <v>12104.66</v>
          </cell>
          <cell r="AO595" t="str">
            <v>Paid</v>
          </cell>
          <cell r="AP595" t="str">
            <v>Completed</v>
          </cell>
        </row>
        <row r="596">
          <cell r="A596" t="str">
            <v>ORD-2024-10595</v>
          </cell>
          <cell r="B596" t="str">
            <v>2024-09-19</v>
          </cell>
          <cell r="D596" t="str">
            <v>2024-09-21</v>
          </cell>
          <cell r="F596" t="str">
            <v>Valid</v>
          </cell>
          <cell r="H596" t="str">
            <v>Valid</v>
          </cell>
          <cell r="N596" t="str">
            <v>East</v>
          </cell>
          <cell r="V596" t="str">
            <v>First Class</v>
          </cell>
          <cell r="Z596">
            <v>0</v>
          </cell>
          <cell r="AB596" t="str">
            <v>Valid</v>
          </cell>
          <cell r="AC596">
            <v>11945.28</v>
          </cell>
          <cell r="AE596">
            <v>11945.28</v>
          </cell>
          <cell r="AH596">
            <v>9700.31</v>
          </cell>
          <cell r="AI596">
            <v>2244.9699999999998</v>
          </cell>
          <cell r="AO596" t="str">
            <v>Paid</v>
          </cell>
          <cell r="AP596" t="str">
            <v>Completed</v>
          </cell>
        </row>
        <row r="597">
          <cell r="A597" t="str">
            <v>ORD-2025-10596</v>
          </cell>
          <cell r="B597" t="str">
            <v>02/11/2025</v>
          </cell>
          <cell r="D597" t="str">
            <v>16-02-2025</v>
          </cell>
          <cell r="F597" t="str">
            <v>Valid</v>
          </cell>
          <cell r="H597" t="str">
            <v>Valid</v>
          </cell>
          <cell r="N597" t="str">
            <v>North</v>
          </cell>
          <cell r="V597" t="str">
            <v>First Class</v>
          </cell>
          <cell r="Z597">
            <v>0.1</v>
          </cell>
          <cell r="AB597" t="str">
            <v>Valid</v>
          </cell>
          <cell r="AC597">
            <v>13144.03</v>
          </cell>
          <cell r="AE597">
            <v>13144.031999999999</v>
          </cell>
          <cell r="AH597">
            <v>9764</v>
          </cell>
          <cell r="AI597">
            <v>3380.03</v>
          </cell>
          <cell r="AO597" t="str">
            <v>Paid</v>
          </cell>
          <cell r="AP597" t="str">
            <v>Completed</v>
          </cell>
        </row>
        <row r="598">
          <cell r="A598" t="str">
            <v>ORD-2024-10597</v>
          </cell>
          <cell r="B598" t="str">
            <v>10 Apr 2024</v>
          </cell>
          <cell r="D598" t="str">
            <v>04/16/2024</v>
          </cell>
          <cell r="F598" t="str">
            <v>Valid</v>
          </cell>
          <cell r="H598" t="str">
            <v>Valid</v>
          </cell>
          <cell r="N598" t="str">
            <v>South</v>
          </cell>
          <cell r="V598" t="str">
            <v>Second Class</v>
          </cell>
          <cell r="Z598">
            <v>0.25</v>
          </cell>
          <cell r="AB598" t="str">
            <v>Valid</v>
          </cell>
          <cell r="AC598">
            <v>18382.009999999998</v>
          </cell>
          <cell r="AE598">
            <v>18382.005000000005</v>
          </cell>
          <cell r="AH598">
            <v>13108.2</v>
          </cell>
          <cell r="AI598">
            <v>5273.81</v>
          </cell>
          <cell r="AO598" t="str">
            <v>Paid</v>
          </cell>
          <cell r="AP598" t="str">
            <v>Completed</v>
          </cell>
        </row>
        <row r="599">
          <cell r="A599" t="str">
            <v>ORD-2025-10598</v>
          </cell>
          <cell r="B599" t="str">
            <v>08 Jul 2025</v>
          </cell>
          <cell r="D599" t="str">
            <v>07/08/2025</v>
          </cell>
          <cell r="F599" t="str">
            <v>Valid</v>
          </cell>
          <cell r="H599" t="str">
            <v>Valid</v>
          </cell>
          <cell r="N599" t="str">
            <v>South</v>
          </cell>
          <cell r="V599" t="str">
            <v>Same Day</v>
          </cell>
          <cell r="Z599">
            <v>0.25</v>
          </cell>
          <cell r="AB599" t="str">
            <v>Valid</v>
          </cell>
          <cell r="AC599">
            <v>1855.44</v>
          </cell>
          <cell r="AE599">
            <v>1855.44</v>
          </cell>
          <cell r="AH599">
            <v>1262.74</v>
          </cell>
          <cell r="AI599">
            <v>592.70000000000005</v>
          </cell>
          <cell r="AO599" t="str">
            <v>Paid</v>
          </cell>
          <cell r="AP599" t="str">
            <v>Completed</v>
          </cell>
        </row>
        <row r="600">
          <cell r="A600" t="str">
            <v>ORD-2024-10599</v>
          </cell>
          <cell r="B600" t="str">
            <v>08/17/2024</v>
          </cell>
          <cell r="D600" t="str">
            <v>08/24/2024</v>
          </cell>
          <cell r="F600" t="str">
            <v>Valid</v>
          </cell>
          <cell r="H600" t="str">
            <v>Valid</v>
          </cell>
          <cell r="N600" t="str">
            <v>East</v>
          </cell>
          <cell r="V600" t="str">
            <v>Same Day</v>
          </cell>
          <cell r="Z600">
            <v>0.25</v>
          </cell>
          <cell r="AB600" t="str">
            <v>Valid</v>
          </cell>
          <cell r="AC600">
            <v>3354.05</v>
          </cell>
          <cell r="AE600">
            <v>3354.0524999999998</v>
          </cell>
          <cell r="AH600">
            <v>2672.67</v>
          </cell>
          <cell r="AI600">
            <v>681.38</v>
          </cell>
          <cell r="AO600" t="str">
            <v>Paid</v>
          </cell>
          <cell r="AP600" t="str">
            <v>Completed</v>
          </cell>
        </row>
        <row r="601">
          <cell r="A601" t="str">
            <v>ORD-2024-10600</v>
          </cell>
          <cell r="B601" t="str">
            <v>19-08-2024</v>
          </cell>
          <cell r="D601" t="str">
            <v>21 Aug 2024</v>
          </cell>
          <cell r="F601" t="str">
            <v>Valid</v>
          </cell>
          <cell r="H601" t="str">
            <v>Valid</v>
          </cell>
          <cell r="N601" t="str">
            <v>North</v>
          </cell>
          <cell r="V601" t="str">
            <v>First Class</v>
          </cell>
          <cell r="Z601">
            <v>0.25</v>
          </cell>
          <cell r="AB601" t="str">
            <v>Valid</v>
          </cell>
          <cell r="AC601">
            <v>2482.9699999999998</v>
          </cell>
          <cell r="AE601">
            <v>2482.9650000000001</v>
          </cell>
          <cell r="AH601">
            <v>1621.72</v>
          </cell>
          <cell r="AI601">
            <v>861.25</v>
          </cell>
          <cell r="AO601" t="str">
            <v>Paid</v>
          </cell>
          <cell r="AP601" t="str">
            <v>Completed</v>
          </cell>
        </row>
        <row r="602">
          <cell r="A602" t="str">
            <v>ORD-2025-10601</v>
          </cell>
          <cell r="B602" t="str">
            <v>05-03-2025</v>
          </cell>
          <cell r="D602" t="str">
            <v>2025-03-12</v>
          </cell>
          <cell r="F602" t="str">
            <v>Valid</v>
          </cell>
          <cell r="H602" t="str">
            <v>Valid</v>
          </cell>
          <cell r="N602" t="str">
            <v>West</v>
          </cell>
          <cell r="V602" t="str">
            <v>Same Day</v>
          </cell>
          <cell r="AB602" t="str">
            <v>Valid</v>
          </cell>
          <cell r="AC602">
            <v>11048.25</v>
          </cell>
          <cell r="AE602">
            <v>11048.25</v>
          </cell>
          <cell r="AH602">
            <v>9062.7199999999993</v>
          </cell>
          <cell r="AI602">
            <v>1985.53</v>
          </cell>
          <cell r="AO602" t="str">
            <v>Paid</v>
          </cell>
          <cell r="AP602" t="str">
            <v>Completed</v>
          </cell>
        </row>
        <row r="603">
          <cell r="A603" t="str">
            <v>ORD-2024-10602</v>
          </cell>
          <cell r="B603" t="str">
            <v>26 Jan 2024</v>
          </cell>
          <cell r="D603" t="str">
            <v>01/31/2024</v>
          </cell>
          <cell r="F603" t="str">
            <v>Valid</v>
          </cell>
          <cell r="H603" t="str">
            <v>Valid</v>
          </cell>
          <cell r="N603" t="str">
            <v>East</v>
          </cell>
          <cell r="V603" t="str">
            <v>Second Class</v>
          </cell>
          <cell r="Z603">
            <v>0.2</v>
          </cell>
          <cell r="AB603" t="str">
            <v>Valid</v>
          </cell>
          <cell r="AC603">
            <v>6460.12</v>
          </cell>
          <cell r="AE603">
            <v>6460.12</v>
          </cell>
          <cell r="AH603">
            <v>3604.03</v>
          </cell>
          <cell r="AI603">
            <v>2856.09</v>
          </cell>
          <cell r="AO603" t="str">
            <v>Paid</v>
          </cell>
          <cell r="AP603" t="str">
            <v>Completed</v>
          </cell>
        </row>
        <row r="604">
          <cell r="A604" t="str">
            <v>ORD-2024-10603</v>
          </cell>
          <cell r="B604" t="str">
            <v>23-10-2024</v>
          </cell>
          <cell r="D604" t="str">
            <v>2024-10-30</v>
          </cell>
          <cell r="F604" t="str">
            <v>Valid</v>
          </cell>
          <cell r="H604" t="str">
            <v>Valid</v>
          </cell>
          <cell r="N604" t="str">
            <v>East</v>
          </cell>
          <cell r="V604" t="str">
            <v>Second Class</v>
          </cell>
          <cell r="Z604">
            <v>0.15</v>
          </cell>
          <cell r="AB604" t="str">
            <v>Valid</v>
          </cell>
          <cell r="AC604">
            <v>26192.22</v>
          </cell>
          <cell r="AE604">
            <v>26192.223000000002</v>
          </cell>
          <cell r="AH604">
            <v>20795.55</v>
          </cell>
          <cell r="AI604">
            <v>5396.67</v>
          </cell>
          <cell r="AO604" t="str">
            <v>Paid</v>
          </cell>
          <cell r="AP604" t="str">
            <v>Completed</v>
          </cell>
        </row>
        <row r="605">
          <cell r="A605" t="str">
            <v>ORD-2025-10604</v>
          </cell>
          <cell r="B605" t="str">
            <v>01/03/2025</v>
          </cell>
          <cell r="D605" t="str">
            <v>11-01-2025</v>
          </cell>
          <cell r="F605" t="str">
            <v>Valid</v>
          </cell>
          <cell r="H605" t="str">
            <v>Valid</v>
          </cell>
          <cell r="N605" t="str">
            <v>East</v>
          </cell>
          <cell r="V605" t="str">
            <v>First Class</v>
          </cell>
          <cell r="Z605">
            <v>0.05</v>
          </cell>
          <cell r="AB605" t="str">
            <v>Valid</v>
          </cell>
          <cell r="AC605">
            <v>19564.599999999999</v>
          </cell>
          <cell r="AE605">
            <v>19564.603999999999</v>
          </cell>
          <cell r="AH605">
            <v>11154.59</v>
          </cell>
          <cell r="AI605">
            <v>8410.01</v>
          </cell>
          <cell r="AO605" t="str">
            <v>Pending</v>
          </cell>
          <cell r="AP605" t="str">
            <v>Cancelled</v>
          </cell>
        </row>
        <row r="606">
          <cell r="A606" t="str">
            <v>ORD-2025-10605</v>
          </cell>
          <cell r="B606" t="str">
            <v>05-02-2025</v>
          </cell>
          <cell r="D606" t="str">
            <v>02/06/2025</v>
          </cell>
          <cell r="F606" t="str">
            <v>Valid</v>
          </cell>
          <cell r="H606" t="str">
            <v>Valid</v>
          </cell>
          <cell r="N606" t="str">
            <v>West</v>
          </cell>
          <cell r="V606" t="str">
            <v>Same Day</v>
          </cell>
          <cell r="Z606">
            <v>0</v>
          </cell>
          <cell r="AB606" t="str">
            <v>Valid</v>
          </cell>
          <cell r="AC606">
            <v>3228.9</v>
          </cell>
          <cell r="AE606">
            <v>3228.8999999999996</v>
          </cell>
          <cell r="AH606">
            <v>1853.23</v>
          </cell>
          <cell r="AI606">
            <v>1375.67</v>
          </cell>
          <cell r="AO606" t="str">
            <v>Paid</v>
          </cell>
          <cell r="AP606" t="str">
            <v>Completed</v>
          </cell>
        </row>
        <row r="607">
          <cell r="A607" t="str">
            <v>ORD-2025-10606</v>
          </cell>
          <cell r="B607" t="str">
            <v>2025-07-09</v>
          </cell>
          <cell r="D607" t="str">
            <v>13 Jul 2025</v>
          </cell>
          <cell r="F607" t="str">
            <v>Valid</v>
          </cell>
          <cell r="H607" t="str">
            <v>Valid</v>
          </cell>
          <cell r="N607" t="str">
            <v>West</v>
          </cell>
          <cell r="V607" t="str">
            <v>Second Class</v>
          </cell>
          <cell r="Z607" t="str">
            <v>85%</v>
          </cell>
          <cell r="AB607" t="str">
            <v>Invalid - Discount Above Limit</v>
          </cell>
          <cell r="AC607">
            <v>7560.04</v>
          </cell>
          <cell r="AE607">
            <v>1260.0075000000002</v>
          </cell>
          <cell r="AH607">
            <v>6448.05</v>
          </cell>
          <cell r="AI607">
            <v>1111.99</v>
          </cell>
          <cell r="AO607" t="str">
            <v>Paid</v>
          </cell>
          <cell r="AP607" t="str">
            <v>Cancelled</v>
          </cell>
        </row>
        <row r="608">
          <cell r="A608" t="str">
            <v>ORD-2025-10607</v>
          </cell>
          <cell r="B608" t="str">
            <v>22 Feb 2025</v>
          </cell>
          <cell r="D608" t="str">
            <v>02/28/2025</v>
          </cell>
          <cell r="F608" t="str">
            <v>Valid</v>
          </cell>
          <cell r="H608" t="str">
            <v>Valid</v>
          </cell>
          <cell r="N608" t="str">
            <v>West</v>
          </cell>
          <cell r="V608" t="str">
            <v>Same Day</v>
          </cell>
          <cell r="Z608">
            <v>0.25</v>
          </cell>
          <cell r="AB608" t="str">
            <v>Valid</v>
          </cell>
          <cell r="AC608">
            <v>8754.32</v>
          </cell>
          <cell r="AE608">
            <v>8754.3225000000002</v>
          </cell>
          <cell r="AH608">
            <v>6238.9</v>
          </cell>
          <cell r="AI608">
            <v>2515.42</v>
          </cell>
          <cell r="AO608" t="str">
            <v>Paid</v>
          </cell>
          <cell r="AP608" t="str">
            <v>Completed</v>
          </cell>
        </row>
        <row r="609">
          <cell r="A609" t="str">
            <v>ORD-2025-10608</v>
          </cell>
          <cell r="B609" t="str">
            <v>16-02-2025</v>
          </cell>
          <cell r="D609" t="str">
            <v>22 Feb 2025</v>
          </cell>
          <cell r="F609" t="str">
            <v>Valid</v>
          </cell>
          <cell r="H609" t="str">
            <v>Valid</v>
          </cell>
          <cell r="N609" t="str">
            <v>East</v>
          </cell>
          <cell r="V609" t="str">
            <v>Same Day</v>
          </cell>
          <cell r="Z609">
            <v>0.15</v>
          </cell>
          <cell r="AB609" t="str">
            <v>Valid</v>
          </cell>
          <cell r="AC609">
            <v>4057.35</v>
          </cell>
          <cell r="AE609">
            <v>4057.3474999999994</v>
          </cell>
          <cell r="AH609">
            <v>2862.03</v>
          </cell>
          <cell r="AI609">
            <v>1195.32</v>
          </cell>
          <cell r="AO609" t="str">
            <v>Paid</v>
          </cell>
          <cell r="AP609" t="str">
            <v>Completed</v>
          </cell>
        </row>
        <row r="610">
          <cell r="A610" t="str">
            <v>ORD-2024-10609</v>
          </cell>
          <cell r="B610" t="str">
            <v>21 Jun 2024</v>
          </cell>
          <cell r="D610" t="str">
            <v>23 Jun 2024</v>
          </cell>
          <cell r="F610" t="str">
            <v>Valid</v>
          </cell>
          <cell r="H610" t="str">
            <v>Valid</v>
          </cell>
          <cell r="N610" t="str">
            <v>West</v>
          </cell>
          <cell r="V610" t="str">
            <v>Second Class</v>
          </cell>
          <cell r="Z610">
            <v>0</v>
          </cell>
          <cell r="AB610" t="str">
            <v>Valid</v>
          </cell>
          <cell r="AC610">
            <v>19383.75</v>
          </cell>
          <cell r="AE610">
            <v>19383.75</v>
          </cell>
          <cell r="AH610">
            <v>11667.43</v>
          </cell>
          <cell r="AI610">
            <v>7716.32</v>
          </cell>
          <cell r="AO610" t="str">
            <v>Paid</v>
          </cell>
          <cell r="AP610" t="str">
            <v>Completed</v>
          </cell>
        </row>
        <row r="611">
          <cell r="A611" t="str">
            <v>ORD-2025-10610</v>
          </cell>
          <cell r="B611" t="str">
            <v>2025-01-08</v>
          </cell>
          <cell r="D611" t="str">
            <v>12-01-2025</v>
          </cell>
          <cell r="F611" t="str">
            <v>Valid</v>
          </cell>
          <cell r="H611" t="str">
            <v>Valid</v>
          </cell>
          <cell r="N611" t="str">
            <v>South</v>
          </cell>
          <cell r="V611" t="str">
            <v>Standard Class</v>
          </cell>
          <cell r="Z611">
            <v>0</v>
          </cell>
          <cell r="AB611" t="str">
            <v>Valid</v>
          </cell>
          <cell r="AC611">
            <v>30362.36</v>
          </cell>
          <cell r="AE611">
            <v>30362.359999999997</v>
          </cell>
          <cell r="AH611">
            <v>25065.4</v>
          </cell>
          <cell r="AI611">
            <v>5296.96</v>
          </cell>
          <cell r="AO611" t="str">
            <v>Paid</v>
          </cell>
          <cell r="AP611" t="str">
            <v>Completed</v>
          </cell>
        </row>
        <row r="612">
          <cell r="A612" t="str">
            <v>ORD-2024-10611</v>
          </cell>
          <cell r="B612" t="str">
            <v>20 May 2024</v>
          </cell>
          <cell r="D612" t="str">
            <v>05/20/2024</v>
          </cell>
          <cell r="F612" t="str">
            <v>Valid</v>
          </cell>
          <cell r="H612" t="str">
            <v>Valid</v>
          </cell>
          <cell r="N612" t="str">
            <v>West</v>
          </cell>
          <cell r="V612" t="str">
            <v>Standard Class</v>
          </cell>
          <cell r="Z612">
            <v>0.1</v>
          </cell>
          <cell r="AB612" t="str">
            <v>Valid</v>
          </cell>
          <cell r="AC612">
            <v>2729.65</v>
          </cell>
          <cell r="AE612">
            <v>2729.6549999999997</v>
          </cell>
          <cell r="AH612">
            <v>1715.36</v>
          </cell>
          <cell r="AI612">
            <v>1014.29</v>
          </cell>
          <cell r="AO612" t="str">
            <v>Paid</v>
          </cell>
          <cell r="AP612" t="str">
            <v>Completed</v>
          </cell>
        </row>
        <row r="613">
          <cell r="A613" t="str">
            <v>ORD-2025-10612</v>
          </cell>
          <cell r="B613" t="str">
            <v>08-07-2025</v>
          </cell>
          <cell r="D613" t="str">
            <v>15 Jul 2025</v>
          </cell>
          <cell r="F613" t="str">
            <v>Valid</v>
          </cell>
          <cell r="H613" t="str">
            <v>Valid</v>
          </cell>
          <cell r="N613" t="str">
            <v>North</v>
          </cell>
          <cell r="V613" t="str">
            <v>Same Day</v>
          </cell>
          <cell r="Z613">
            <v>0.1</v>
          </cell>
          <cell r="AB613" t="str">
            <v>Valid</v>
          </cell>
          <cell r="AC613">
            <v>4718.0200000000004</v>
          </cell>
          <cell r="AE613">
            <v>4718.0159999999996</v>
          </cell>
          <cell r="AH613">
            <v>3908.23</v>
          </cell>
          <cell r="AI613">
            <v>809.79</v>
          </cell>
          <cell r="AO613" t="str">
            <v>Paid</v>
          </cell>
          <cell r="AP613" t="str">
            <v>Completed</v>
          </cell>
        </row>
        <row r="614">
          <cell r="A614" t="str">
            <v>ORD-2025-10613</v>
          </cell>
          <cell r="B614" t="str">
            <v>06 Apr 2025</v>
          </cell>
          <cell r="D614" t="str">
            <v>13-04-2025</v>
          </cell>
          <cell r="F614" t="str">
            <v>Valid</v>
          </cell>
          <cell r="H614" t="str">
            <v>Valid</v>
          </cell>
          <cell r="V614" t="str">
            <v>Standard Class</v>
          </cell>
          <cell r="Z614">
            <v>0</v>
          </cell>
          <cell r="AB614" t="str">
            <v>Valid</v>
          </cell>
          <cell r="AC614">
            <v>3844.01</v>
          </cell>
          <cell r="AE614">
            <v>3844.01</v>
          </cell>
          <cell r="AH614">
            <v>2195.79</v>
          </cell>
          <cell r="AI614">
            <v>1648.22</v>
          </cell>
          <cell r="AO614" t="str">
            <v>Paid</v>
          </cell>
          <cell r="AP614" t="str">
            <v>Completed</v>
          </cell>
        </row>
        <row r="615">
          <cell r="A615" t="str">
            <v>ORD-2024-10614</v>
          </cell>
          <cell r="B615" t="str">
            <v>2024-10-05</v>
          </cell>
          <cell r="D615" t="str">
            <v>10/10/2024</v>
          </cell>
          <cell r="F615" t="str">
            <v>Valid</v>
          </cell>
          <cell r="H615" t="str">
            <v>Valid</v>
          </cell>
          <cell r="N615" t="str">
            <v>West</v>
          </cell>
          <cell r="V615" t="str">
            <v>Same Day</v>
          </cell>
          <cell r="Z615">
            <v>0.25</v>
          </cell>
          <cell r="AB615" t="str">
            <v>Valid</v>
          </cell>
          <cell r="AC615">
            <v>22688.78</v>
          </cell>
          <cell r="AE615">
            <v>22688.775000000001</v>
          </cell>
          <cell r="AH615">
            <v>14672.41</v>
          </cell>
          <cell r="AI615">
            <v>8016.37</v>
          </cell>
          <cell r="AO615" t="str">
            <v>Paid</v>
          </cell>
          <cell r="AP615" t="str">
            <v>Completed</v>
          </cell>
        </row>
        <row r="616">
          <cell r="A616" t="str">
            <v>ORD-2024-10615</v>
          </cell>
          <cell r="B616" t="str">
            <v>11-02-2024</v>
          </cell>
          <cell r="D616" t="str">
            <v>19-02-2024</v>
          </cell>
          <cell r="F616" t="str">
            <v>Valid</v>
          </cell>
          <cell r="H616" t="str">
            <v>Valid</v>
          </cell>
          <cell r="N616" t="str">
            <v>South</v>
          </cell>
          <cell r="V616" t="str">
            <v>Standard Class</v>
          </cell>
          <cell r="Z616">
            <v>0.25</v>
          </cell>
          <cell r="AB616" t="str">
            <v>Valid</v>
          </cell>
          <cell r="AC616">
            <v>20389.919999999998</v>
          </cell>
          <cell r="AE616">
            <v>20389.920000000002</v>
          </cell>
          <cell r="AH616">
            <v>16661.080000000002</v>
          </cell>
          <cell r="AI616">
            <v>3728.84</v>
          </cell>
          <cell r="AO616" t="str">
            <v>Refunded</v>
          </cell>
          <cell r="AP616" t="str">
            <v>Cancelled</v>
          </cell>
        </row>
        <row r="617">
          <cell r="A617" t="str">
            <v>ORD-2024-10616</v>
          </cell>
          <cell r="B617" t="str">
            <v>2024-10-04</v>
          </cell>
          <cell r="D617" t="str">
            <v>10/07/2024</v>
          </cell>
          <cell r="F617" t="str">
            <v>Valid</v>
          </cell>
          <cell r="H617" t="str">
            <v>Valid</v>
          </cell>
          <cell r="N617" t="str">
            <v>South</v>
          </cell>
          <cell r="V617" t="str">
            <v>Second Class</v>
          </cell>
          <cell r="Z617">
            <v>0.1</v>
          </cell>
          <cell r="AB617" t="str">
            <v>Valid</v>
          </cell>
          <cell r="AC617">
            <v>5904.57</v>
          </cell>
          <cell r="AE617">
            <v>5659.884</v>
          </cell>
          <cell r="AH617">
            <v>4337.79</v>
          </cell>
          <cell r="AI617">
            <v>1322.09</v>
          </cell>
          <cell r="AO617" t="str">
            <v>Paid</v>
          </cell>
          <cell r="AP617" t="str">
            <v>Completed</v>
          </cell>
        </row>
        <row r="618">
          <cell r="A618" t="str">
            <v>ORD-2024-10617</v>
          </cell>
          <cell r="B618" t="str">
            <v>16 Aug 2024</v>
          </cell>
          <cell r="D618" t="str">
            <v>19-08-2024</v>
          </cell>
          <cell r="F618" t="str">
            <v>Valid</v>
          </cell>
          <cell r="H618" t="str">
            <v>Valid</v>
          </cell>
          <cell r="N618" t="str">
            <v>South</v>
          </cell>
          <cell r="V618" t="str">
            <v>Standard Class</v>
          </cell>
          <cell r="Z618">
            <v>0.2</v>
          </cell>
          <cell r="AB618" t="str">
            <v>Valid</v>
          </cell>
          <cell r="AC618">
            <v>18842.64</v>
          </cell>
          <cell r="AE618">
            <v>18842.640000000003</v>
          </cell>
          <cell r="AH618">
            <v>11840.58</v>
          </cell>
          <cell r="AI618">
            <v>7002.06</v>
          </cell>
          <cell r="AO618" t="str">
            <v>Paid</v>
          </cell>
          <cell r="AP618" t="str">
            <v>Completed</v>
          </cell>
        </row>
        <row r="619">
          <cell r="A619" t="str">
            <v>ORD-2024-10618</v>
          </cell>
          <cell r="B619" t="str">
            <v>09/29/2024</v>
          </cell>
          <cell r="D619" t="str">
            <v>2024-09-30</v>
          </cell>
          <cell r="F619" t="str">
            <v>Valid</v>
          </cell>
          <cell r="H619" t="str">
            <v>Valid</v>
          </cell>
          <cell r="N619" t="str">
            <v>South</v>
          </cell>
          <cell r="V619" t="str">
            <v>Standard Class</v>
          </cell>
          <cell r="Z619">
            <v>0</v>
          </cell>
          <cell r="AB619" t="str">
            <v>Valid</v>
          </cell>
          <cell r="AC619">
            <v>24677.19</v>
          </cell>
          <cell r="AE619">
            <v>24677.19</v>
          </cell>
          <cell r="AH619">
            <v>20350.849999999999</v>
          </cell>
          <cell r="AI619">
            <v>4326.34</v>
          </cell>
          <cell r="AO619" t="str">
            <v>Paid</v>
          </cell>
          <cell r="AP619" t="str">
            <v>Completed</v>
          </cell>
        </row>
        <row r="620">
          <cell r="A620" t="str">
            <v>ORD-2024-10619</v>
          </cell>
          <cell r="B620" t="str">
            <v>2024-07-23</v>
          </cell>
          <cell r="D620" t="str">
            <v>2024-07-30</v>
          </cell>
          <cell r="F620" t="str">
            <v>Valid</v>
          </cell>
          <cell r="H620" t="str">
            <v>Valid</v>
          </cell>
          <cell r="N620" t="str">
            <v>North</v>
          </cell>
          <cell r="V620" t="str">
            <v>Same Day</v>
          </cell>
          <cell r="Z620">
            <v>0.25</v>
          </cell>
          <cell r="AB620" t="str">
            <v>Valid</v>
          </cell>
          <cell r="AC620">
            <v>12623.24</v>
          </cell>
          <cell r="AE620">
            <v>12623.242499999998</v>
          </cell>
          <cell r="AH620">
            <v>10540.8</v>
          </cell>
          <cell r="AI620">
            <v>2082.44</v>
          </cell>
          <cell r="AO620" t="str">
            <v>Failed</v>
          </cell>
          <cell r="AP620" t="str">
            <v>Cancelled</v>
          </cell>
        </row>
        <row r="621">
          <cell r="A621" t="str">
            <v>ORD-2024-10620</v>
          </cell>
          <cell r="B621" t="str">
            <v>11/22/2024</v>
          </cell>
          <cell r="D621" t="str">
            <v>27 Nov 2024</v>
          </cell>
          <cell r="F621" t="str">
            <v>Valid</v>
          </cell>
          <cell r="H621" t="str">
            <v>Valid</v>
          </cell>
          <cell r="N621" t="str">
            <v>South</v>
          </cell>
          <cell r="V621" t="str">
            <v>First Class</v>
          </cell>
          <cell r="Z621">
            <v>0.2</v>
          </cell>
          <cell r="AB621" t="str">
            <v>Valid</v>
          </cell>
          <cell r="AC621">
            <v>3401.01</v>
          </cell>
          <cell r="AE621">
            <v>3401.0080000000003</v>
          </cell>
          <cell r="AH621">
            <v>2917.54</v>
          </cell>
          <cell r="AI621">
            <v>483.47</v>
          </cell>
          <cell r="AO621" t="str">
            <v>Refunded</v>
          </cell>
          <cell r="AP621" t="str">
            <v>Returned</v>
          </cell>
        </row>
        <row r="622">
          <cell r="A622" t="str">
            <v>ORD-2024-10621</v>
          </cell>
          <cell r="B622" t="str">
            <v>18-08-2024</v>
          </cell>
          <cell r="D622" t="str">
            <v>08/21/2024</v>
          </cell>
          <cell r="F622" t="str">
            <v>Valid</v>
          </cell>
          <cell r="H622" t="str">
            <v>Valid</v>
          </cell>
          <cell r="N622" t="str">
            <v>North</v>
          </cell>
          <cell r="V622" t="str">
            <v>Standard Class</v>
          </cell>
          <cell r="Z622">
            <v>0</v>
          </cell>
          <cell r="AB622" t="str">
            <v>Valid</v>
          </cell>
          <cell r="AC622">
            <v>6609.06</v>
          </cell>
          <cell r="AE622">
            <v>6609.06</v>
          </cell>
          <cell r="AH622">
            <v>4946.78</v>
          </cell>
          <cell r="AI622">
            <v>1662.28</v>
          </cell>
          <cell r="AO622" t="str">
            <v>Paid</v>
          </cell>
          <cell r="AP622" t="str">
            <v>Completed</v>
          </cell>
        </row>
        <row r="623">
          <cell r="A623" t="str">
            <v>ORD-2024-10622</v>
          </cell>
          <cell r="B623" t="str">
            <v>28-11-2024</v>
          </cell>
          <cell r="D623" t="str">
            <v>06-12-2024</v>
          </cell>
          <cell r="F623" t="str">
            <v>Valid</v>
          </cell>
          <cell r="H623" t="str">
            <v>Valid</v>
          </cell>
          <cell r="N623" t="str">
            <v>West</v>
          </cell>
          <cell r="V623" t="str">
            <v>Same Day</v>
          </cell>
          <cell r="AB623" t="str">
            <v>Valid</v>
          </cell>
          <cell r="AC623">
            <v>5464.2</v>
          </cell>
          <cell r="AE623">
            <v>5464.2</v>
          </cell>
          <cell r="AH623">
            <v>3318.09</v>
          </cell>
          <cell r="AI623">
            <v>2146.11</v>
          </cell>
          <cell r="AO623" t="str">
            <v>Paid</v>
          </cell>
          <cell r="AP623" t="str">
            <v>Completed</v>
          </cell>
        </row>
        <row r="624">
          <cell r="A624" t="str">
            <v>ORD-2025-10623</v>
          </cell>
          <cell r="B624" t="str">
            <v>29-01-2025</v>
          </cell>
          <cell r="D624" t="str">
            <v>06 Feb 2025</v>
          </cell>
          <cell r="F624" t="str">
            <v>Valid</v>
          </cell>
          <cell r="H624" t="str">
            <v>Valid</v>
          </cell>
          <cell r="N624" t="str">
            <v>East</v>
          </cell>
          <cell r="V624" t="str">
            <v>Standard Class</v>
          </cell>
          <cell r="Z624">
            <v>0.05</v>
          </cell>
          <cell r="AB624" t="str">
            <v>Valid</v>
          </cell>
          <cell r="AC624">
            <v>10484.24</v>
          </cell>
          <cell r="AE624">
            <v>10484.238000000001</v>
          </cell>
          <cell r="AH624">
            <v>6680.15</v>
          </cell>
          <cell r="AI624">
            <v>3804.09</v>
          </cell>
          <cell r="AO624" t="str">
            <v>Paid</v>
          </cell>
          <cell r="AP624" t="str">
            <v>Completed</v>
          </cell>
        </row>
        <row r="625">
          <cell r="A625" t="str">
            <v>ORD-2024-10624</v>
          </cell>
          <cell r="B625" t="str">
            <v>08 Aug 2024</v>
          </cell>
          <cell r="D625" t="str">
            <v>14 Aug 2024</v>
          </cell>
          <cell r="F625" t="str">
            <v>Valid</v>
          </cell>
          <cell r="H625" t="str">
            <v>Valid</v>
          </cell>
          <cell r="N625" t="str">
            <v>North</v>
          </cell>
          <cell r="V625" t="str">
            <v>Second Class</v>
          </cell>
          <cell r="Z625">
            <v>0.05</v>
          </cell>
          <cell r="AB625" t="str">
            <v>Valid</v>
          </cell>
          <cell r="AC625">
            <v>10329.84</v>
          </cell>
          <cell r="AE625">
            <v>10329.843999999999</v>
          </cell>
          <cell r="AH625">
            <v>7512.22</v>
          </cell>
          <cell r="AI625">
            <v>2817.62</v>
          </cell>
          <cell r="AO625" t="str">
            <v>Paid</v>
          </cell>
          <cell r="AP625" t="str">
            <v>Completed</v>
          </cell>
        </row>
        <row r="626">
          <cell r="A626" t="str">
            <v>ORD-2024-10625</v>
          </cell>
          <cell r="B626" t="str">
            <v>01/30/2024</v>
          </cell>
          <cell r="D626" t="str">
            <v>2024-02-01</v>
          </cell>
          <cell r="F626" t="str">
            <v>Valid</v>
          </cell>
          <cell r="H626" t="str">
            <v>Valid</v>
          </cell>
          <cell r="N626" t="str">
            <v>East</v>
          </cell>
          <cell r="V626" t="str">
            <v>First Class</v>
          </cell>
          <cell r="Z626">
            <v>0.05</v>
          </cell>
          <cell r="AB626" t="str">
            <v>Valid</v>
          </cell>
          <cell r="AC626">
            <v>8456.9599999999991</v>
          </cell>
          <cell r="AE626">
            <v>8456.9569999999985</v>
          </cell>
          <cell r="AH626">
            <v>5462.85</v>
          </cell>
          <cell r="AI626">
            <v>2994.11</v>
          </cell>
          <cell r="AO626" t="str">
            <v>Paid</v>
          </cell>
          <cell r="AP626" t="str">
            <v>Completed</v>
          </cell>
        </row>
        <row r="627">
          <cell r="A627" t="str">
            <v>ORD-2024-10626</v>
          </cell>
          <cell r="B627" t="str">
            <v>12/15/2024</v>
          </cell>
          <cell r="D627" t="str">
            <v>21 Dec 2024</v>
          </cell>
          <cell r="F627" t="str">
            <v>Valid</v>
          </cell>
          <cell r="H627" t="str">
            <v>Valid</v>
          </cell>
          <cell r="N627" t="str">
            <v>West</v>
          </cell>
          <cell r="V627" t="str">
            <v>Same Day</v>
          </cell>
          <cell r="Z627">
            <v>0.2</v>
          </cell>
          <cell r="AB627" t="str">
            <v>Valid</v>
          </cell>
          <cell r="AC627">
            <v>1266.4100000000001</v>
          </cell>
          <cell r="AE627">
            <v>1266.4079999999999</v>
          </cell>
          <cell r="AH627">
            <v>983.92</v>
          </cell>
          <cell r="AI627">
            <v>282.49</v>
          </cell>
          <cell r="AO627" t="str">
            <v>Paid</v>
          </cell>
          <cell r="AP627" t="str">
            <v>Completed</v>
          </cell>
        </row>
        <row r="628">
          <cell r="A628" t="str">
            <v>ORD-2025-10627</v>
          </cell>
          <cell r="B628" t="str">
            <v>04-06-2025</v>
          </cell>
          <cell r="D628" t="str">
            <v>06/07/2025</v>
          </cell>
          <cell r="F628" t="str">
            <v>Valid</v>
          </cell>
          <cell r="H628" t="str">
            <v>Valid</v>
          </cell>
          <cell r="N628" t="str">
            <v>East</v>
          </cell>
          <cell r="V628" t="str">
            <v>Standard Class</v>
          </cell>
          <cell r="Z628">
            <v>0</v>
          </cell>
          <cell r="AB628" t="str">
            <v>Valid</v>
          </cell>
          <cell r="AC628">
            <v>11473.04</v>
          </cell>
          <cell r="AE628">
            <v>11473.04</v>
          </cell>
          <cell r="AH628">
            <v>8931.33</v>
          </cell>
          <cell r="AI628">
            <v>2541.71</v>
          </cell>
          <cell r="AO628" t="str">
            <v>Pending</v>
          </cell>
          <cell r="AP628" t="str">
            <v>Returned</v>
          </cell>
        </row>
        <row r="629">
          <cell r="A629" t="str">
            <v>ORD-2025-10628</v>
          </cell>
          <cell r="B629" t="str">
            <v>02/13/2025</v>
          </cell>
          <cell r="D629" t="str">
            <v>21-02-2025</v>
          </cell>
          <cell r="F629" t="str">
            <v>Valid</v>
          </cell>
          <cell r="H629" t="str">
            <v>Valid</v>
          </cell>
          <cell r="N629" t="str">
            <v>South</v>
          </cell>
          <cell r="V629" t="str">
            <v>Second Class</v>
          </cell>
          <cell r="Z629">
            <v>0.15</v>
          </cell>
          <cell r="AB629" t="str">
            <v>Valid</v>
          </cell>
          <cell r="AC629">
            <v>4012.03</v>
          </cell>
          <cell r="AE629">
            <v>4012.0339999999997</v>
          </cell>
          <cell r="AH629">
            <v>3142.92</v>
          </cell>
          <cell r="AI629">
            <v>869.11</v>
          </cell>
          <cell r="AO629" t="str">
            <v>Pending</v>
          </cell>
          <cell r="AP629" t="str">
            <v>Cancelled</v>
          </cell>
        </row>
        <row r="630">
          <cell r="A630" t="str">
            <v>ORD-2025-10629</v>
          </cell>
          <cell r="B630" t="str">
            <v>2025-10-05</v>
          </cell>
          <cell r="D630" t="str">
            <v>12 Oct 2025</v>
          </cell>
          <cell r="F630" t="str">
            <v>Valid</v>
          </cell>
          <cell r="H630" t="str">
            <v>Valid</v>
          </cell>
          <cell r="N630" t="str">
            <v>East</v>
          </cell>
          <cell r="V630" t="str">
            <v>Same Day</v>
          </cell>
          <cell r="Z630">
            <v>0.05</v>
          </cell>
          <cell r="AB630" t="str">
            <v>Valid</v>
          </cell>
          <cell r="AC630">
            <v>5364.36</v>
          </cell>
          <cell r="AE630">
            <v>5364.3554999999997</v>
          </cell>
          <cell r="AH630">
            <v>4391.29</v>
          </cell>
          <cell r="AI630">
            <v>973.07</v>
          </cell>
          <cell r="AO630" t="str">
            <v>Paid</v>
          </cell>
          <cell r="AP630" t="str">
            <v>Completed</v>
          </cell>
        </row>
        <row r="631">
          <cell r="A631" t="str">
            <v>ORD-2025-10630</v>
          </cell>
          <cell r="B631" t="str">
            <v>09/10/2025</v>
          </cell>
          <cell r="D631" t="str">
            <v>14 Sep 2025</v>
          </cell>
          <cell r="F631" t="str">
            <v>Valid</v>
          </cell>
          <cell r="H631" t="str">
            <v>Valid</v>
          </cell>
          <cell r="N631" t="str">
            <v>West</v>
          </cell>
          <cell r="V631" t="str">
            <v>Same Day</v>
          </cell>
          <cell r="Z631">
            <v>0.15</v>
          </cell>
          <cell r="AB631" t="str">
            <v>Valid</v>
          </cell>
          <cell r="AC631">
            <v>10706.07</v>
          </cell>
          <cell r="AE631">
            <v>10706.073</v>
          </cell>
          <cell r="AH631">
            <v>5927.1</v>
          </cell>
          <cell r="AI631">
            <v>4778.97</v>
          </cell>
          <cell r="AO631" t="str">
            <v>Paid</v>
          </cell>
          <cell r="AP631" t="str">
            <v>Completed</v>
          </cell>
        </row>
        <row r="632">
          <cell r="A632" t="str">
            <v>ORD-2024-10631</v>
          </cell>
          <cell r="B632" t="str">
            <v>2024-04-09</v>
          </cell>
          <cell r="D632" t="str">
            <v>2024-04-10</v>
          </cell>
          <cell r="F632" t="str">
            <v>Valid</v>
          </cell>
          <cell r="H632" t="str">
            <v>Valid</v>
          </cell>
          <cell r="N632" t="str">
            <v>East</v>
          </cell>
          <cell r="V632" t="str">
            <v>Standard Class</v>
          </cell>
          <cell r="Z632">
            <v>0.1</v>
          </cell>
          <cell r="AB632" t="str">
            <v>Valid</v>
          </cell>
          <cell r="AC632">
            <v>10969.38</v>
          </cell>
          <cell r="AE632">
            <v>10969.380000000001</v>
          </cell>
          <cell r="AH632">
            <v>9254.4599999999991</v>
          </cell>
          <cell r="AI632">
            <v>1714.92</v>
          </cell>
          <cell r="AO632" t="str">
            <v>Paid</v>
          </cell>
          <cell r="AP632" t="str">
            <v>Completed</v>
          </cell>
        </row>
        <row r="633">
          <cell r="A633" t="str">
            <v>ORD-2024-10632</v>
          </cell>
          <cell r="B633" t="str">
            <v>10 Apr 2024</v>
          </cell>
          <cell r="D633" t="str">
            <v>15-04-2024</v>
          </cell>
          <cell r="F633" t="str">
            <v>Valid</v>
          </cell>
          <cell r="H633" t="str">
            <v>Valid</v>
          </cell>
          <cell r="N633" t="str">
            <v>West</v>
          </cell>
          <cell r="V633" t="str">
            <v>Standard Class</v>
          </cell>
          <cell r="Z633">
            <v>0.1</v>
          </cell>
          <cell r="AB633" t="str">
            <v>Valid</v>
          </cell>
          <cell r="AC633">
            <v>31409.86</v>
          </cell>
          <cell r="AE633">
            <v>31409.855999999996</v>
          </cell>
          <cell r="AH633">
            <v>22523.54</v>
          </cell>
          <cell r="AI633">
            <v>8886.32</v>
          </cell>
          <cell r="AO633" t="str">
            <v>Paid</v>
          </cell>
          <cell r="AP633" t="str">
            <v>Completed</v>
          </cell>
        </row>
        <row r="634">
          <cell r="A634" t="str">
            <v>ORD-2025-10633</v>
          </cell>
          <cell r="B634" t="str">
            <v>15-04-2025</v>
          </cell>
          <cell r="D634" t="str">
            <v>16-04-2025</v>
          </cell>
          <cell r="F634" t="str">
            <v>Valid</v>
          </cell>
          <cell r="H634" t="str">
            <v>Valid</v>
          </cell>
          <cell r="N634" t="str">
            <v>South</v>
          </cell>
          <cell r="V634" t="str">
            <v>First Class</v>
          </cell>
          <cell r="Z634">
            <v>0</v>
          </cell>
          <cell r="AB634" t="str">
            <v>Valid</v>
          </cell>
          <cell r="AC634">
            <v>14252.65</v>
          </cell>
          <cell r="AE634">
            <v>14252.650000000001</v>
          </cell>
          <cell r="AH634">
            <v>11558.31</v>
          </cell>
          <cell r="AI634">
            <v>2694.34</v>
          </cell>
          <cell r="AO634" t="str">
            <v>Paid</v>
          </cell>
          <cell r="AP634" t="str">
            <v>Completed</v>
          </cell>
        </row>
        <row r="635">
          <cell r="A635" t="str">
            <v>ORD-2025-10634</v>
          </cell>
          <cell r="B635" t="str">
            <v>04/18/2025</v>
          </cell>
          <cell r="D635" t="str">
            <v>20 Apr 2025</v>
          </cell>
          <cell r="F635" t="str">
            <v>Valid</v>
          </cell>
          <cell r="H635" t="str">
            <v>Valid</v>
          </cell>
          <cell r="N635" t="str">
            <v>South</v>
          </cell>
          <cell r="V635" t="str">
            <v>Second Class</v>
          </cell>
          <cell r="Z635">
            <v>0.15</v>
          </cell>
          <cell r="AB635" t="str">
            <v>Valid</v>
          </cell>
          <cell r="AC635">
            <v>1382.17</v>
          </cell>
          <cell r="AE635">
            <v>1382.1679999999999</v>
          </cell>
          <cell r="AH635">
            <v>810.03</v>
          </cell>
          <cell r="AI635">
            <v>572.14</v>
          </cell>
          <cell r="AO635" t="str">
            <v>Paid</v>
          </cell>
          <cell r="AP635" t="str">
            <v>Completed</v>
          </cell>
        </row>
        <row r="636">
          <cell r="A636" t="str">
            <v>ORD-2025-10635</v>
          </cell>
          <cell r="B636" t="str">
            <v>01/11/2025</v>
          </cell>
          <cell r="D636" t="str">
            <v>12 Jan 2025</v>
          </cell>
          <cell r="F636" t="str">
            <v>Valid</v>
          </cell>
          <cell r="H636" t="str">
            <v>Valid</v>
          </cell>
          <cell r="N636" t="str">
            <v>South</v>
          </cell>
          <cell r="V636" t="str">
            <v>Second Class</v>
          </cell>
          <cell r="Z636">
            <v>0.05</v>
          </cell>
          <cell r="AB636" t="str">
            <v>Valid</v>
          </cell>
          <cell r="AC636">
            <v>9223.17</v>
          </cell>
          <cell r="AE636">
            <v>9223.17</v>
          </cell>
          <cell r="AH636">
            <v>5103.7</v>
          </cell>
          <cell r="AI636">
            <v>4119.47</v>
          </cell>
          <cell r="AO636" t="str">
            <v>Paid</v>
          </cell>
          <cell r="AP636" t="str">
            <v>Completed</v>
          </cell>
        </row>
        <row r="637">
          <cell r="A637" t="str">
            <v>ORD-2024-10636</v>
          </cell>
          <cell r="B637" t="str">
            <v>20 May 2024</v>
          </cell>
          <cell r="D637" t="str">
            <v>2024-05-25</v>
          </cell>
          <cell r="F637" t="str">
            <v>Valid</v>
          </cell>
          <cell r="H637" t="str">
            <v>Valid</v>
          </cell>
          <cell r="N637" t="str">
            <v>South</v>
          </cell>
          <cell r="V637" t="str">
            <v>Same Day</v>
          </cell>
          <cell r="Z637">
            <v>0.25</v>
          </cell>
          <cell r="AB637" t="str">
            <v>Valid</v>
          </cell>
          <cell r="AC637">
            <v>16394.96</v>
          </cell>
          <cell r="AE637">
            <v>16394.962500000001</v>
          </cell>
          <cell r="AH637">
            <v>10404.17</v>
          </cell>
          <cell r="AI637">
            <v>5990.79</v>
          </cell>
          <cell r="AO637" t="str">
            <v>Paid</v>
          </cell>
          <cell r="AP637" t="str">
            <v>Completed</v>
          </cell>
        </row>
        <row r="638">
          <cell r="A638" t="str">
            <v>ORD-2024-10637</v>
          </cell>
          <cell r="B638" t="str">
            <v>02 Oct 2024</v>
          </cell>
          <cell r="D638" t="str">
            <v>09 Oct 2024</v>
          </cell>
          <cell r="F638" t="str">
            <v>Valid</v>
          </cell>
          <cell r="H638" t="str">
            <v>Valid</v>
          </cell>
          <cell r="N638" t="str">
            <v>South</v>
          </cell>
          <cell r="V638" t="str">
            <v>Standard Class</v>
          </cell>
          <cell r="Z638">
            <v>0.15</v>
          </cell>
          <cell r="AB638" t="str">
            <v>Valid</v>
          </cell>
          <cell r="AC638">
            <v>12990.11</v>
          </cell>
          <cell r="AE638">
            <v>12990.108</v>
          </cell>
          <cell r="AH638">
            <v>10200.799999999999</v>
          </cell>
          <cell r="AI638">
            <v>2789.31</v>
          </cell>
          <cell r="AO638" t="str">
            <v>Paid</v>
          </cell>
          <cell r="AP638" t="str">
            <v>Completed</v>
          </cell>
        </row>
        <row r="639">
          <cell r="A639" t="str">
            <v>ORD-2024-10638</v>
          </cell>
          <cell r="B639" t="str">
            <v>26-05-2024</v>
          </cell>
          <cell r="D639" t="str">
            <v>2024-05-26</v>
          </cell>
          <cell r="F639" t="str">
            <v>Valid</v>
          </cell>
          <cell r="H639" t="str">
            <v>Valid</v>
          </cell>
          <cell r="N639" t="str">
            <v>West</v>
          </cell>
          <cell r="V639" t="str">
            <v>First Class</v>
          </cell>
          <cell r="Z639">
            <v>0.2</v>
          </cell>
          <cell r="AB639" t="str">
            <v>Valid</v>
          </cell>
          <cell r="AC639">
            <v>5107.95</v>
          </cell>
          <cell r="AE639">
            <v>5107.9520000000002</v>
          </cell>
          <cell r="AH639">
            <v>3133.08</v>
          </cell>
          <cell r="AI639">
            <v>1974.87</v>
          </cell>
          <cell r="AO639" t="str">
            <v>Paid</v>
          </cell>
          <cell r="AP639" t="str">
            <v>Completed</v>
          </cell>
        </row>
        <row r="640">
          <cell r="A640" t="str">
            <v>ORD-2024-10639</v>
          </cell>
          <cell r="B640" t="str">
            <v>26 Jan 2024</v>
          </cell>
          <cell r="D640" t="str">
            <v>31-01-2024</v>
          </cell>
          <cell r="F640" t="str">
            <v>Valid</v>
          </cell>
          <cell r="H640" t="str">
            <v>Valid</v>
          </cell>
          <cell r="N640" t="str">
            <v>South</v>
          </cell>
          <cell r="V640" t="str">
            <v>Second Class</v>
          </cell>
          <cell r="Z640">
            <v>0.2</v>
          </cell>
          <cell r="AB640" t="str">
            <v>Valid</v>
          </cell>
          <cell r="AC640">
            <v>7738.37</v>
          </cell>
          <cell r="AE640">
            <v>7738.3680000000013</v>
          </cell>
          <cell r="AH640">
            <v>4626.8500000000004</v>
          </cell>
          <cell r="AI640">
            <v>3111.52</v>
          </cell>
          <cell r="AO640" t="str">
            <v>Failed</v>
          </cell>
          <cell r="AP640" t="str">
            <v>Returned</v>
          </cell>
        </row>
        <row r="641">
          <cell r="A641" t="str">
            <v>ORD-2024-10640</v>
          </cell>
          <cell r="B641" t="str">
            <v>12/27/2024</v>
          </cell>
          <cell r="D641" t="str">
            <v>31-12-2024</v>
          </cell>
          <cell r="F641" t="str">
            <v>Valid</v>
          </cell>
          <cell r="H641" t="str">
            <v>Valid</v>
          </cell>
          <cell r="N641" t="str">
            <v>East</v>
          </cell>
          <cell r="V641" t="str">
            <v>Second Class</v>
          </cell>
          <cell r="Z641">
            <v>0.05</v>
          </cell>
          <cell r="AB641" t="str">
            <v>Valid</v>
          </cell>
          <cell r="AC641">
            <v>1514.96</v>
          </cell>
          <cell r="AE641">
            <v>1514.9649999999999</v>
          </cell>
          <cell r="AH641">
            <v>1046.17</v>
          </cell>
          <cell r="AI641">
            <v>468.79</v>
          </cell>
          <cell r="AO641" t="str">
            <v>Paid</v>
          </cell>
          <cell r="AP641" t="str">
            <v>Completed</v>
          </cell>
        </row>
        <row r="642">
          <cell r="A642" t="str">
            <v>ORD-2025-10641</v>
          </cell>
          <cell r="B642" t="str">
            <v>14-01-2025</v>
          </cell>
          <cell r="D642" t="str">
            <v>17 Jan 2025</v>
          </cell>
          <cell r="F642" t="str">
            <v>Valid</v>
          </cell>
          <cell r="H642" t="str">
            <v>Valid</v>
          </cell>
          <cell r="N642" t="str">
            <v>West</v>
          </cell>
          <cell r="V642" t="str">
            <v>First Class</v>
          </cell>
          <cell r="Z642">
            <v>0.2</v>
          </cell>
          <cell r="AB642" t="str">
            <v>Valid</v>
          </cell>
          <cell r="AC642">
            <v>1267.3</v>
          </cell>
          <cell r="AE642">
            <v>1267.296</v>
          </cell>
          <cell r="AH642">
            <v>923.53</v>
          </cell>
          <cell r="AI642">
            <v>343.77</v>
          </cell>
          <cell r="AO642" t="str">
            <v>Paid</v>
          </cell>
          <cell r="AP642" t="str">
            <v>Completed</v>
          </cell>
        </row>
        <row r="643">
          <cell r="A643" t="str">
            <v>ORD-2025-10642</v>
          </cell>
          <cell r="B643" t="str">
            <v>2025-04-09</v>
          </cell>
          <cell r="D643" t="str">
            <v>2025-04-14</v>
          </cell>
          <cell r="F643" t="str">
            <v>Valid</v>
          </cell>
          <cell r="H643" t="str">
            <v>Valid</v>
          </cell>
          <cell r="N643" t="str">
            <v>North</v>
          </cell>
          <cell r="V643" t="str">
            <v>Same Day</v>
          </cell>
          <cell r="Z643">
            <v>0</v>
          </cell>
          <cell r="AB643" t="str">
            <v>Valid</v>
          </cell>
          <cell r="AC643">
            <v>6405.74</v>
          </cell>
          <cell r="AE643">
            <v>6405.74</v>
          </cell>
          <cell r="AH643">
            <v>3561.87</v>
          </cell>
          <cell r="AI643">
            <v>2843.87</v>
          </cell>
          <cell r="AO643" t="str">
            <v>Paid</v>
          </cell>
          <cell r="AP643" t="str">
            <v>Completed</v>
          </cell>
        </row>
        <row r="644">
          <cell r="A644" t="str">
            <v>ORD-2024-10643</v>
          </cell>
          <cell r="B644" t="str">
            <v>08/29/2024</v>
          </cell>
          <cell r="D644" t="str">
            <v>08/31/2024</v>
          </cell>
          <cell r="F644" t="str">
            <v>Valid</v>
          </cell>
          <cell r="H644" t="str">
            <v>Valid</v>
          </cell>
          <cell r="N644" t="str">
            <v>East</v>
          </cell>
          <cell r="V644" t="str">
            <v>Second Class</v>
          </cell>
          <cell r="Z644">
            <v>0.25</v>
          </cell>
          <cell r="AB644" t="str">
            <v>Valid</v>
          </cell>
          <cell r="AC644">
            <v>8607.67</v>
          </cell>
          <cell r="AE644">
            <v>8607.6674999999996</v>
          </cell>
          <cell r="AH644">
            <v>5337.64</v>
          </cell>
          <cell r="AI644">
            <v>3270.03</v>
          </cell>
          <cell r="AO644" t="str">
            <v>Failed</v>
          </cell>
          <cell r="AP644" t="str">
            <v>Returned</v>
          </cell>
        </row>
        <row r="645">
          <cell r="A645" t="str">
            <v>ORD-2024-10644</v>
          </cell>
          <cell r="B645" t="str">
            <v>05-02-2024</v>
          </cell>
          <cell r="D645" t="str">
            <v>2024-02-13</v>
          </cell>
          <cell r="F645" t="str">
            <v>Valid</v>
          </cell>
          <cell r="H645" t="str">
            <v>Valid</v>
          </cell>
          <cell r="N645" t="str">
            <v>North</v>
          </cell>
          <cell r="V645" t="str">
            <v>Standard Class</v>
          </cell>
          <cell r="Z645">
            <v>0.15</v>
          </cell>
          <cell r="AB645" t="str">
            <v>Valid</v>
          </cell>
          <cell r="AC645">
            <v>26324.02</v>
          </cell>
          <cell r="AE645">
            <v>26324.023999999998</v>
          </cell>
          <cell r="AH645">
            <v>16277.96</v>
          </cell>
          <cell r="AI645">
            <v>10046.06</v>
          </cell>
          <cell r="AO645" t="str">
            <v>Failed</v>
          </cell>
          <cell r="AP645" t="str">
            <v>Returned</v>
          </cell>
        </row>
        <row r="646">
          <cell r="A646" t="str">
            <v>ORD-2025-10645</v>
          </cell>
          <cell r="B646" t="str">
            <v>2025-04-10</v>
          </cell>
          <cell r="D646" t="str">
            <v>04/17/2025</v>
          </cell>
          <cell r="F646" t="str">
            <v>Valid</v>
          </cell>
          <cell r="H646" t="str">
            <v>Valid</v>
          </cell>
          <cell r="N646" t="str">
            <v>East</v>
          </cell>
          <cell r="V646" t="str">
            <v>Standard Class</v>
          </cell>
          <cell r="Z646">
            <v>0.05</v>
          </cell>
          <cell r="AB646" t="str">
            <v>Valid</v>
          </cell>
          <cell r="AC646">
            <v>14250.08</v>
          </cell>
          <cell r="AE646">
            <v>14250.075999999999</v>
          </cell>
          <cell r="AH646">
            <v>10914.92</v>
          </cell>
          <cell r="AI646">
            <v>3335.16</v>
          </cell>
          <cell r="AO646" t="str">
            <v>Paid</v>
          </cell>
          <cell r="AP646" t="str">
            <v>Completed</v>
          </cell>
        </row>
        <row r="647">
          <cell r="A647" t="str">
            <v>ORD-2024-10646</v>
          </cell>
          <cell r="B647" t="str">
            <v>2024-01-04</v>
          </cell>
          <cell r="D647" t="str">
            <v>09-01-2024</v>
          </cell>
          <cell r="F647" t="str">
            <v>Valid</v>
          </cell>
          <cell r="H647" t="str">
            <v>Valid</v>
          </cell>
          <cell r="N647" t="str">
            <v>East</v>
          </cell>
          <cell r="V647" t="str">
            <v>Second Class</v>
          </cell>
          <cell r="Z647">
            <v>0.1</v>
          </cell>
          <cell r="AB647" t="str">
            <v>Valid</v>
          </cell>
          <cell r="AC647">
            <v>13087.49</v>
          </cell>
          <cell r="AE647">
            <v>13087.494000000001</v>
          </cell>
          <cell r="AH647">
            <v>7608.89</v>
          </cell>
          <cell r="AI647">
            <v>5133.22</v>
          </cell>
          <cell r="AO647" t="str">
            <v>Paid</v>
          </cell>
          <cell r="AP647" t="str">
            <v>Completed</v>
          </cell>
        </row>
        <row r="648">
          <cell r="A648" t="str">
            <v>ORD-2024-10647</v>
          </cell>
          <cell r="B648" t="str">
            <v>09/18/2024</v>
          </cell>
          <cell r="D648" t="str">
            <v>24-09-2024</v>
          </cell>
          <cell r="F648" t="str">
            <v>Valid</v>
          </cell>
          <cell r="H648" t="str">
            <v>Valid</v>
          </cell>
          <cell r="N648" t="str">
            <v>East</v>
          </cell>
          <cell r="V648" t="str">
            <v>First Class</v>
          </cell>
          <cell r="Z648">
            <v>0.25</v>
          </cell>
          <cell r="AB648" t="str">
            <v>Valid</v>
          </cell>
          <cell r="AC648">
            <v>1640.57</v>
          </cell>
          <cell r="AE648">
            <v>1640.5650000000001</v>
          </cell>
          <cell r="AH648">
            <v>1136.98</v>
          </cell>
          <cell r="AI648">
            <v>503.59</v>
          </cell>
          <cell r="AO648" t="str">
            <v>Paid</v>
          </cell>
          <cell r="AP648" t="str">
            <v>Completed</v>
          </cell>
        </row>
        <row r="649">
          <cell r="A649" t="str">
            <v>ORD-2025-10648</v>
          </cell>
          <cell r="B649" t="str">
            <v>01/01/2025</v>
          </cell>
          <cell r="D649" t="str">
            <v>09-01-2025</v>
          </cell>
          <cell r="F649" t="str">
            <v>Valid</v>
          </cell>
          <cell r="H649" t="str">
            <v>Valid</v>
          </cell>
          <cell r="N649" t="str">
            <v>North</v>
          </cell>
          <cell r="V649" t="str">
            <v>First Class</v>
          </cell>
          <cell r="Z649">
            <v>0.15</v>
          </cell>
          <cell r="AB649" t="str">
            <v>Valid</v>
          </cell>
          <cell r="AC649">
            <v>14441.91</v>
          </cell>
          <cell r="AE649">
            <v>14441.907999999999</v>
          </cell>
          <cell r="AH649">
            <v>10872.89</v>
          </cell>
          <cell r="AI649">
            <v>3569.02</v>
          </cell>
          <cell r="AO649" t="str">
            <v>Paid</v>
          </cell>
          <cell r="AP649" t="str">
            <v>Completed</v>
          </cell>
        </row>
        <row r="650">
          <cell r="A650" t="str">
            <v>ORD-2024-10649</v>
          </cell>
          <cell r="B650" t="str">
            <v>21-04-2024</v>
          </cell>
          <cell r="D650" t="str">
            <v>24 Apr 2024</v>
          </cell>
          <cell r="F650" t="str">
            <v>Valid</v>
          </cell>
          <cell r="H650" t="str">
            <v>Valid</v>
          </cell>
          <cell r="N650" t="str">
            <v>South</v>
          </cell>
          <cell r="V650" t="str">
            <v>Same Day</v>
          </cell>
          <cell r="Z650">
            <v>0.2</v>
          </cell>
          <cell r="AB650" t="str">
            <v>Valid</v>
          </cell>
          <cell r="AC650">
            <v>5065.8500000000004</v>
          </cell>
          <cell r="AE650">
            <v>5065.8480000000009</v>
          </cell>
          <cell r="AH650">
            <v>3517.23</v>
          </cell>
          <cell r="AI650">
            <v>1548.62</v>
          </cell>
          <cell r="AO650" t="str">
            <v>Failed</v>
          </cell>
          <cell r="AP650" t="str">
            <v>Returned</v>
          </cell>
        </row>
        <row r="651">
          <cell r="A651" t="str">
            <v>ORD-2025-10650</v>
          </cell>
          <cell r="B651" t="str">
            <v>11 Aug 2025</v>
          </cell>
          <cell r="D651" t="str">
            <v>19-08-2025</v>
          </cell>
          <cell r="F651" t="str">
            <v>Valid</v>
          </cell>
          <cell r="H651" t="str">
            <v>Valid</v>
          </cell>
          <cell r="N651" t="str">
            <v>South</v>
          </cell>
          <cell r="V651" t="str">
            <v>Standard Class</v>
          </cell>
          <cell r="Z651">
            <v>0.25</v>
          </cell>
          <cell r="AB651" t="str">
            <v>Valid</v>
          </cell>
          <cell r="AC651">
            <v>6776.88</v>
          </cell>
          <cell r="AE651">
            <v>6776.88</v>
          </cell>
          <cell r="AH651">
            <v>3836.24</v>
          </cell>
          <cell r="AI651">
            <v>2940.64</v>
          </cell>
          <cell r="AO651" t="str">
            <v>Paid</v>
          </cell>
          <cell r="AP651" t="str">
            <v>Completed</v>
          </cell>
        </row>
        <row r="652">
          <cell r="A652" t="str">
            <v>ORD-2024-10651</v>
          </cell>
          <cell r="B652" t="str">
            <v>04/13/2024</v>
          </cell>
          <cell r="D652" t="str">
            <v>21 Apr 2024</v>
          </cell>
          <cell r="F652" t="str">
            <v>Valid</v>
          </cell>
          <cell r="H652" t="str">
            <v>Valid</v>
          </cell>
          <cell r="N652" t="str">
            <v>East</v>
          </cell>
          <cell r="V652" t="str">
            <v>Same Day</v>
          </cell>
          <cell r="Z652">
            <v>0.15</v>
          </cell>
          <cell r="AB652" t="str">
            <v>Valid</v>
          </cell>
          <cell r="AC652">
            <v>15760.12</v>
          </cell>
          <cell r="AE652">
            <v>15760.121999999999</v>
          </cell>
          <cell r="AH652">
            <v>9931.5300000000007</v>
          </cell>
          <cell r="AI652">
            <v>5828.59</v>
          </cell>
          <cell r="AO652" t="str">
            <v>Failed</v>
          </cell>
          <cell r="AP652" t="str">
            <v>Returned</v>
          </cell>
        </row>
        <row r="653">
          <cell r="A653" t="str">
            <v>ORD-2025-10652</v>
          </cell>
          <cell r="B653" t="str">
            <v>06 Aug 2025</v>
          </cell>
          <cell r="D653" t="str">
            <v>09-08-2025</v>
          </cell>
          <cell r="F653" t="str">
            <v>Valid</v>
          </cell>
          <cell r="H653" t="str">
            <v>Valid</v>
          </cell>
          <cell r="N653" t="str">
            <v>South</v>
          </cell>
          <cell r="V653" t="str">
            <v>Second Class</v>
          </cell>
          <cell r="Z653">
            <v>0</v>
          </cell>
          <cell r="AB653" t="str">
            <v>Valid</v>
          </cell>
          <cell r="AC653">
            <v>1795.65</v>
          </cell>
          <cell r="AE653">
            <v>1795.6499999999999</v>
          </cell>
          <cell r="AH653">
            <v>996.72</v>
          </cell>
          <cell r="AI653">
            <v>798.93</v>
          </cell>
          <cell r="AO653" t="str">
            <v>Paid</v>
          </cell>
          <cell r="AP653" t="str">
            <v>Completed</v>
          </cell>
        </row>
        <row r="654">
          <cell r="A654" t="str">
            <v>ORD-2025-10653</v>
          </cell>
          <cell r="B654" t="str">
            <v>03/17/2025</v>
          </cell>
          <cell r="D654" t="str">
            <v>2025-03-21</v>
          </cell>
          <cell r="F654" t="str">
            <v>Valid</v>
          </cell>
          <cell r="H654" t="str">
            <v>Valid</v>
          </cell>
          <cell r="N654" t="str">
            <v>North</v>
          </cell>
          <cell r="V654" t="str">
            <v>Standard Class</v>
          </cell>
          <cell r="Z654">
            <v>0.15</v>
          </cell>
          <cell r="AB654" t="str">
            <v>Valid</v>
          </cell>
          <cell r="AC654">
            <v>18362.509999999998</v>
          </cell>
          <cell r="AE654">
            <v>18362.5075</v>
          </cell>
          <cell r="AH654">
            <v>11133.97</v>
          </cell>
          <cell r="AI654">
            <v>7228.54</v>
          </cell>
          <cell r="AO654" t="str">
            <v>Paid</v>
          </cell>
          <cell r="AP654" t="str">
            <v>Completed</v>
          </cell>
        </row>
        <row r="655">
          <cell r="A655" t="str">
            <v>ORD-2025-10654</v>
          </cell>
          <cell r="B655" t="str">
            <v>04-04-2025</v>
          </cell>
          <cell r="D655" t="str">
            <v>04/07/2025</v>
          </cell>
          <cell r="F655" t="str">
            <v>Valid</v>
          </cell>
          <cell r="H655" t="str">
            <v>Valid</v>
          </cell>
          <cell r="N655" t="str">
            <v>South</v>
          </cell>
          <cell r="V655" t="str">
            <v>Second Class</v>
          </cell>
          <cell r="Z655">
            <v>0.15</v>
          </cell>
          <cell r="AB655" t="str">
            <v>Valid</v>
          </cell>
          <cell r="AC655">
            <v>26524.68</v>
          </cell>
          <cell r="AE655">
            <v>26524.683500000003</v>
          </cell>
          <cell r="AH655">
            <v>20574.3</v>
          </cell>
          <cell r="AI655">
            <v>5950.38</v>
          </cell>
          <cell r="AO655" t="str">
            <v>Paid</v>
          </cell>
          <cell r="AP655" t="str">
            <v>Completed</v>
          </cell>
        </row>
        <row r="656">
          <cell r="A656" t="str">
            <v>ORD-2025-10655</v>
          </cell>
          <cell r="B656" t="str">
            <v>10/12/2025</v>
          </cell>
          <cell r="D656" t="str">
            <v>16-10-2025</v>
          </cell>
          <cell r="F656" t="str">
            <v>Valid</v>
          </cell>
          <cell r="H656" t="str">
            <v>Valid</v>
          </cell>
          <cell r="N656" t="str">
            <v>East</v>
          </cell>
          <cell r="V656" t="str">
            <v>Same Day</v>
          </cell>
          <cell r="Z656">
            <v>0.2</v>
          </cell>
          <cell r="AB656" t="str">
            <v>Valid</v>
          </cell>
          <cell r="AC656">
            <v>2056.0500000000002</v>
          </cell>
          <cell r="AE656">
            <v>2056.0480000000002</v>
          </cell>
          <cell r="AH656">
            <v>1662.39</v>
          </cell>
          <cell r="AI656">
            <v>393.66</v>
          </cell>
          <cell r="AO656" t="str">
            <v>Paid</v>
          </cell>
          <cell r="AP656" t="str">
            <v>Completed</v>
          </cell>
        </row>
        <row r="657">
          <cell r="A657" t="str">
            <v>ORD-2025-10656</v>
          </cell>
          <cell r="B657" t="str">
            <v>08/26/2025</v>
          </cell>
          <cell r="D657" t="str">
            <v>08/26/2025</v>
          </cell>
          <cell r="F657" t="str">
            <v>Valid</v>
          </cell>
          <cell r="H657" t="str">
            <v>Valid</v>
          </cell>
          <cell r="N657" t="str">
            <v>East</v>
          </cell>
          <cell r="V657" t="str">
            <v>Standard Class</v>
          </cell>
          <cell r="Z657">
            <v>0</v>
          </cell>
          <cell r="AB657" t="str">
            <v>Valid</v>
          </cell>
          <cell r="AC657">
            <v>8607.2800000000007</v>
          </cell>
          <cell r="AE657">
            <v>8607.2800000000007</v>
          </cell>
          <cell r="AH657">
            <v>5124.01</v>
          </cell>
          <cell r="AI657">
            <v>3483.27</v>
          </cell>
          <cell r="AO657" t="str">
            <v>Paid</v>
          </cell>
          <cell r="AP657" t="str">
            <v>Completed</v>
          </cell>
        </row>
        <row r="658">
          <cell r="A658" t="str">
            <v>ORD-2024-10657</v>
          </cell>
          <cell r="B658" t="str">
            <v>07-05-2024</v>
          </cell>
          <cell r="D658" t="str">
            <v>05/14/2024</v>
          </cell>
          <cell r="F658" t="str">
            <v>Valid</v>
          </cell>
          <cell r="H658" t="str">
            <v>Valid</v>
          </cell>
          <cell r="N658" t="str">
            <v>North</v>
          </cell>
          <cell r="V658" t="str">
            <v>Same Day</v>
          </cell>
          <cell r="Z658">
            <v>-0.05</v>
          </cell>
          <cell r="AB658" t="str">
            <v>Invalid - Negative Discount</v>
          </cell>
          <cell r="AC658">
            <v>9903.9599999999991</v>
          </cell>
          <cell r="AE658">
            <v>11554.62</v>
          </cell>
          <cell r="AH658">
            <v>7696.28</v>
          </cell>
          <cell r="AI658">
            <v>2207.6799999999998</v>
          </cell>
          <cell r="AO658" t="str">
            <v>Paid</v>
          </cell>
          <cell r="AP658" t="str">
            <v>Completed</v>
          </cell>
        </row>
        <row r="659">
          <cell r="A659" t="str">
            <v>ORD-2025-10658</v>
          </cell>
          <cell r="B659" t="str">
            <v>08/07/2025</v>
          </cell>
          <cell r="D659" t="str">
            <v>2025-08-10</v>
          </cell>
          <cell r="F659" t="str">
            <v>Valid</v>
          </cell>
          <cell r="H659" t="str">
            <v>Valid</v>
          </cell>
          <cell r="N659" t="str">
            <v>East</v>
          </cell>
          <cell r="V659" t="str">
            <v>Second Class</v>
          </cell>
          <cell r="Z659">
            <v>0.2</v>
          </cell>
          <cell r="AB659" t="str">
            <v>Valid</v>
          </cell>
          <cell r="AC659">
            <v>2033</v>
          </cell>
          <cell r="AE659">
            <v>2033</v>
          </cell>
          <cell r="AH659">
            <v>1291.4100000000001</v>
          </cell>
          <cell r="AI659">
            <v>741.59</v>
          </cell>
          <cell r="AO659" t="str">
            <v>Paid</v>
          </cell>
          <cell r="AP659" t="str">
            <v>Completed</v>
          </cell>
        </row>
        <row r="660">
          <cell r="A660" t="str">
            <v>ORD-2025-10659</v>
          </cell>
          <cell r="B660" t="str">
            <v>2025-06-09</v>
          </cell>
          <cell r="D660" t="str">
            <v>06/12/2025</v>
          </cell>
          <cell r="F660" t="str">
            <v>Valid</v>
          </cell>
          <cell r="H660" t="str">
            <v>Valid</v>
          </cell>
          <cell r="V660" t="str">
            <v>First Class</v>
          </cell>
          <cell r="Z660">
            <v>0</v>
          </cell>
          <cell r="AB660" t="str">
            <v>Valid</v>
          </cell>
          <cell r="AC660">
            <v>19966.939999999999</v>
          </cell>
          <cell r="AE660">
            <v>19966.940000000002</v>
          </cell>
          <cell r="AH660">
            <v>12690.83</v>
          </cell>
          <cell r="AI660">
            <v>7276.11</v>
          </cell>
          <cell r="AO660" t="str">
            <v>Refunded</v>
          </cell>
          <cell r="AP660" t="str">
            <v>Cancelled</v>
          </cell>
        </row>
        <row r="661">
          <cell r="A661" t="str">
            <v>ORD-2025-10660</v>
          </cell>
          <cell r="B661" t="str">
            <v>21-01-2025</v>
          </cell>
          <cell r="D661" t="str">
            <v>2025-01-22</v>
          </cell>
          <cell r="F661" t="str">
            <v>Valid</v>
          </cell>
          <cell r="H661" t="str">
            <v>Valid</v>
          </cell>
          <cell r="N661" t="str">
            <v>South</v>
          </cell>
          <cell r="V661" t="str">
            <v>Second Class</v>
          </cell>
          <cell r="Z661">
            <v>0.2</v>
          </cell>
          <cell r="AB661" t="str">
            <v>Valid</v>
          </cell>
          <cell r="AC661">
            <v>710.9</v>
          </cell>
          <cell r="AE661">
            <v>710.89600000000007</v>
          </cell>
          <cell r="AH661">
            <v>513.88</v>
          </cell>
          <cell r="AI661">
            <v>197.02</v>
          </cell>
          <cell r="AO661" t="str">
            <v>Refunded</v>
          </cell>
          <cell r="AP661" t="str">
            <v>Cancelled</v>
          </cell>
        </row>
        <row r="662">
          <cell r="A662" t="str">
            <v>ORD-2025-10661</v>
          </cell>
          <cell r="B662" t="str">
            <v>07/15/2025</v>
          </cell>
          <cell r="D662" t="str">
            <v>15-07-2025</v>
          </cell>
          <cell r="F662" t="str">
            <v>Valid</v>
          </cell>
          <cell r="H662" t="str">
            <v>Valid</v>
          </cell>
          <cell r="N662" t="str">
            <v>East</v>
          </cell>
          <cell r="V662" t="str">
            <v>Same Day</v>
          </cell>
          <cell r="Z662">
            <v>0.1</v>
          </cell>
          <cell r="AB662" t="str">
            <v>Valid</v>
          </cell>
          <cell r="AC662">
            <v>15994.48</v>
          </cell>
          <cell r="AE662">
            <v>15994.476000000001</v>
          </cell>
          <cell r="AH662">
            <v>9224.2800000000007</v>
          </cell>
          <cell r="AI662">
            <v>6770.2</v>
          </cell>
          <cell r="AO662" t="str">
            <v>Paid</v>
          </cell>
          <cell r="AP662" t="str">
            <v>Completed</v>
          </cell>
        </row>
        <row r="663">
          <cell r="A663" t="str">
            <v>ORD-2024-10662</v>
          </cell>
          <cell r="B663" t="str">
            <v>17-05-2024</v>
          </cell>
          <cell r="D663" t="str">
            <v>2024-05-22</v>
          </cell>
          <cell r="F663" t="str">
            <v>Valid</v>
          </cell>
          <cell r="H663" t="str">
            <v>Valid</v>
          </cell>
          <cell r="N663" t="str">
            <v>South</v>
          </cell>
          <cell r="V663" t="str">
            <v>Second Class</v>
          </cell>
          <cell r="Z663">
            <v>0</v>
          </cell>
          <cell r="AB663" t="str">
            <v>Valid</v>
          </cell>
          <cell r="AC663">
            <v>1627.5</v>
          </cell>
          <cell r="AE663">
            <v>1627.5</v>
          </cell>
          <cell r="AH663">
            <v>939.9</v>
          </cell>
          <cell r="AI663">
            <v>687.6</v>
          </cell>
          <cell r="AO663" t="str">
            <v>Paid</v>
          </cell>
          <cell r="AP663" t="str">
            <v>Completed</v>
          </cell>
        </row>
        <row r="664">
          <cell r="A664" t="str">
            <v>ORD-2024-10663</v>
          </cell>
          <cell r="B664" t="str">
            <v>2024-01-14</v>
          </cell>
          <cell r="D664" t="str">
            <v>18-01-2024</v>
          </cell>
          <cell r="F664" t="str">
            <v>Valid</v>
          </cell>
          <cell r="H664" t="str">
            <v>Valid</v>
          </cell>
          <cell r="N664" t="str">
            <v>West</v>
          </cell>
          <cell r="V664" t="str">
            <v>Same Day</v>
          </cell>
          <cell r="Z664">
            <v>0.1</v>
          </cell>
          <cell r="AB664" t="str">
            <v>Valid</v>
          </cell>
          <cell r="AC664">
            <v>9637.92</v>
          </cell>
          <cell r="AE664">
            <v>9637.92</v>
          </cell>
          <cell r="AH664">
            <v>7329.29</v>
          </cell>
          <cell r="AI664">
            <v>2308.63</v>
          </cell>
          <cell r="AO664" t="str">
            <v>Paid</v>
          </cell>
          <cell r="AP664" t="str">
            <v>Completed</v>
          </cell>
        </row>
        <row r="665">
          <cell r="A665" t="str">
            <v>ORD-2024-10664</v>
          </cell>
          <cell r="B665" t="str">
            <v>05/02/2024</v>
          </cell>
          <cell r="D665" t="str">
            <v>2024-05-08</v>
          </cell>
          <cell r="F665" t="str">
            <v>Valid</v>
          </cell>
          <cell r="H665" t="str">
            <v>Valid</v>
          </cell>
          <cell r="N665" t="str">
            <v>East</v>
          </cell>
          <cell r="V665" t="str">
            <v>Second Class</v>
          </cell>
          <cell r="Z665">
            <v>-0.24</v>
          </cell>
          <cell r="AB665" t="str">
            <v>Invalid - Negative Discount</v>
          </cell>
          <cell r="AC665">
            <v>4777.5200000000004</v>
          </cell>
          <cell r="AE665">
            <v>7898.8248000000003</v>
          </cell>
          <cell r="AH665">
            <v>3152.98</v>
          </cell>
          <cell r="AI665">
            <v>1624.54</v>
          </cell>
          <cell r="AO665" t="str">
            <v>Paid</v>
          </cell>
          <cell r="AP665" t="str">
            <v>Completed</v>
          </cell>
        </row>
        <row r="666">
          <cell r="A666" t="str">
            <v>ORD-2024-10665</v>
          </cell>
          <cell r="B666" t="str">
            <v>07 Dec 2024</v>
          </cell>
          <cell r="D666" t="str">
            <v>10 Dec 2024</v>
          </cell>
          <cell r="F666" t="str">
            <v>Valid</v>
          </cell>
          <cell r="H666" t="str">
            <v>Valid</v>
          </cell>
          <cell r="N666" t="str">
            <v>South</v>
          </cell>
          <cell r="V666" t="str">
            <v>Standard Class</v>
          </cell>
          <cell r="Z666">
            <v>0.2</v>
          </cell>
          <cell r="AB666" t="str">
            <v>Valid</v>
          </cell>
          <cell r="AC666">
            <v>1527.06</v>
          </cell>
          <cell r="AE666">
            <v>1527.0640000000001</v>
          </cell>
          <cell r="AH666">
            <v>1055.8900000000001</v>
          </cell>
          <cell r="AI666">
            <v>471.17</v>
          </cell>
          <cell r="AO666" t="str">
            <v>Paid</v>
          </cell>
          <cell r="AP666" t="str">
            <v>Completed</v>
          </cell>
        </row>
        <row r="667">
          <cell r="A667" t="str">
            <v>ORD-2025-10666</v>
          </cell>
          <cell r="B667" t="str">
            <v>2025-01-13</v>
          </cell>
          <cell r="D667" t="str">
            <v>01/13/2025</v>
          </cell>
          <cell r="F667" t="str">
            <v>Valid</v>
          </cell>
          <cell r="H667" t="str">
            <v>Valid</v>
          </cell>
          <cell r="N667" t="str">
            <v>West</v>
          </cell>
          <cell r="V667" t="str">
            <v>Standard Class</v>
          </cell>
          <cell r="Z667">
            <v>0.1</v>
          </cell>
          <cell r="AB667" t="str">
            <v>Valid</v>
          </cell>
          <cell r="AC667">
            <v>5698.4</v>
          </cell>
          <cell r="AE667">
            <v>5698.4039999999995</v>
          </cell>
          <cell r="AH667">
            <v>3640.89</v>
          </cell>
          <cell r="AI667">
            <v>2057.5100000000002</v>
          </cell>
          <cell r="AO667" t="str">
            <v>Failed</v>
          </cell>
          <cell r="AP667" t="str">
            <v>Cancelled</v>
          </cell>
        </row>
        <row r="668">
          <cell r="A668" t="str">
            <v>ORD-2024-10667</v>
          </cell>
          <cell r="B668" t="str">
            <v>21 Jun 2024</v>
          </cell>
          <cell r="D668" t="str">
            <v>06/26/2024</v>
          </cell>
          <cell r="F668" t="str">
            <v>Valid</v>
          </cell>
          <cell r="H668" t="str">
            <v>Valid</v>
          </cell>
          <cell r="N668" t="str">
            <v>North</v>
          </cell>
          <cell r="V668" t="str">
            <v>Same Day</v>
          </cell>
          <cell r="Z668">
            <v>0.05</v>
          </cell>
          <cell r="AB668" t="str">
            <v>Valid</v>
          </cell>
          <cell r="AC668">
            <v>265.83999999999997</v>
          </cell>
          <cell r="AE668">
            <v>265.83849999999995</v>
          </cell>
          <cell r="AH668">
            <v>223.49</v>
          </cell>
          <cell r="AI668">
            <v>42.35</v>
          </cell>
          <cell r="AO668" t="str">
            <v>Paid</v>
          </cell>
          <cell r="AP668" t="str">
            <v>Completed</v>
          </cell>
        </row>
        <row r="669">
          <cell r="A669" t="str">
            <v>ORD-2025-10668</v>
          </cell>
          <cell r="B669" t="str">
            <v>20-05-2025</v>
          </cell>
          <cell r="D669" t="str">
            <v>27-05-2025</v>
          </cell>
          <cell r="F669" t="str">
            <v>Valid</v>
          </cell>
          <cell r="H669" t="str">
            <v>Valid</v>
          </cell>
          <cell r="N669" t="str">
            <v>East</v>
          </cell>
          <cell r="V669" t="str">
            <v>Standard Class</v>
          </cell>
          <cell r="Z669">
            <v>0</v>
          </cell>
          <cell r="AB669" t="str">
            <v>Valid</v>
          </cell>
          <cell r="AC669">
            <v>3959.14</v>
          </cell>
          <cell r="AE669">
            <v>3959.14</v>
          </cell>
          <cell r="AH669">
            <v>3239.53</v>
          </cell>
          <cell r="AI669">
            <v>719.61</v>
          </cell>
          <cell r="AO669" t="str">
            <v>Pending</v>
          </cell>
          <cell r="AP669" t="str">
            <v>Returned</v>
          </cell>
        </row>
        <row r="670">
          <cell r="A670" t="str">
            <v>ORD-2024-10669</v>
          </cell>
          <cell r="B670" t="str">
            <v>11/21/2024</v>
          </cell>
          <cell r="D670" t="str">
            <v>23 Nov 2024</v>
          </cell>
          <cell r="F670" t="str">
            <v>Valid</v>
          </cell>
          <cell r="H670" t="str">
            <v>Valid</v>
          </cell>
          <cell r="N670" t="str">
            <v>West</v>
          </cell>
          <cell r="V670" t="str">
            <v>Second Class</v>
          </cell>
          <cell r="Z670">
            <v>0.2</v>
          </cell>
          <cell r="AB670" t="str">
            <v>Valid</v>
          </cell>
          <cell r="AC670">
            <v>2401.84</v>
          </cell>
          <cell r="AE670">
            <v>2401.84</v>
          </cell>
          <cell r="AH670">
            <v>1873.11</v>
          </cell>
          <cell r="AI670">
            <v>528.73</v>
          </cell>
          <cell r="AO670" t="str">
            <v>Paid</v>
          </cell>
          <cell r="AP670" t="str">
            <v>Completed</v>
          </cell>
        </row>
        <row r="671">
          <cell r="A671" t="str">
            <v>ORD-2024-10670</v>
          </cell>
          <cell r="B671" t="str">
            <v>2024-03-24</v>
          </cell>
          <cell r="D671" t="str">
            <v>01 Apr 2024</v>
          </cell>
          <cell r="F671" t="str">
            <v>Valid</v>
          </cell>
          <cell r="H671" t="str">
            <v>Valid</v>
          </cell>
          <cell r="N671" t="str">
            <v>West</v>
          </cell>
          <cell r="V671" t="str">
            <v>Second Class</v>
          </cell>
          <cell r="Z671">
            <v>0.25</v>
          </cell>
          <cell r="AB671" t="str">
            <v>Valid</v>
          </cell>
          <cell r="AC671">
            <v>5102.16</v>
          </cell>
          <cell r="AE671">
            <v>5102.16</v>
          </cell>
          <cell r="AH671">
            <v>3226.45</v>
          </cell>
          <cell r="AI671">
            <v>1875.71</v>
          </cell>
          <cell r="AO671" t="str">
            <v>Paid</v>
          </cell>
          <cell r="AP671" t="str">
            <v>Completed</v>
          </cell>
        </row>
        <row r="672">
          <cell r="A672" t="str">
            <v>ORD-2025-10671</v>
          </cell>
          <cell r="B672" t="str">
            <v>02/02/2025</v>
          </cell>
          <cell r="D672" t="str">
            <v>06 Feb 2025</v>
          </cell>
          <cell r="F672" t="str">
            <v>Valid</v>
          </cell>
          <cell r="H672" t="str">
            <v>Valid</v>
          </cell>
          <cell r="N672" t="str">
            <v>North</v>
          </cell>
          <cell r="V672" t="str">
            <v>Standard Class</v>
          </cell>
          <cell r="Z672">
            <v>0.1</v>
          </cell>
          <cell r="AB672" t="str">
            <v>Valid</v>
          </cell>
          <cell r="AC672">
            <v>6176.59</v>
          </cell>
          <cell r="AE672">
            <v>6176.5920000000006</v>
          </cell>
          <cell r="AH672">
            <v>3560.96</v>
          </cell>
          <cell r="AI672">
            <v>2615.63</v>
          </cell>
          <cell r="AO672" t="str">
            <v>Paid</v>
          </cell>
          <cell r="AP672" t="str">
            <v>Completed</v>
          </cell>
        </row>
        <row r="673">
          <cell r="A673" t="str">
            <v>ORD-2024-10672</v>
          </cell>
          <cell r="B673" t="str">
            <v>2024-03-22</v>
          </cell>
          <cell r="D673" t="str">
            <v>27-03-2024</v>
          </cell>
          <cell r="F673" t="str">
            <v>Valid</v>
          </cell>
          <cell r="H673" t="str">
            <v>Valid</v>
          </cell>
          <cell r="N673" t="str">
            <v>West</v>
          </cell>
          <cell r="V673" t="str">
            <v>Second Class</v>
          </cell>
          <cell r="Z673">
            <v>0.05</v>
          </cell>
          <cell r="AB673" t="str">
            <v>Valid</v>
          </cell>
          <cell r="AC673">
            <v>31203.31</v>
          </cell>
          <cell r="AE673">
            <v>31203.310500000003</v>
          </cell>
          <cell r="AH673">
            <v>17738.13</v>
          </cell>
          <cell r="AI673">
            <v>13465.18</v>
          </cell>
          <cell r="AO673" t="str">
            <v>Paid</v>
          </cell>
          <cell r="AP673" t="str">
            <v>Completed</v>
          </cell>
        </row>
        <row r="674">
          <cell r="A674" t="str">
            <v>ORD-2024-10673</v>
          </cell>
          <cell r="B674" t="str">
            <v>2024-09-04</v>
          </cell>
          <cell r="D674" t="str">
            <v>2024-09-05</v>
          </cell>
          <cell r="F674" t="str">
            <v>Valid</v>
          </cell>
          <cell r="H674" t="str">
            <v>Valid</v>
          </cell>
          <cell r="N674" t="str">
            <v>West</v>
          </cell>
          <cell r="V674" t="str">
            <v>Standard Class</v>
          </cell>
          <cell r="Z674">
            <v>0.05</v>
          </cell>
          <cell r="AB674" t="str">
            <v>Valid</v>
          </cell>
          <cell r="AC674">
            <v>12010.52</v>
          </cell>
          <cell r="AE674">
            <v>12010.5175</v>
          </cell>
          <cell r="AH674">
            <v>7864.61</v>
          </cell>
          <cell r="AI674">
            <v>4145.91</v>
          </cell>
          <cell r="AO674" t="str">
            <v>Paid</v>
          </cell>
          <cell r="AP674" t="str">
            <v>Returned</v>
          </cell>
        </row>
        <row r="675">
          <cell r="A675" t="str">
            <v>ORD-2025-10674</v>
          </cell>
          <cell r="B675" t="str">
            <v>2025-02-13</v>
          </cell>
          <cell r="D675" t="str">
            <v>16 Feb 2025</v>
          </cell>
          <cell r="F675" t="str">
            <v>Valid</v>
          </cell>
          <cell r="H675" t="str">
            <v>Valid</v>
          </cell>
          <cell r="N675" t="str">
            <v>West</v>
          </cell>
          <cell r="V675" t="str">
            <v>Second Class</v>
          </cell>
          <cell r="Z675">
            <v>0.15</v>
          </cell>
          <cell r="AB675" t="str">
            <v>Valid</v>
          </cell>
          <cell r="AC675">
            <v>13847.86</v>
          </cell>
          <cell r="AE675">
            <v>13847.86</v>
          </cell>
          <cell r="AH675">
            <v>8471.7800000000007</v>
          </cell>
          <cell r="AI675">
            <v>5376.08</v>
          </cell>
          <cell r="AO675" t="str">
            <v>Paid</v>
          </cell>
          <cell r="AP675" t="str">
            <v>Completed</v>
          </cell>
        </row>
        <row r="676">
          <cell r="A676" t="str">
            <v>ORD-2024-10675</v>
          </cell>
          <cell r="B676" t="str">
            <v>2024-05-18</v>
          </cell>
          <cell r="D676" t="str">
            <v>2024-05-21</v>
          </cell>
          <cell r="F676" t="str">
            <v>Valid</v>
          </cell>
          <cell r="H676" t="str">
            <v>Valid</v>
          </cell>
          <cell r="N676" t="str">
            <v>East</v>
          </cell>
          <cell r="V676" t="str">
            <v>Second Class</v>
          </cell>
          <cell r="Z676">
            <v>0</v>
          </cell>
          <cell r="AB676" t="str">
            <v>Valid</v>
          </cell>
          <cell r="AC676">
            <v>1033.71</v>
          </cell>
          <cell r="AE676">
            <v>1033.71</v>
          </cell>
          <cell r="AH676">
            <v>630.82000000000005</v>
          </cell>
          <cell r="AI676">
            <v>402.89</v>
          </cell>
          <cell r="AO676" t="str">
            <v>Pending</v>
          </cell>
          <cell r="AP676" t="str">
            <v>Returned</v>
          </cell>
        </row>
        <row r="677">
          <cell r="A677" t="str">
            <v>ORD-2025-10676</v>
          </cell>
          <cell r="B677" t="str">
            <v>07-06-2025</v>
          </cell>
          <cell r="D677" t="str">
            <v>06/10/2025</v>
          </cell>
          <cell r="F677" t="str">
            <v>Valid</v>
          </cell>
          <cell r="H677" t="str">
            <v>Valid</v>
          </cell>
          <cell r="N677" t="str">
            <v>North</v>
          </cell>
          <cell r="V677" t="str">
            <v>Same Day</v>
          </cell>
          <cell r="Z677">
            <v>0</v>
          </cell>
          <cell r="AB677" t="str">
            <v>Valid</v>
          </cell>
          <cell r="AC677">
            <v>2889.78</v>
          </cell>
          <cell r="AE677">
            <v>2889.7799999999997</v>
          </cell>
          <cell r="AH677">
            <v>1811.23</v>
          </cell>
          <cell r="AI677">
            <v>1078.55</v>
          </cell>
          <cell r="AO677" t="str">
            <v>Paid</v>
          </cell>
          <cell r="AP677" t="str">
            <v>Completed</v>
          </cell>
        </row>
        <row r="678">
          <cell r="A678" t="str">
            <v>ORD-2025-10677</v>
          </cell>
          <cell r="B678" t="str">
            <v>09/11/2025</v>
          </cell>
          <cell r="D678" t="str">
            <v>09/18/2025</v>
          </cell>
          <cell r="F678" t="str">
            <v>Valid</v>
          </cell>
          <cell r="H678" t="str">
            <v>Valid</v>
          </cell>
          <cell r="N678" t="str">
            <v>North</v>
          </cell>
          <cell r="V678" t="str">
            <v>Same Day</v>
          </cell>
          <cell r="Z678">
            <v>0.15</v>
          </cell>
          <cell r="AB678" t="str">
            <v>Valid</v>
          </cell>
          <cell r="AC678">
            <v>20296.7</v>
          </cell>
          <cell r="AE678">
            <v>20296.699499999999</v>
          </cell>
          <cell r="AH678">
            <v>14920.87</v>
          </cell>
          <cell r="AI678">
            <v>5375.83</v>
          </cell>
          <cell r="AO678" t="str">
            <v>Paid</v>
          </cell>
          <cell r="AP678" t="str">
            <v>Completed</v>
          </cell>
        </row>
        <row r="679">
          <cell r="A679" t="str">
            <v>ORD-2024-10678</v>
          </cell>
          <cell r="B679" t="str">
            <v>2024-06-22</v>
          </cell>
          <cell r="D679" t="str">
            <v>27-06-2024</v>
          </cell>
          <cell r="F679" t="str">
            <v>Valid</v>
          </cell>
          <cell r="H679" t="str">
            <v>Valid</v>
          </cell>
          <cell r="N679" t="str">
            <v>South</v>
          </cell>
          <cell r="V679" t="str">
            <v>Same Day</v>
          </cell>
          <cell r="Z679">
            <v>0</v>
          </cell>
          <cell r="AB679" t="str">
            <v>Valid</v>
          </cell>
          <cell r="AC679">
            <v>18364.36</v>
          </cell>
          <cell r="AE679">
            <v>18364.36</v>
          </cell>
          <cell r="AH679">
            <v>15445.81</v>
          </cell>
          <cell r="AI679">
            <v>2918.55</v>
          </cell>
          <cell r="AO679" t="str">
            <v>Paid</v>
          </cell>
          <cell r="AP679" t="str">
            <v>Completed</v>
          </cell>
        </row>
        <row r="680">
          <cell r="A680" t="str">
            <v>ORD-2024-10679</v>
          </cell>
          <cell r="B680" t="str">
            <v>24-11-2024</v>
          </cell>
          <cell r="D680" t="str">
            <v>12/01/2024</v>
          </cell>
          <cell r="F680" t="str">
            <v>Valid</v>
          </cell>
          <cell r="H680" t="str">
            <v>Valid</v>
          </cell>
          <cell r="N680" t="str">
            <v>South</v>
          </cell>
          <cell r="V680" t="str">
            <v>Second Class</v>
          </cell>
          <cell r="Z680">
            <v>0.15</v>
          </cell>
          <cell r="AB680" t="str">
            <v>Valid</v>
          </cell>
          <cell r="AC680">
            <v>21141.62</v>
          </cell>
          <cell r="AE680">
            <v>21141.6165</v>
          </cell>
          <cell r="AH680">
            <v>11676.33</v>
          </cell>
          <cell r="AI680">
            <v>9465.2900000000009</v>
          </cell>
          <cell r="AO680" t="str">
            <v>Paid</v>
          </cell>
          <cell r="AP680" t="str">
            <v>Completed</v>
          </cell>
        </row>
        <row r="681">
          <cell r="A681" t="str">
            <v>ORD-2025-10680</v>
          </cell>
          <cell r="B681" t="str">
            <v>16-08-2025</v>
          </cell>
          <cell r="D681" t="str">
            <v>23-08-2025</v>
          </cell>
          <cell r="F681" t="str">
            <v>Valid</v>
          </cell>
          <cell r="H681" t="str">
            <v>Valid</v>
          </cell>
          <cell r="N681" t="str">
            <v>North</v>
          </cell>
          <cell r="V681" t="str">
            <v>Same Day</v>
          </cell>
          <cell r="Z681" t="str">
            <v>70%</v>
          </cell>
          <cell r="AB681" t="str">
            <v>Invalid - Discount Above Limit</v>
          </cell>
          <cell r="AC681">
            <v>5360.17</v>
          </cell>
          <cell r="AE681">
            <v>1692.6840000000002</v>
          </cell>
          <cell r="AH681">
            <v>3881.51</v>
          </cell>
          <cell r="AI681">
            <v>1478.66</v>
          </cell>
          <cell r="AO681" t="str">
            <v>Refunded</v>
          </cell>
          <cell r="AP681" t="str">
            <v>Cancelled</v>
          </cell>
        </row>
        <row r="682">
          <cell r="A682" t="str">
            <v>ORD-2024-10681</v>
          </cell>
          <cell r="B682" t="str">
            <v>29 May 2024</v>
          </cell>
          <cell r="D682" t="str">
            <v>05 Jun 2024</v>
          </cell>
          <cell r="F682" t="str">
            <v>Valid</v>
          </cell>
          <cell r="H682" t="str">
            <v>Valid</v>
          </cell>
          <cell r="N682" t="str">
            <v>South</v>
          </cell>
          <cell r="V682" t="str">
            <v>First Class</v>
          </cell>
          <cell r="Z682">
            <v>0</v>
          </cell>
          <cell r="AB682" t="str">
            <v>Valid</v>
          </cell>
          <cell r="AC682">
            <v>14800.96</v>
          </cell>
          <cell r="AE682">
            <v>14800.96</v>
          </cell>
          <cell r="AH682">
            <v>12048.39</v>
          </cell>
          <cell r="AI682">
            <v>2752.57</v>
          </cell>
          <cell r="AO682" t="str">
            <v>Paid</v>
          </cell>
          <cell r="AP682" t="str">
            <v>Completed</v>
          </cell>
        </row>
        <row r="683">
          <cell r="A683" t="str">
            <v>ORD-2024-10682</v>
          </cell>
          <cell r="B683" t="str">
            <v>07/04/2024</v>
          </cell>
          <cell r="D683" t="str">
            <v>2024-07-10</v>
          </cell>
          <cell r="F683" t="str">
            <v>Valid</v>
          </cell>
          <cell r="H683" t="str">
            <v>Valid</v>
          </cell>
          <cell r="N683" t="str">
            <v>North</v>
          </cell>
          <cell r="V683" t="str">
            <v>Second Class</v>
          </cell>
          <cell r="Z683">
            <v>0</v>
          </cell>
          <cell r="AB683" t="str">
            <v>Valid</v>
          </cell>
          <cell r="AC683">
            <v>6001.35</v>
          </cell>
          <cell r="AE683">
            <v>6001.35</v>
          </cell>
          <cell r="AH683">
            <v>4182.99</v>
          </cell>
          <cell r="AI683">
            <v>1818.36</v>
          </cell>
          <cell r="AO683" t="str">
            <v>Paid</v>
          </cell>
          <cell r="AP683" t="str">
            <v>Cancelled</v>
          </cell>
        </row>
        <row r="684">
          <cell r="A684" t="str">
            <v>ORD-2025-10683</v>
          </cell>
          <cell r="B684" t="str">
            <v>05 Feb 2025</v>
          </cell>
          <cell r="D684" t="str">
            <v>05-02-2025</v>
          </cell>
          <cell r="F684" t="str">
            <v>Valid</v>
          </cell>
          <cell r="H684" t="str">
            <v>Valid</v>
          </cell>
          <cell r="N684" t="str">
            <v>North</v>
          </cell>
          <cell r="V684" t="str">
            <v>Same Day</v>
          </cell>
          <cell r="AB684" t="str">
            <v>Valid</v>
          </cell>
          <cell r="AC684">
            <v>7383.72</v>
          </cell>
          <cell r="AE684">
            <v>7772.34</v>
          </cell>
          <cell r="AH684">
            <v>4113.66</v>
          </cell>
          <cell r="AI684">
            <v>3270.06</v>
          </cell>
          <cell r="AO684" t="str">
            <v>Paid</v>
          </cell>
          <cell r="AP684" t="str">
            <v>Completed</v>
          </cell>
        </row>
        <row r="685">
          <cell r="A685" t="str">
            <v>ORD-2025-10684</v>
          </cell>
          <cell r="B685" t="str">
            <v>2025-07-20</v>
          </cell>
          <cell r="D685" t="str">
            <v>24-07-2025</v>
          </cell>
          <cell r="F685" t="str">
            <v>Valid</v>
          </cell>
          <cell r="H685" t="str">
            <v>Valid</v>
          </cell>
          <cell r="N685" t="str">
            <v>South</v>
          </cell>
          <cell r="V685" t="str">
            <v>Second Class</v>
          </cell>
          <cell r="Z685">
            <v>0.2</v>
          </cell>
          <cell r="AB685" t="str">
            <v>Valid</v>
          </cell>
          <cell r="AC685">
            <v>7902.96</v>
          </cell>
          <cell r="AE685">
            <v>7902.9600000000009</v>
          </cell>
          <cell r="AH685">
            <v>5512.03</v>
          </cell>
          <cell r="AI685">
            <v>2390.9299999999998</v>
          </cell>
          <cell r="AO685" t="str">
            <v>Refunded</v>
          </cell>
          <cell r="AP685" t="str">
            <v>Cancelled</v>
          </cell>
        </row>
        <row r="686">
          <cell r="A686" t="str">
            <v>ORD-2025-10685</v>
          </cell>
          <cell r="B686" t="str">
            <v>2025-07-21</v>
          </cell>
          <cell r="D686" t="str">
            <v>21-07-2025</v>
          </cell>
          <cell r="F686" t="str">
            <v>Valid</v>
          </cell>
          <cell r="H686" t="str">
            <v>Valid</v>
          </cell>
          <cell r="N686" t="str">
            <v>South</v>
          </cell>
          <cell r="V686" t="str">
            <v>First Class</v>
          </cell>
          <cell r="Z686">
            <v>0.2</v>
          </cell>
          <cell r="AB686" t="str">
            <v>Valid</v>
          </cell>
          <cell r="AC686">
            <v>24621.24</v>
          </cell>
          <cell r="AE686">
            <v>24621.239999999998</v>
          </cell>
          <cell r="AH686">
            <v>17155.48</v>
          </cell>
          <cell r="AI686">
            <v>7465.76</v>
          </cell>
          <cell r="AO686" t="str">
            <v>Refunded</v>
          </cell>
          <cell r="AP686" t="str">
            <v>Cancelled</v>
          </cell>
        </row>
        <row r="687">
          <cell r="A687" t="str">
            <v>ORD-2025-10686</v>
          </cell>
          <cell r="B687" t="str">
            <v>01 Oct 2025</v>
          </cell>
          <cell r="D687" t="str">
            <v>2025-10-03</v>
          </cell>
          <cell r="F687" t="str">
            <v>Valid</v>
          </cell>
          <cell r="H687" t="str">
            <v>Valid</v>
          </cell>
          <cell r="N687" t="str">
            <v>West</v>
          </cell>
          <cell r="V687" t="str">
            <v>Standard Class</v>
          </cell>
          <cell r="Z687">
            <v>0.55000000000000004</v>
          </cell>
          <cell r="AB687" t="str">
            <v>Valid</v>
          </cell>
          <cell r="AC687">
            <v>6627.01</v>
          </cell>
          <cell r="AE687">
            <v>3313.5074999999993</v>
          </cell>
          <cell r="AH687">
            <v>5606.79</v>
          </cell>
          <cell r="AI687">
            <v>1020.22</v>
          </cell>
          <cell r="AO687" t="str">
            <v>Failed</v>
          </cell>
          <cell r="AP687" t="str">
            <v>Cancelled</v>
          </cell>
        </row>
        <row r="688">
          <cell r="A688" t="str">
            <v>ORD-2024-10687</v>
          </cell>
          <cell r="B688" t="str">
            <v>25-03-2024</v>
          </cell>
          <cell r="D688" t="str">
            <v>04/02/2024</v>
          </cell>
          <cell r="F688" t="str">
            <v>Valid</v>
          </cell>
          <cell r="H688" t="str">
            <v>Valid</v>
          </cell>
          <cell r="N688" t="str">
            <v>South</v>
          </cell>
          <cell r="V688" t="str">
            <v>Standard Class</v>
          </cell>
          <cell r="Z688">
            <v>0</v>
          </cell>
          <cell r="AB688" t="str">
            <v>Valid</v>
          </cell>
          <cell r="AC688">
            <v>4698.26</v>
          </cell>
          <cell r="AE688">
            <v>4698.26</v>
          </cell>
          <cell r="AH688">
            <v>2654.92</v>
          </cell>
          <cell r="AI688">
            <v>2043.34</v>
          </cell>
          <cell r="AO688" t="str">
            <v>Paid</v>
          </cell>
          <cell r="AP688" t="str">
            <v>Completed</v>
          </cell>
        </row>
        <row r="689">
          <cell r="A689" t="str">
            <v>ORD-2025-10688</v>
          </cell>
          <cell r="B689" t="str">
            <v>08 Oct 2025</v>
          </cell>
          <cell r="D689" t="str">
            <v>13-10-2025</v>
          </cell>
          <cell r="F689" t="str">
            <v>Valid</v>
          </cell>
          <cell r="H689" t="str">
            <v>Valid</v>
          </cell>
          <cell r="N689" t="str">
            <v>North</v>
          </cell>
          <cell r="V689" t="str">
            <v>First Class</v>
          </cell>
          <cell r="Z689">
            <v>0</v>
          </cell>
          <cell r="AB689" t="str">
            <v>Valid</v>
          </cell>
          <cell r="AC689">
            <v>688.2</v>
          </cell>
          <cell r="AE689">
            <v>688.2</v>
          </cell>
          <cell r="AH689">
            <v>497.68</v>
          </cell>
          <cell r="AI689">
            <v>190.52</v>
          </cell>
          <cell r="AO689" t="str">
            <v>Failed</v>
          </cell>
          <cell r="AP689" t="str">
            <v>Cancelled</v>
          </cell>
        </row>
        <row r="690">
          <cell r="A690" t="str">
            <v>ORD-2025-10689</v>
          </cell>
          <cell r="B690" t="str">
            <v>26 Feb 2025</v>
          </cell>
          <cell r="D690" t="str">
            <v>27 Feb 2025</v>
          </cell>
          <cell r="F690" t="str">
            <v>Valid</v>
          </cell>
          <cell r="H690" t="str">
            <v>Valid</v>
          </cell>
          <cell r="N690" t="str">
            <v>North</v>
          </cell>
          <cell r="V690" t="str">
            <v>Second Class</v>
          </cell>
          <cell r="Z690">
            <v>0.15</v>
          </cell>
          <cell r="AB690" t="str">
            <v>Valid</v>
          </cell>
          <cell r="AC690">
            <v>15492.07</v>
          </cell>
          <cell r="AE690">
            <v>15492.065999999999</v>
          </cell>
          <cell r="AH690">
            <v>12581.23</v>
          </cell>
          <cell r="AI690">
            <v>2910.84</v>
          </cell>
          <cell r="AO690" t="str">
            <v>Paid</v>
          </cell>
          <cell r="AP690" t="str">
            <v>Completed</v>
          </cell>
        </row>
        <row r="691">
          <cell r="A691" t="str">
            <v>ORD-2024-10690</v>
          </cell>
          <cell r="B691" t="str">
            <v>05-10-2024</v>
          </cell>
          <cell r="D691" t="str">
            <v>06 Oct 2024</v>
          </cell>
          <cell r="F691" t="str">
            <v>Valid</v>
          </cell>
          <cell r="H691" t="str">
            <v>Valid</v>
          </cell>
          <cell r="N691" t="str">
            <v>North</v>
          </cell>
          <cell r="V691" t="str">
            <v>Standard Class</v>
          </cell>
          <cell r="Z691">
            <v>0.15</v>
          </cell>
          <cell r="AB691" t="str">
            <v>Valid</v>
          </cell>
          <cell r="AC691">
            <v>3745.29</v>
          </cell>
          <cell r="AE691">
            <v>3745.2870000000003</v>
          </cell>
          <cell r="AH691">
            <v>2302.65</v>
          </cell>
          <cell r="AI691">
            <v>1442.64</v>
          </cell>
          <cell r="AO691" t="str">
            <v>Failed</v>
          </cell>
          <cell r="AP691" t="str">
            <v>Cancelled</v>
          </cell>
        </row>
        <row r="692">
          <cell r="A692" t="str">
            <v>ORD-2024-10691</v>
          </cell>
          <cell r="B692" t="str">
            <v>09/11/2024</v>
          </cell>
          <cell r="D692" t="str">
            <v>2024-09-15</v>
          </cell>
          <cell r="F692" t="str">
            <v>Valid</v>
          </cell>
          <cell r="H692" t="str">
            <v>Valid</v>
          </cell>
          <cell r="N692" t="str">
            <v>South</v>
          </cell>
          <cell r="V692" t="str">
            <v>Standard Class</v>
          </cell>
          <cell r="Z692">
            <v>0</v>
          </cell>
          <cell r="AB692" t="str">
            <v>Valid</v>
          </cell>
          <cell r="AC692">
            <v>3462.52</v>
          </cell>
          <cell r="AE692">
            <v>3462.52</v>
          </cell>
          <cell r="AH692">
            <v>2797.29</v>
          </cell>
          <cell r="AI692">
            <v>665.23</v>
          </cell>
          <cell r="AO692" t="str">
            <v>Failed</v>
          </cell>
          <cell r="AP692" t="str">
            <v>Returned</v>
          </cell>
        </row>
        <row r="693">
          <cell r="A693" t="str">
            <v>ORD-2024-10692</v>
          </cell>
          <cell r="B693" t="str">
            <v>15-12-2024</v>
          </cell>
          <cell r="D693" t="str">
            <v>16-12-2024</v>
          </cell>
          <cell r="F693" t="str">
            <v>Valid</v>
          </cell>
          <cell r="H693" t="str">
            <v>Valid</v>
          </cell>
          <cell r="N693" t="str">
            <v>East</v>
          </cell>
          <cell r="V693" t="str">
            <v>Second Class</v>
          </cell>
          <cell r="Z693">
            <v>0.05</v>
          </cell>
          <cell r="AB693" t="str">
            <v>Valid</v>
          </cell>
          <cell r="AC693">
            <v>8767.17</v>
          </cell>
          <cell r="AE693">
            <v>8767.1699999999983</v>
          </cell>
          <cell r="AH693">
            <v>5098.2</v>
          </cell>
          <cell r="AI693">
            <v>3668.97</v>
          </cell>
          <cell r="AO693" t="str">
            <v>Paid</v>
          </cell>
          <cell r="AP693" t="str">
            <v>Completed</v>
          </cell>
        </row>
        <row r="694">
          <cell r="A694" t="str">
            <v>ORD-2025-10693</v>
          </cell>
          <cell r="B694" t="str">
            <v>05-10-2025</v>
          </cell>
          <cell r="D694" t="str">
            <v>10-10-2025</v>
          </cell>
          <cell r="F694" t="str">
            <v>Valid</v>
          </cell>
          <cell r="H694" t="str">
            <v>Valid</v>
          </cell>
          <cell r="N694" t="str">
            <v>South</v>
          </cell>
          <cell r="V694" t="str">
            <v>Second Class</v>
          </cell>
          <cell r="Z694">
            <v>0.1</v>
          </cell>
          <cell r="AB694" t="str">
            <v>Valid</v>
          </cell>
          <cell r="AC694">
            <v>8516.4500000000007</v>
          </cell>
          <cell r="AE694">
            <v>8516.4480000000003</v>
          </cell>
          <cell r="AH694">
            <v>5903.81</v>
          </cell>
          <cell r="AI694">
            <v>2612.64</v>
          </cell>
          <cell r="AO694" t="str">
            <v>Paid</v>
          </cell>
          <cell r="AP694" t="str">
            <v>Completed</v>
          </cell>
        </row>
        <row r="695">
          <cell r="A695" t="str">
            <v>ORD-2025-10694</v>
          </cell>
          <cell r="B695" t="str">
            <v>03-04-2025</v>
          </cell>
          <cell r="D695" t="str">
            <v>2025-04-11</v>
          </cell>
          <cell r="F695" t="str">
            <v>Valid</v>
          </cell>
          <cell r="H695" t="str">
            <v>Valid</v>
          </cell>
          <cell r="N695" t="str">
            <v>South</v>
          </cell>
          <cell r="V695" t="str">
            <v>Second Class</v>
          </cell>
          <cell r="Z695">
            <v>0.05</v>
          </cell>
          <cell r="AB695" t="str">
            <v>Valid</v>
          </cell>
          <cell r="AC695">
            <v>11826.84</v>
          </cell>
          <cell r="AE695">
            <v>11826.844500000001</v>
          </cell>
          <cell r="AH695">
            <v>8035.96</v>
          </cell>
          <cell r="AI695">
            <v>3790.88</v>
          </cell>
          <cell r="AO695" t="str">
            <v>Paid</v>
          </cell>
          <cell r="AP695" t="str">
            <v>Completed</v>
          </cell>
        </row>
        <row r="696">
          <cell r="A696" t="str">
            <v>ORD-2025-10695</v>
          </cell>
          <cell r="B696" t="str">
            <v>01-08-2025</v>
          </cell>
          <cell r="D696" t="str">
            <v>09-08-2025</v>
          </cell>
          <cell r="F696" t="str">
            <v>Valid</v>
          </cell>
          <cell r="H696" t="str">
            <v>Valid</v>
          </cell>
          <cell r="N696" t="str">
            <v>South</v>
          </cell>
          <cell r="V696" t="str">
            <v>First Class</v>
          </cell>
          <cell r="Z696">
            <v>0.15</v>
          </cell>
          <cell r="AB696" t="str">
            <v>Valid</v>
          </cell>
          <cell r="AC696">
            <v>11629.02</v>
          </cell>
          <cell r="AE696">
            <v>11629.019999999999</v>
          </cell>
          <cell r="AH696">
            <v>9627.2099999999991</v>
          </cell>
          <cell r="AI696">
            <v>2001.81</v>
          </cell>
          <cell r="AO696" t="str">
            <v>Paid</v>
          </cell>
          <cell r="AP696" t="str">
            <v>Completed</v>
          </cell>
        </row>
        <row r="697">
          <cell r="A697" t="str">
            <v>ORD-2024-10696</v>
          </cell>
          <cell r="B697" t="str">
            <v>2024-07-01</v>
          </cell>
          <cell r="D697" t="str">
            <v>01-07-2024</v>
          </cell>
          <cell r="F697" t="str">
            <v>Valid</v>
          </cell>
          <cell r="H697" t="str">
            <v>Valid</v>
          </cell>
          <cell r="N697" t="str">
            <v>West</v>
          </cell>
          <cell r="V697" t="str">
            <v>Standard Class</v>
          </cell>
          <cell r="Z697">
            <v>0</v>
          </cell>
          <cell r="AB697" t="str">
            <v>Valid</v>
          </cell>
          <cell r="AC697">
            <v>1029.56</v>
          </cell>
          <cell r="AE697">
            <v>1029.56</v>
          </cell>
          <cell r="AH697">
            <v>626.33000000000004</v>
          </cell>
          <cell r="AI697">
            <v>403.23</v>
          </cell>
          <cell r="AO697" t="str">
            <v>Paid</v>
          </cell>
          <cell r="AP697" t="str">
            <v>Completed</v>
          </cell>
        </row>
        <row r="698">
          <cell r="A698" t="str">
            <v>ORD-2025-10697</v>
          </cell>
          <cell r="B698" t="str">
            <v>22 Sep 2025</v>
          </cell>
          <cell r="D698" t="str">
            <v>25 Sep 2025</v>
          </cell>
          <cell r="F698" t="str">
            <v>Valid</v>
          </cell>
          <cell r="H698" t="str">
            <v>Valid</v>
          </cell>
          <cell r="N698" t="str">
            <v>South</v>
          </cell>
          <cell r="Z698">
            <v>0.25</v>
          </cell>
          <cell r="AB698" t="str">
            <v>Valid</v>
          </cell>
          <cell r="AC698">
            <v>3536.52</v>
          </cell>
          <cell r="AE698">
            <v>3536.5199999999995</v>
          </cell>
          <cell r="AH698">
            <v>2102.41</v>
          </cell>
          <cell r="AI698">
            <v>1363.28</v>
          </cell>
          <cell r="AO698" t="str">
            <v>Paid</v>
          </cell>
          <cell r="AP698" t="str">
            <v>Completed</v>
          </cell>
        </row>
        <row r="699">
          <cell r="A699" t="str">
            <v>ORD-2025-10698</v>
          </cell>
          <cell r="B699" t="str">
            <v>03/01/2025</v>
          </cell>
          <cell r="D699" t="str">
            <v>07-03-2025</v>
          </cell>
          <cell r="F699" t="str">
            <v>Valid</v>
          </cell>
          <cell r="H699" t="str">
            <v>Valid</v>
          </cell>
          <cell r="N699" t="str">
            <v>South</v>
          </cell>
          <cell r="V699" t="str">
            <v>First Class</v>
          </cell>
          <cell r="AB699" t="str">
            <v>Valid</v>
          </cell>
          <cell r="AC699">
            <v>2977.54</v>
          </cell>
          <cell r="AE699">
            <v>3970.0499999999997</v>
          </cell>
          <cell r="AH699">
            <v>1849.3</v>
          </cell>
          <cell r="AI699">
            <v>1128.24</v>
          </cell>
          <cell r="AO699" t="str">
            <v>Refunded</v>
          </cell>
          <cell r="AP699" t="str">
            <v>Returned</v>
          </cell>
        </row>
        <row r="700">
          <cell r="A700" t="str">
            <v>ORD-2024-10699</v>
          </cell>
          <cell r="B700" t="str">
            <v>14-09-2024</v>
          </cell>
          <cell r="D700" t="str">
            <v>2024-09-14</v>
          </cell>
          <cell r="F700" t="str">
            <v>Valid</v>
          </cell>
          <cell r="H700" t="str">
            <v>Valid</v>
          </cell>
          <cell r="N700" t="str">
            <v>North</v>
          </cell>
          <cell r="V700" t="str">
            <v>Standard Class</v>
          </cell>
          <cell r="Z700">
            <v>0.15</v>
          </cell>
          <cell r="AB700" t="str">
            <v>Valid</v>
          </cell>
          <cell r="AC700">
            <v>28208.1</v>
          </cell>
          <cell r="AE700">
            <v>27755.287999999997</v>
          </cell>
          <cell r="AH700">
            <v>23751.91</v>
          </cell>
          <cell r="AI700">
            <v>4003.38</v>
          </cell>
          <cell r="AO700" t="str">
            <v>Paid</v>
          </cell>
          <cell r="AP700" t="str">
            <v>Returned</v>
          </cell>
        </row>
        <row r="701">
          <cell r="A701" t="str">
            <v>ORD-2024-10700</v>
          </cell>
          <cell r="B701" t="str">
            <v>2024-06-11</v>
          </cell>
          <cell r="D701" t="str">
            <v>11 Jun 2024</v>
          </cell>
          <cell r="F701" t="str">
            <v>Valid</v>
          </cell>
          <cell r="H701" t="str">
            <v>Valid</v>
          </cell>
          <cell r="N701" t="str">
            <v>South</v>
          </cell>
          <cell r="V701" t="str">
            <v>Standard Class</v>
          </cell>
          <cell r="Z701">
            <v>0.25</v>
          </cell>
          <cell r="AB701" t="str">
            <v>Valid</v>
          </cell>
          <cell r="AC701">
            <v>9450.74</v>
          </cell>
          <cell r="AE701">
            <v>9450.7425000000003</v>
          </cell>
          <cell r="AH701">
            <v>7798.56</v>
          </cell>
          <cell r="AI701">
            <v>1652.18</v>
          </cell>
          <cell r="AO701" t="str">
            <v>Paid</v>
          </cell>
          <cell r="AP701" t="str">
            <v>Completed</v>
          </cell>
        </row>
        <row r="702">
          <cell r="A702" t="str">
            <v>ORD-2024-10701</v>
          </cell>
          <cell r="B702" t="str">
            <v>18-09-2024</v>
          </cell>
          <cell r="D702" t="str">
            <v>09/21/2024</v>
          </cell>
          <cell r="F702" t="str">
            <v>Valid</v>
          </cell>
          <cell r="H702" t="str">
            <v>Valid</v>
          </cell>
          <cell r="N702" t="str">
            <v>East</v>
          </cell>
          <cell r="V702" t="str">
            <v>Standard Class</v>
          </cell>
          <cell r="Z702">
            <v>0.15</v>
          </cell>
          <cell r="AB702" t="str">
            <v>Valid</v>
          </cell>
          <cell r="AC702">
            <v>7792.55</v>
          </cell>
          <cell r="AE702">
            <v>7792.5450000000001</v>
          </cell>
          <cell r="AH702">
            <v>4691.7299999999996</v>
          </cell>
          <cell r="AI702">
            <v>3100.82</v>
          </cell>
          <cell r="AO702" t="str">
            <v>Paid</v>
          </cell>
          <cell r="AP702" t="str">
            <v>Completed</v>
          </cell>
        </row>
        <row r="703">
          <cell r="A703" t="str">
            <v>ORD-2024-10702</v>
          </cell>
          <cell r="B703" t="str">
            <v>30-04-2024</v>
          </cell>
          <cell r="D703" t="str">
            <v>04 May 2024</v>
          </cell>
          <cell r="F703" t="str">
            <v>Valid</v>
          </cell>
          <cell r="H703" t="str">
            <v>Valid</v>
          </cell>
          <cell r="N703" t="str">
            <v>West</v>
          </cell>
          <cell r="V703" t="str">
            <v>Same Day</v>
          </cell>
          <cell r="Z703">
            <v>0</v>
          </cell>
          <cell r="AB703" t="str">
            <v>Valid</v>
          </cell>
          <cell r="AC703">
            <v>8574.58</v>
          </cell>
          <cell r="AE703">
            <v>8574.58</v>
          </cell>
          <cell r="AH703">
            <v>6685.81</v>
          </cell>
          <cell r="AI703">
            <v>1888.77</v>
          </cell>
          <cell r="AO703" t="str">
            <v>Paid</v>
          </cell>
          <cell r="AP703" t="str">
            <v>Returned</v>
          </cell>
        </row>
        <row r="704">
          <cell r="A704" t="str">
            <v>ORD-2025-10703</v>
          </cell>
          <cell r="B704" t="str">
            <v>2025-02-02</v>
          </cell>
          <cell r="D704" t="str">
            <v>02/06/2025</v>
          </cell>
          <cell r="F704" t="str">
            <v>Valid</v>
          </cell>
          <cell r="H704" t="str">
            <v>Valid</v>
          </cell>
          <cell r="N704" t="str">
            <v>West</v>
          </cell>
          <cell r="V704" t="str">
            <v>Second Class</v>
          </cell>
          <cell r="Z704">
            <v>0.1</v>
          </cell>
          <cell r="AB704" t="str">
            <v>Valid</v>
          </cell>
          <cell r="AC704">
            <v>2692.82</v>
          </cell>
          <cell r="AE704">
            <v>2692.8180000000002</v>
          </cell>
          <cell r="AH704">
            <v>1820.08</v>
          </cell>
          <cell r="AI704">
            <v>872.74</v>
          </cell>
          <cell r="AO704" t="str">
            <v>Paid</v>
          </cell>
          <cell r="AP704" t="str">
            <v>Completed</v>
          </cell>
        </row>
        <row r="705">
          <cell r="A705" t="str">
            <v>ORD-2024-10704</v>
          </cell>
          <cell r="B705" t="str">
            <v>19 Oct 2024</v>
          </cell>
          <cell r="D705" t="str">
            <v>2024-10-20</v>
          </cell>
          <cell r="F705" t="str">
            <v>Valid</v>
          </cell>
          <cell r="H705" t="str">
            <v>Valid</v>
          </cell>
          <cell r="N705" t="str">
            <v>North</v>
          </cell>
          <cell r="V705" t="str">
            <v>First Class</v>
          </cell>
          <cell r="Z705">
            <v>0.1</v>
          </cell>
          <cell r="AB705" t="str">
            <v>Valid</v>
          </cell>
          <cell r="AC705">
            <v>1035.03</v>
          </cell>
          <cell r="AE705">
            <v>1035.027</v>
          </cell>
          <cell r="AH705">
            <v>854.35</v>
          </cell>
          <cell r="AI705">
            <v>180.68</v>
          </cell>
          <cell r="AO705" t="str">
            <v>Paid</v>
          </cell>
          <cell r="AP705" t="str">
            <v>Completed</v>
          </cell>
        </row>
        <row r="706">
          <cell r="A706" t="str">
            <v>ORD-2024-10705</v>
          </cell>
          <cell r="B706" t="str">
            <v>2024-03-13</v>
          </cell>
          <cell r="D706" t="str">
            <v>03/20/2024</v>
          </cell>
          <cell r="F706" t="str">
            <v>Valid</v>
          </cell>
          <cell r="H706" t="str">
            <v>Valid</v>
          </cell>
          <cell r="N706" t="str">
            <v>South</v>
          </cell>
          <cell r="Z706">
            <v>0.15</v>
          </cell>
          <cell r="AB706" t="str">
            <v>Valid</v>
          </cell>
          <cell r="AC706">
            <v>2401.79</v>
          </cell>
          <cell r="AE706">
            <v>2401.7855</v>
          </cell>
          <cell r="AH706">
            <v>1820.34</v>
          </cell>
          <cell r="AI706">
            <v>581.45000000000005</v>
          </cell>
          <cell r="AO706" t="str">
            <v>Paid</v>
          </cell>
          <cell r="AP706" t="str">
            <v>Completed</v>
          </cell>
        </row>
        <row r="707">
          <cell r="A707" t="str">
            <v>ORD-2024-10706</v>
          </cell>
          <cell r="B707" t="str">
            <v>08 Sep 2024</v>
          </cell>
          <cell r="D707" t="str">
            <v>09/14/2024</v>
          </cell>
          <cell r="F707" t="str">
            <v>Valid</v>
          </cell>
          <cell r="H707" t="str">
            <v>Valid</v>
          </cell>
          <cell r="N707" t="str">
            <v>North</v>
          </cell>
          <cell r="V707" t="str">
            <v>Standard Class</v>
          </cell>
          <cell r="Z707">
            <v>0.05</v>
          </cell>
          <cell r="AB707" t="str">
            <v>Valid</v>
          </cell>
          <cell r="AC707">
            <v>16015.81</v>
          </cell>
          <cell r="AE707">
            <v>16015.8125</v>
          </cell>
          <cell r="AH707">
            <v>11352.38</v>
          </cell>
          <cell r="AI707">
            <v>4663.43</v>
          </cell>
          <cell r="AO707" t="str">
            <v>Paid</v>
          </cell>
          <cell r="AP707" t="str">
            <v>Completed</v>
          </cell>
        </row>
        <row r="708">
          <cell r="A708" t="str">
            <v>ORD-2024-10707</v>
          </cell>
          <cell r="B708" t="str">
            <v>24-06-2024</v>
          </cell>
          <cell r="D708" t="str">
            <v>28-06-2024</v>
          </cell>
          <cell r="F708" t="str">
            <v>Valid</v>
          </cell>
          <cell r="H708" t="str">
            <v>Valid</v>
          </cell>
          <cell r="N708" t="str">
            <v>East</v>
          </cell>
          <cell r="V708" t="str">
            <v>Same Day</v>
          </cell>
          <cell r="Z708">
            <v>0.1</v>
          </cell>
          <cell r="AB708" t="str">
            <v>Valid</v>
          </cell>
          <cell r="AC708">
            <v>1901.48</v>
          </cell>
          <cell r="AE708">
            <v>1901.4750000000001</v>
          </cell>
          <cell r="AH708">
            <v>1354.28</v>
          </cell>
          <cell r="AI708">
            <v>547.20000000000005</v>
          </cell>
          <cell r="AO708" t="str">
            <v>Paid</v>
          </cell>
          <cell r="AP708" t="str">
            <v>Completed</v>
          </cell>
        </row>
        <row r="709">
          <cell r="A709" t="str">
            <v>ORD-2025-10708</v>
          </cell>
          <cell r="B709" t="str">
            <v>24-06-2025</v>
          </cell>
          <cell r="D709" t="str">
            <v>06/26/2025</v>
          </cell>
          <cell r="F709" t="str">
            <v>Valid</v>
          </cell>
          <cell r="H709" t="str">
            <v>Valid</v>
          </cell>
          <cell r="N709" t="str">
            <v>North</v>
          </cell>
          <cell r="V709" t="str">
            <v>Same Day</v>
          </cell>
          <cell r="Z709">
            <v>0.55000000000000004</v>
          </cell>
          <cell r="AB709" t="str">
            <v>Valid</v>
          </cell>
          <cell r="AC709">
            <v>16751.97</v>
          </cell>
          <cell r="AE709">
            <v>8375.9849999999988</v>
          </cell>
          <cell r="AH709">
            <v>11678.32</v>
          </cell>
          <cell r="AI709">
            <v>5073.6499999999996</v>
          </cell>
          <cell r="AO709" t="str">
            <v>Paid</v>
          </cell>
          <cell r="AP709" t="str">
            <v>Completed</v>
          </cell>
        </row>
        <row r="710">
          <cell r="A710" t="str">
            <v>ORD-2025-10709</v>
          </cell>
          <cell r="B710" t="str">
            <v>03/20/2025</v>
          </cell>
          <cell r="D710" t="str">
            <v>2025-03-26</v>
          </cell>
          <cell r="F710" t="str">
            <v>Valid</v>
          </cell>
          <cell r="H710" t="str">
            <v>Valid</v>
          </cell>
          <cell r="N710" t="str">
            <v>East</v>
          </cell>
          <cell r="V710" t="str">
            <v>First Class</v>
          </cell>
          <cell r="Z710">
            <v>0.05</v>
          </cell>
          <cell r="AB710" t="str">
            <v>Valid</v>
          </cell>
          <cell r="AC710">
            <v>16559.11</v>
          </cell>
          <cell r="AE710">
            <v>16559.108</v>
          </cell>
          <cell r="AH710">
            <v>13233.79</v>
          </cell>
          <cell r="AI710">
            <v>3325.32</v>
          </cell>
          <cell r="AO710" t="str">
            <v>Paid</v>
          </cell>
          <cell r="AP710" t="str">
            <v>Completed</v>
          </cell>
        </row>
        <row r="711">
          <cell r="A711" t="str">
            <v>ORD-2025-10710</v>
          </cell>
          <cell r="B711" t="str">
            <v>19 Jan 2025</v>
          </cell>
          <cell r="D711" t="str">
            <v>23 Jan 2025</v>
          </cell>
          <cell r="F711" t="str">
            <v>Valid</v>
          </cell>
          <cell r="H711" t="str">
            <v>Valid</v>
          </cell>
          <cell r="N711" t="str">
            <v>North</v>
          </cell>
          <cell r="V711" t="str">
            <v>Same Day</v>
          </cell>
          <cell r="Z711">
            <v>0.15</v>
          </cell>
          <cell r="AB711" t="str">
            <v>Valid</v>
          </cell>
          <cell r="AC711">
            <v>8110.09</v>
          </cell>
          <cell r="AE711">
            <v>8110.0879999999988</v>
          </cell>
          <cell r="AH711">
            <v>6417.32</v>
          </cell>
          <cell r="AI711">
            <v>1692.77</v>
          </cell>
          <cell r="AO711" t="str">
            <v>Paid</v>
          </cell>
          <cell r="AP711" t="str">
            <v>Cancelled</v>
          </cell>
        </row>
        <row r="712">
          <cell r="A712" t="str">
            <v>ORD-2024-10711</v>
          </cell>
          <cell r="B712" t="str">
            <v>07/12/2024</v>
          </cell>
          <cell r="D712" t="str">
            <v>07/19/2024</v>
          </cell>
          <cell r="F712" t="str">
            <v>Valid</v>
          </cell>
          <cell r="H712" t="str">
            <v>Valid</v>
          </cell>
          <cell r="N712" t="str">
            <v>North</v>
          </cell>
          <cell r="V712" t="str">
            <v>Second Class</v>
          </cell>
          <cell r="Z712">
            <v>0.05</v>
          </cell>
          <cell r="AB712" t="str">
            <v>Valid</v>
          </cell>
          <cell r="AC712">
            <v>7406.01</v>
          </cell>
          <cell r="AE712">
            <v>7406.01</v>
          </cell>
          <cell r="AH712">
            <v>5941.74</v>
          </cell>
          <cell r="AI712">
            <v>1464.27</v>
          </cell>
          <cell r="AO712" t="str">
            <v>Paid</v>
          </cell>
          <cell r="AP712" t="str">
            <v>Completed</v>
          </cell>
        </row>
        <row r="713">
          <cell r="A713" t="str">
            <v>ORD-2025-10712</v>
          </cell>
          <cell r="B713" t="str">
            <v>02-02-2025</v>
          </cell>
          <cell r="D713" t="str">
            <v>2025-02-02</v>
          </cell>
          <cell r="F713" t="str">
            <v>Valid</v>
          </cell>
          <cell r="H713" t="str">
            <v>Valid</v>
          </cell>
          <cell r="N713" t="str">
            <v>East</v>
          </cell>
          <cell r="V713" t="str">
            <v>First Class</v>
          </cell>
          <cell r="Z713">
            <v>0.05</v>
          </cell>
          <cell r="AB713" t="str">
            <v>Valid</v>
          </cell>
          <cell r="AC713">
            <v>4110.41</v>
          </cell>
          <cell r="AE713">
            <v>4110.4124999999995</v>
          </cell>
          <cell r="AH713">
            <v>2394.14</v>
          </cell>
          <cell r="AI713">
            <v>1716.27</v>
          </cell>
          <cell r="AO713" t="str">
            <v>Pending</v>
          </cell>
          <cell r="AP713" t="str">
            <v>Returned</v>
          </cell>
        </row>
        <row r="714">
          <cell r="A714" t="str">
            <v>ORD-2024-10713</v>
          </cell>
          <cell r="B714" t="str">
            <v>10 Feb 2024</v>
          </cell>
          <cell r="D714" t="str">
            <v>18 Feb 2024</v>
          </cell>
          <cell r="F714" t="str">
            <v>Valid</v>
          </cell>
          <cell r="H714" t="str">
            <v>Valid</v>
          </cell>
          <cell r="N714" t="str">
            <v>West</v>
          </cell>
          <cell r="V714" t="str">
            <v>First Class</v>
          </cell>
          <cell r="Z714">
            <v>0</v>
          </cell>
          <cell r="AB714" t="str">
            <v>Valid</v>
          </cell>
          <cell r="AC714">
            <v>9680.02</v>
          </cell>
          <cell r="AE714">
            <v>9680.0199999999986</v>
          </cell>
          <cell r="AH714">
            <v>6876.66</v>
          </cell>
          <cell r="AI714">
            <v>2803.36</v>
          </cell>
          <cell r="AO714" t="str">
            <v>Paid</v>
          </cell>
          <cell r="AP714" t="str">
            <v>Completed</v>
          </cell>
        </row>
        <row r="715">
          <cell r="A715" t="str">
            <v>ORD-2025-10714</v>
          </cell>
          <cell r="B715" t="str">
            <v>06/06/2025</v>
          </cell>
          <cell r="D715" t="str">
            <v>06/10/2025</v>
          </cell>
          <cell r="F715" t="str">
            <v>Valid</v>
          </cell>
          <cell r="H715" t="str">
            <v>Valid</v>
          </cell>
          <cell r="N715" t="str">
            <v>West</v>
          </cell>
          <cell r="V715" t="str">
            <v>Second Class</v>
          </cell>
          <cell r="Z715">
            <v>0.25</v>
          </cell>
          <cell r="AB715" t="str">
            <v>Valid</v>
          </cell>
          <cell r="AC715">
            <v>217.48</v>
          </cell>
          <cell r="AE715">
            <v>217.47750000000002</v>
          </cell>
          <cell r="AH715">
            <v>132.13</v>
          </cell>
          <cell r="AI715">
            <v>85.35</v>
          </cell>
          <cell r="AO715" t="str">
            <v>Paid</v>
          </cell>
          <cell r="AP715" t="str">
            <v>Completed</v>
          </cell>
        </row>
        <row r="716">
          <cell r="A716" t="str">
            <v>ORD-2025-10715</v>
          </cell>
          <cell r="B716" t="str">
            <v>22 Mar 2025</v>
          </cell>
          <cell r="D716" t="str">
            <v>2025-03-23</v>
          </cell>
          <cell r="F716" t="str">
            <v>Valid</v>
          </cell>
          <cell r="H716" t="str">
            <v>Valid</v>
          </cell>
          <cell r="N716" t="str">
            <v>North</v>
          </cell>
          <cell r="V716" t="str">
            <v>Standard Class</v>
          </cell>
          <cell r="Z716">
            <v>0</v>
          </cell>
          <cell r="AB716" t="str">
            <v>Valid</v>
          </cell>
          <cell r="AC716">
            <v>18675.18</v>
          </cell>
          <cell r="AE716">
            <v>18675.18</v>
          </cell>
          <cell r="AH716">
            <v>13974.7</v>
          </cell>
          <cell r="AI716">
            <v>4700.4799999999996</v>
          </cell>
          <cell r="AO716" t="str">
            <v>Paid</v>
          </cell>
          <cell r="AP716" t="str">
            <v>Completed</v>
          </cell>
        </row>
        <row r="717">
          <cell r="A717" t="str">
            <v>ORD-2025-10716</v>
          </cell>
          <cell r="B717" t="str">
            <v>2025-08-22</v>
          </cell>
          <cell r="D717" t="str">
            <v>27 Aug 2025</v>
          </cell>
          <cell r="F717" t="str">
            <v>Valid</v>
          </cell>
          <cell r="H717" t="str">
            <v>Valid</v>
          </cell>
          <cell r="N717" t="str">
            <v>North</v>
          </cell>
          <cell r="V717" t="str">
            <v>Second Class</v>
          </cell>
          <cell r="Z717">
            <v>0</v>
          </cell>
          <cell r="AB717" t="str">
            <v>Valid</v>
          </cell>
          <cell r="AC717">
            <v>19901.63</v>
          </cell>
          <cell r="AE717">
            <v>19901.63</v>
          </cell>
          <cell r="AH717">
            <v>15492.03</v>
          </cell>
          <cell r="AI717">
            <v>4409.6000000000004</v>
          </cell>
          <cell r="AO717" t="str">
            <v>Refunded</v>
          </cell>
          <cell r="AP717" t="str">
            <v>Cancelled</v>
          </cell>
        </row>
        <row r="718">
          <cell r="A718" t="str">
            <v>ORD-2025-10717</v>
          </cell>
          <cell r="B718" t="str">
            <v>26 Aug 2025</v>
          </cell>
          <cell r="D718" t="str">
            <v>31-08-2025</v>
          </cell>
          <cell r="F718" t="str">
            <v>Valid</v>
          </cell>
          <cell r="H718" t="str">
            <v>Valid</v>
          </cell>
          <cell r="N718" t="str">
            <v>North</v>
          </cell>
          <cell r="V718" t="str">
            <v>First Class</v>
          </cell>
          <cell r="Z718">
            <v>0.15</v>
          </cell>
          <cell r="AB718" t="str">
            <v>Valid</v>
          </cell>
          <cell r="AC718">
            <v>2879.82</v>
          </cell>
          <cell r="AE718">
            <v>2879.817</v>
          </cell>
          <cell r="AH718">
            <v>1824.88</v>
          </cell>
          <cell r="AI718">
            <v>1054.94</v>
          </cell>
          <cell r="AO718" t="str">
            <v>Paid</v>
          </cell>
          <cell r="AP718" t="str">
            <v>Completed</v>
          </cell>
        </row>
        <row r="719">
          <cell r="A719" t="str">
            <v>ORD-2025-10718</v>
          </cell>
          <cell r="B719" t="str">
            <v>12-10-2025</v>
          </cell>
          <cell r="D719" t="str">
            <v>15 Oct 2025</v>
          </cell>
          <cell r="F719" t="str">
            <v>Valid</v>
          </cell>
          <cell r="H719" t="str">
            <v>Valid</v>
          </cell>
          <cell r="N719" t="str">
            <v>North</v>
          </cell>
          <cell r="V719" t="str">
            <v>Standard Class</v>
          </cell>
          <cell r="Z719">
            <v>0.2</v>
          </cell>
          <cell r="AB719" t="str">
            <v>Valid</v>
          </cell>
          <cell r="AC719">
            <v>18712.22</v>
          </cell>
          <cell r="AE719">
            <v>18712.223999999998</v>
          </cell>
          <cell r="AH719">
            <v>11852.22</v>
          </cell>
          <cell r="AI719">
            <v>6860</v>
          </cell>
          <cell r="AO719" t="str">
            <v>Pending</v>
          </cell>
          <cell r="AP719" t="str">
            <v>Cancelled</v>
          </cell>
        </row>
        <row r="720">
          <cell r="A720" t="str">
            <v>ORD-2024-10719</v>
          </cell>
          <cell r="B720" t="str">
            <v>06 Sep 2024</v>
          </cell>
          <cell r="D720" t="str">
            <v>2024-09-09</v>
          </cell>
          <cell r="F720" t="str">
            <v>Valid</v>
          </cell>
          <cell r="H720" t="str">
            <v>Valid</v>
          </cell>
          <cell r="N720" t="str">
            <v>West</v>
          </cell>
          <cell r="V720" t="str">
            <v>Same Day</v>
          </cell>
          <cell r="Z720">
            <v>0.2</v>
          </cell>
          <cell r="AB720" t="str">
            <v>Valid</v>
          </cell>
          <cell r="AC720">
            <v>4733.45</v>
          </cell>
          <cell r="AE720">
            <v>4733.4479999999994</v>
          </cell>
          <cell r="AH720">
            <v>3672.32</v>
          </cell>
          <cell r="AI720">
            <v>1061.1300000000001</v>
          </cell>
          <cell r="AO720" t="str">
            <v>Paid</v>
          </cell>
          <cell r="AP720" t="str">
            <v>Completed</v>
          </cell>
        </row>
        <row r="721">
          <cell r="A721" t="str">
            <v>ORD-2025-10720</v>
          </cell>
          <cell r="B721" t="str">
            <v>08 Sep 2025</v>
          </cell>
          <cell r="D721" t="str">
            <v>2025-09-09</v>
          </cell>
          <cell r="F721" t="str">
            <v>Valid</v>
          </cell>
          <cell r="H721" t="str">
            <v>Valid</v>
          </cell>
          <cell r="N721" t="str">
            <v>West</v>
          </cell>
          <cell r="V721" t="str">
            <v>Same Day</v>
          </cell>
          <cell r="Z721">
            <v>0.2</v>
          </cell>
          <cell r="AB721" t="str">
            <v>Valid</v>
          </cell>
          <cell r="AC721">
            <v>3795.86</v>
          </cell>
          <cell r="AE721">
            <v>3795.8559999999998</v>
          </cell>
          <cell r="AH721">
            <v>2264.92</v>
          </cell>
          <cell r="AI721">
            <v>1530.94</v>
          </cell>
          <cell r="AO721" t="str">
            <v>Paid</v>
          </cell>
          <cell r="AP721" t="str">
            <v>Completed</v>
          </cell>
        </row>
        <row r="722">
          <cell r="A722" t="str">
            <v>ORD-2024-10721</v>
          </cell>
          <cell r="B722" t="str">
            <v>2024-07-16</v>
          </cell>
          <cell r="D722" t="str">
            <v>07/16/2024</v>
          </cell>
          <cell r="F722" t="str">
            <v>Valid</v>
          </cell>
          <cell r="H722" t="str">
            <v>Valid</v>
          </cell>
          <cell r="N722" t="str">
            <v>West</v>
          </cell>
          <cell r="V722" t="str">
            <v>Same Day</v>
          </cell>
          <cell r="Z722">
            <v>0.15</v>
          </cell>
          <cell r="AB722" t="str">
            <v>Valid</v>
          </cell>
          <cell r="AC722">
            <v>15231.73</v>
          </cell>
          <cell r="AE722">
            <v>15231.727999999999</v>
          </cell>
          <cell r="AH722">
            <v>12451.46</v>
          </cell>
          <cell r="AI722">
            <v>2780.27</v>
          </cell>
          <cell r="AO722" t="str">
            <v>Paid</v>
          </cell>
          <cell r="AP722" t="str">
            <v>Completed</v>
          </cell>
        </row>
        <row r="723">
          <cell r="A723" t="str">
            <v>ORD-2025-10722</v>
          </cell>
          <cell r="B723" t="str">
            <v>19-06-2025</v>
          </cell>
          <cell r="D723" t="str">
            <v>23-06-2025</v>
          </cell>
          <cell r="F723" t="str">
            <v>Valid</v>
          </cell>
          <cell r="H723" t="str">
            <v>Valid</v>
          </cell>
          <cell r="N723" t="str">
            <v>South</v>
          </cell>
          <cell r="V723" t="str">
            <v>First Class</v>
          </cell>
          <cell r="Z723">
            <v>0</v>
          </cell>
          <cell r="AB723" t="str">
            <v>Valid</v>
          </cell>
          <cell r="AC723">
            <v>13649.75</v>
          </cell>
          <cell r="AE723">
            <v>13649.75</v>
          </cell>
          <cell r="AH723">
            <v>10288.030000000001</v>
          </cell>
          <cell r="AI723">
            <v>3361.72</v>
          </cell>
          <cell r="AO723" t="str">
            <v>Paid</v>
          </cell>
          <cell r="AP723" t="str">
            <v>Completed</v>
          </cell>
        </row>
        <row r="724">
          <cell r="A724" t="str">
            <v>ORD-2024-10723</v>
          </cell>
          <cell r="B724" t="str">
            <v>2024-10-07</v>
          </cell>
          <cell r="D724" t="str">
            <v>10 Oct 2024</v>
          </cell>
          <cell r="F724" t="str">
            <v>Valid</v>
          </cell>
          <cell r="H724" t="str">
            <v>Valid</v>
          </cell>
          <cell r="N724" t="str">
            <v>East</v>
          </cell>
          <cell r="V724" t="str">
            <v>Second Class</v>
          </cell>
          <cell r="AB724" t="str">
            <v>Valid</v>
          </cell>
          <cell r="AC724">
            <v>4333.59</v>
          </cell>
          <cell r="AE724">
            <v>4333.59</v>
          </cell>
          <cell r="AH724">
            <v>2533.59</v>
          </cell>
          <cell r="AI724">
            <v>1800</v>
          </cell>
          <cell r="AO724" t="str">
            <v>Refunded</v>
          </cell>
          <cell r="AP724" t="str">
            <v>Cancelled</v>
          </cell>
        </row>
        <row r="725">
          <cell r="A725" t="str">
            <v>ORD-2025-10724</v>
          </cell>
          <cell r="B725" t="str">
            <v>10/06/2025</v>
          </cell>
          <cell r="D725" t="str">
            <v>2025-10-13</v>
          </cell>
          <cell r="F725" t="str">
            <v>Valid</v>
          </cell>
          <cell r="H725" t="str">
            <v>Valid</v>
          </cell>
          <cell r="N725" t="str">
            <v>East</v>
          </cell>
          <cell r="V725" t="str">
            <v>Standard Class</v>
          </cell>
          <cell r="Z725">
            <v>0.05</v>
          </cell>
          <cell r="AB725" t="str">
            <v>Valid</v>
          </cell>
          <cell r="AC725">
            <v>13634</v>
          </cell>
          <cell r="AE725">
            <v>13634.000999999998</v>
          </cell>
          <cell r="AH725">
            <v>9589.81</v>
          </cell>
          <cell r="AI725">
            <v>4044.19</v>
          </cell>
          <cell r="AO725" t="str">
            <v>Failed</v>
          </cell>
          <cell r="AP725" t="str">
            <v>Returned</v>
          </cell>
        </row>
        <row r="726">
          <cell r="A726" t="str">
            <v>ORD-2024-10725</v>
          </cell>
          <cell r="B726" t="str">
            <v>02/10/2024</v>
          </cell>
          <cell r="D726" t="str">
            <v>16-02-2024</v>
          </cell>
          <cell r="F726" t="str">
            <v>Valid</v>
          </cell>
          <cell r="H726" t="str">
            <v>Valid</v>
          </cell>
          <cell r="N726" t="str">
            <v>West</v>
          </cell>
          <cell r="V726" t="str">
            <v>Second Class</v>
          </cell>
          <cell r="Z726">
            <v>0</v>
          </cell>
          <cell r="AB726" t="str">
            <v>Valid</v>
          </cell>
          <cell r="AC726">
            <v>760.29</v>
          </cell>
          <cell r="AE726">
            <v>760.29</v>
          </cell>
          <cell r="AH726">
            <v>497.77</v>
          </cell>
          <cell r="AI726">
            <v>262.52</v>
          </cell>
          <cell r="AO726" t="str">
            <v>Paid</v>
          </cell>
          <cell r="AP726" t="str">
            <v>Completed</v>
          </cell>
        </row>
        <row r="727">
          <cell r="A727" t="str">
            <v>ORD-2025-10726</v>
          </cell>
          <cell r="B727" t="str">
            <v>10/05/2025</v>
          </cell>
          <cell r="D727" t="str">
            <v>2025-10-12</v>
          </cell>
          <cell r="F727" t="str">
            <v>Valid</v>
          </cell>
          <cell r="H727" t="str">
            <v>Valid</v>
          </cell>
          <cell r="N727" t="str">
            <v>South</v>
          </cell>
          <cell r="V727" t="str">
            <v>Second Class</v>
          </cell>
          <cell r="Z727">
            <v>0</v>
          </cell>
          <cell r="AB727" t="str">
            <v>Valid</v>
          </cell>
          <cell r="AC727">
            <v>14943.11</v>
          </cell>
          <cell r="AE727">
            <v>14943.11</v>
          </cell>
          <cell r="AH727">
            <v>8521.5</v>
          </cell>
          <cell r="AI727">
            <v>6421.61</v>
          </cell>
          <cell r="AO727" t="str">
            <v>Paid</v>
          </cell>
          <cell r="AP727" t="str">
            <v>Completed</v>
          </cell>
        </row>
        <row r="728">
          <cell r="A728" t="str">
            <v>ORD-2024-10727</v>
          </cell>
          <cell r="B728" t="str">
            <v>2024-01-17</v>
          </cell>
          <cell r="D728" t="str">
            <v>01/23/2024</v>
          </cell>
          <cell r="F728" t="str">
            <v>Valid</v>
          </cell>
          <cell r="H728" t="str">
            <v>Valid</v>
          </cell>
          <cell r="N728" t="str">
            <v>West</v>
          </cell>
          <cell r="V728" t="str">
            <v>Standard Class</v>
          </cell>
          <cell r="Z728">
            <v>0.2</v>
          </cell>
          <cell r="AB728" t="str">
            <v>Valid</v>
          </cell>
          <cell r="AC728">
            <v>8072</v>
          </cell>
          <cell r="AE728">
            <v>8072</v>
          </cell>
          <cell r="AH728">
            <v>5379.22</v>
          </cell>
          <cell r="AI728">
            <v>2692.78</v>
          </cell>
          <cell r="AO728" t="str">
            <v>Pending</v>
          </cell>
          <cell r="AP728" t="str">
            <v>Returned</v>
          </cell>
        </row>
        <row r="729">
          <cell r="A729" t="str">
            <v>ORD-2024-10728</v>
          </cell>
          <cell r="B729" t="str">
            <v>13 Oct 2024</v>
          </cell>
          <cell r="D729" t="str">
            <v>13 Oct 2024</v>
          </cell>
          <cell r="F729" t="str">
            <v>Valid</v>
          </cell>
          <cell r="H729" t="str">
            <v>Valid</v>
          </cell>
          <cell r="N729" t="str">
            <v>East</v>
          </cell>
          <cell r="V729" t="str">
            <v>Second Class</v>
          </cell>
          <cell r="Z729">
            <v>0.05</v>
          </cell>
          <cell r="AB729" t="str">
            <v>Valid</v>
          </cell>
          <cell r="AC729">
            <v>28353.02</v>
          </cell>
          <cell r="AE729">
            <v>28353.015999999996</v>
          </cell>
          <cell r="AH729">
            <v>19257.849999999999</v>
          </cell>
          <cell r="AI729">
            <v>9095.17</v>
          </cell>
          <cell r="AO729" t="str">
            <v>Paid</v>
          </cell>
          <cell r="AP729" t="str">
            <v>Completed</v>
          </cell>
        </row>
        <row r="730">
          <cell r="A730" t="str">
            <v>ORD-2024-10729</v>
          </cell>
          <cell r="B730" t="str">
            <v>2024-01-04</v>
          </cell>
          <cell r="D730" t="str">
            <v>07-01-2024</v>
          </cell>
          <cell r="F730" t="str">
            <v>Valid</v>
          </cell>
          <cell r="H730" t="str">
            <v>Valid</v>
          </cell>
          <cell r="N730" t="str">
            <v>South</v>
          </cell>
          <cell r="V730" t="str">
            <v>First Class</v>
          </cell>
          <cell r="Z730">
            <v>0.15</v>
          </cell>
          <cell r="AB730" t="str">
            <v>Valid</v>
          </cell>
          <cell r="AC730">
            <v>2008.57</v>
          </cell>
          <cell r="AE730">
            <v>2008.567</v>
          </cell>
          <cell r="AH730">
            <v>1194.83</v>
          </cell>
          <cell r="AI730">
            <v>813.74</v>
          </cell>
          <cell r="AO730" t="str">
            <v>Paid</v>
          </cell>
          <cell r="AP730" t="str">
            <v>Completed</v>
          </cell>
        </row>
        <row r="731">
          <cell r="A731" t="str">
            <v>ORD-2025-10730</v>
          </cell>
          <cell r="B731" t="str">
            <v>17-05-2025</v>
          </cell>
          <cell r="D731" t="str">
            <v>25 May 2025</v>
          </cell>
          <cell r="F731" t="str">
            <v>Valid</v>
          </cell>
          <cell r="H731" t="str">
            <v>Valid</v>
          </cell>
          <cell r="N731" t="str">
            <v>South</v>
          </cell>
          <cell r="V731" t="str">
            <v>Same Day</v>
          </cell>
          <cell r="Z731">
            <v>0.15</v>
          </cell>
          <cell r="AB731" t="str">
            <v>Valid</v>
          </cell>
          <cell r="AC731">
            <v>9234.2099999999991</v>
          </cell>
          <cell r="AE731">
            <v>9234.2129999999997</v>
          </cell>
          <cell r="AH731">
            <v>5516.52</v>
          </cell>
          <cell r="AI731">
            <v>3717.69</v>
          </cell>
          <cell r="AO731" t="str">
            <v>Paid</v>
          </cell>
          <cell r="AP731" t="str">
            <v>Completed</v>
          </cell>
        </row>
        <row r="732">
          <cell r="A732" t="str">
            <v>ORD-2025-10731</v>
          </cell>
          <cell r="B732" t="str">
            <v>06/19/2025</v>
          </cell>
          <cell r="D732" t="str">
            <v>24-06-2025</v>
          </cell>
          <cell r="F732" t="str">
            <v>Valid</v>
          </cell>
          <cell r="H732" t="str">
            <v>Valid</v>
          </cell>
          <cell r="N732" t="str">
            <v>East</v>
          </cell>
          <cell r="V732" t="str">
            <v>Second Class</v>
          </cell>
          <cell r="Z732">
            <v>0.15</v>
          </cell>
          <cell r="AB732" t="str">
            <v>Valid</v>
          </cell>
          <cell r="AC732">
            <v>2658.83</v>
          </cell>
          <cell r="AE732">
            <v>2658.8339999999998</v>
          </cell>
          <cell r="AH732">
            <v>2226.9699999999998</v>
          </cell>
          <cell r="AI732">
            <v>431.86</v>
          </cell>
          <cell r="AO732" t="str">
            <v>Refunded</v>
          </cell>
          <cell r="AP732" t="str">
            <v>Returned</v>
          </cell>
        </row>
        <row r="733">
          <cell r="A733" t="str">
            <v>ORD-2024-10732</v>
          </cell>
          <cell r="B733" t="str">
            <v>2024-03-17</v>
          </cell>
          <cell r="D733" t="str">
            <v>19 Mar 2024</v>
          </cell>
          <cell r="F733" t="str">
            <v>Valid</v>
          </cell>
          <cell r="H733" t="str">
            <v>Valid</v>
          </cell>
          <cell r="N733" t="str">
            <v>East</v>
          </cell>
          <cell r="V733" t="str">
            <v>First Class</v>
          </cell>
          <cell r="Z733">
            <v>0.1</v>
          </cell>
          <cell r="AB733" t="str">
            <v>Valid</v>
          </cell>
          <cell r="AC733">
            <v>15756.05</v>
          </cell>
          <cell r="AE733">
            <v>15756.048000000001</v>
          </cell>
          <cell r="AH733">
            <v>10245.44</v>
          </cell>
          <cell r="AI733">
            <v>5510.61</v>
          </cell>
          <cell r="AO733" t="str">
            <v>Paid</v>
          </cell>
          <cell r="AP733" t="str">
            <v>Completed</v>
          </cell>
        </row>
        <row r="734">
          <cell r="A734" t="str">
            <v>ORD-2024-10733</v>
          </cell>
          <cell r="B734" t="str">
            <v>2024-11-28</v>
          </cell>
          <cell r="D734" t="str">
            <v>06 Dec 2024</v>
          </cell>
          <cell r="F734" t="str">
            <v>Valid</v>
          </cell>
          <cell r="H734" t="str">
            <v>Valid</v>
          </cell>
          <cell r="N734" t="str">
            <v>North</v>
          </cell>
          <cell r="V734" t="str">
            <v>Standard Class</v>
          </cell>
          <cell r="Z734">
            <v>0</v>
          </cell>
          <cell r="AB734" t="str">
            <v>Valid</v>
          </cell>
          <cell r="AC734">
            <v>14787.78</v>
          </cell>
          <cell r="AE734">
            <v>14787.78</v>
          </cell>
          <cell r="AH734">
            <v>8596.65</v>
          </cell>
          <cell r="AI734">
            <v>6191.13</v>
          </cell>
          <cell r="AO734" t="str">
            <v>Paid</v>
          </cell>
          <cell r="AP734" t="str">
            <v>Completed</v>
          </cell>
        </row>
        <row r="735">
          <cell r="A735" t="str">
            <v>ORD-2024-10734</v>
          </cell>
          <cell r="B735" t="str">
            <v>21-06-2024</v>
          </cell>
          <cell r="D735" t="str">
            <v>28 Jun 2024</v>
          </cell>
          <cell r="F735" t="str">
            <v>Valid</v>
          </cell>
          <cell r="H735" t="str">
            <v>Valid</v>
          </cell>
          <cell r="N735" t="str">
            <v>North</v>
          </cell>
          <cell r="V735" t="str">
            <v>First Class</v>
          </cell>
          <cell r="Z735">
            <v>0</v>
          </cell>
          <cell r="AB735" t="str">
            <v>Valid</v>
          </cell>
          <cell r="AC735">
            <v>25181.64</v>
          </cell>
          <cell r="AE735">
            <v>25181.64</v>
          </cell>
          <cell r="AH735">
            <v>15337.9</v>
          </cell>
          <cell r="AI735">
            <v>9843.74</v>
          </cell>
          <cell r="AO735" t="str">
            <v>Paid</v>
          </cell>
          <cell r="AP735" t="str">
            <v>Completed</v>
          </cell>
        </row>
        <row r="736">
          <cell r="A736" t="str">
            <v>ORD-2024-10735</v>
          </cell>
          <cell r="B736" t="str">
            <v>24-08-2024</v>
          </cell>
          <cell r="D736" t="str">
            <v>24-08-2024</v>
          </cell>
          <cell r="F736" t="str">
            <v>Valid</v>
          </cell>
          <cell r="H736" t="str">
            <v>Valid</v>
          </cell>
          <cell r="N736" t="str">
            <v>North</v>
          </cell>
          <cell r="V736" t="str">
            <v>First Class</v>
          </cell>
          <cell r="Z736">
            <v>0.2</v>
          </cell>
          <cell r="AB736" t="str">
            <v>Valid</v>
          </cell>
          <cell r="AC736">
            <v>8837.9500000000007</v>
          </cell>
          <cell r="AE736">
            <v>8837.9520000000011</v>
          </cell>
          <cell r="AH736">
            <v>6157.27</v>
          </cell>
          <cell r="AI736">
            <v>2680.68</v>
          </cell>
          <cell r="AO736" t="str">
            <v>Paid</v>
          </cell>
          <cell r="AP736" t="str">
            <v>Completed</v>
          </cell>
        </row>
        <row r="737">
          <cell r="A737" t="str">
            <v>ORD-2024-10736</v>
          </cell>
          <cell r="B737" t="str">
            <v>2024-08-11</v>
          </cell>
          <cell r="D737" t="str">
            <v>19-08-2024</v>
          </cell>
          <cell r="F737" t="str">
            <v>Valid</v>
          </cell>
          <cell r="H737" t="str">
            <v>Valid</v>
          </cell>
          <cell r="N737" t="str">
            <v>West</v>
          </cell>
          <cell r="V737" t="str">
            <v>Standard Class</v>
          </cell>
          <cell r="Z737">
            <v>0.2</v>
          </cell>
          <cell r="AB737" t="str">
            <v>Valid</v>
          </cell>
          <cell r="AC737">
            <v>7275.79</v>
          </cell>
          <cell r="AE737">
            <v>7275.7920000000004</v>
          </cell>
          <cell r="AH737">
            <v>6152.87</v>
          </cell>
          <cell r="AI737">
            <v>1122.92</v>
          </cell>
          <cell r="AO737" t="str">
            <v>Paid</v>
          </cell>
          <cell r="AP737" t="str">
            <v>Completed</v>
          </cell>
        </row>
        <row r="738">
          <cell r="A738" t="str">
            <v>ORD-2024-10737</v>
          </cell>
          <cell r="B738" t="str">
            <v>06 Dec 2024</v>
          </cell>
          <cell r="D738" t="str">
            <v>09-12-2024</v>
          </cell>
          <cell r="F738" t="str">
            <v>Valid</v>
          </cell>
          <cell r="H738" t="str">
            <v>Valid</v>
          </cell>
          <cell r="N738" t="str">
            <v>West</v>
          </cell>
          <cell r="V738" t="str">
            <v>Second Class</v>
          </cell>
          <cell r="Z738">
            <v>0.1</v>
          </cell>
          <cell r="AB738" t="str">
            <v>Valid</v>
          </cell>
          <cell r="AC738">
            <v>2355.08</v>
          </cell>
          <cell r="AE738">
            <v>2355.0750000000003</v>
          </cell>
          <cell r="AH738">
            <v>1350.03</v>
          </cell>
          <cell r="AI738">
            <v>1005.05</v>
          </cell>
          <cell r="AO738" t="str">
            <v>Paid</v>
          </cell>
          <cell r="AP738" t="str">
            <v>Completed</v>
          </cell>
        </row>
        <row r="739">
          <cell r="A739" t="str">
            <v>ORD-2024-10738</v>
          </cell>
          <cell r="B739" t="str">
            <v>2024-02-10</v>
          </cell>
          <cell r="D739" t="str">
            <v>10 Feb 2024</v>
          </cell>
          <cell r="F739" t="str">
            <v>Valid</v>
          </cell>
          <cell r="H739" t="str">
            <v>Valid</v>
          </cell>
          <cell r="N739" t="str">
            <v>West</v>
          </cell>
          <cell r="V739" t="str">
            <v>Same Day</v>
          </cell>
          <cell r="Z739">
            <v>0</v>
          </cell>
          <cell r="AB739" t="str">
            <v>Valid</v>
          </cell>
          <cell r="AC739">
            <v>3609.12</v>
          </cell>
          <cell r="AE739">
            <v>3609.12</v>
          </cell>
          <cell r="AH739">
            <v>2645.5</v>
          </cell>
          <cell r="AI739">
            <v>963.62</v>
          </cell>
          <cell r="AO739" t="str">
            <v>Paid</v>
          </cell>
          <cell r="AP739" t="str">
            <v>Completed</v>
          </cell>
        </row>
        <row r="740">
          <cell r="A740" t="str">
            <v>ORD-2025-10739</v>
          </cell>
          <cell r="B740" t="str">
            <v>20 Feb 2025</v>
          </cell>
          <cell r="D740" t="str">
            <v>02/22/2025</v>
          </cell>
          <cell r="F740" t="str">
            <v>Valid</v>
          </cell>
          <cell r="H740" t="str">
            <v>Valid</v>
          </cell>
          <cell r="N740" t="str">
            <v>South</v>
          </cell>
          <cell r="V740" t="str">
            <v>First Class</v>
          </cell>
          <cell r="Z740">
            <v>0</v>
          </cell>
          <cell r="AB740" t="str">
            <v>Valid</v>
          </cell>
          <cell r="AC740">
            <v>2188.19</v>
          </cell>
          <cell r="AE740">
            <v>2188.19</v>
          </cell>
          <cell r="AH740">
            <v>1298.8399999999999</v>
          </cell>
          <cell r="AI740">
            <v>889.35</v>
          </cell>
          <cell r="AO740" t="str">
            <v>Paid</v>
          </cell>
          <cell r="AP740" t="str">
            <v>Completed</v>
          </cell>
        </row>
        <row r="741">
          <cell r="A741" t="str">
            <v>ORD-2024-10740</v>
          </cell>
          <cell r="B741" t="str">
            <v>03 Dec 2024</v>
          </cell>
          <cell r="D741" t="str">
            <v>12/10/2024</v>
          </cell>
          <cell r="F741" t="str">
            <v>Valid</v>
          </cell>
          <cell r="H741" t="str">
            <v>Valid</v>
          </cell>
          <cell r="N741" t="str">
            <v>North</v>
          </cell>
          <cell r="V741" t="str">
            <v>Standard Class</v>
          </cell>
          <cell r="Z741">
            <v>0.05</v>
          </cell>
          <cell r="AB741" t="str">
            <v>Valid</v>
          </cell>
          <cell r="AC741">
            <v>11370.84</v>
          </cell>
          <cell r="AE741">
            <v>11370.835000000001</v>
          </cell>
          <cell r="AH741">
            <v>7469.58</v>
          </cell>
          <cell r="AI741">
            <v>3901.26</v>
          </cell>
          <cell r="AO741" t="str">
            <v>Paid</v>
          </cell>
          <cell r="AP741" t="str">
            <v>Completed</v>
          </cell>
        </row>
        <row r="742">
          <cell r="A742" t="str">
            <v>ORD-2024-10741</v>
          </cell>
          <cell r="B742" t="str">
            <v>02 Apr 2024</v>
          </cell>
          <cell r="D742" t="str">
            <v>04/02/2024</v>
          </cell>
          <cell r="F742" t="str">
            <v>Valid</v>
          </cell>
          <cell r="H742" t="str">
            <v>Valid</v>
          </cell>
          <cell r="N742" t="str">
            <v>West</v>
          </cell>
          <cell r="V742" t="str">
            <v>First Class</v>
          </cell>
          <cell r="Z742">
            <v>0.1</v>
          </cell>
          <cell r="AB742" t="str">
            <v>Valid</v>
          </cell>
          <cell r="AC742">
            <v>9298.7999999999993</v>
          </cell>
          <cell r="AE742">
            <v>9298.8000000000011</v>
          </cell>
          <cell r="AH742">
            <v>6548.5</v>
          </cell>
          <cell r="AI742">
            <v>2750.3</v>
          </cell>
          <cell r="AO742" t="str">
            <v>Paid</v>
          </cell>
          <cell r="AP742" t="str">
            <v>Completed</v>
          </cell>
        </row>
        <row r="743">
          <cell r="A743" t="str">
            <v>ORD-2025-10742</v>
          </cell>
          <cell r="B743" t="str">
            <v>04/23/2025</v>
          </cell>
          <cell r="D743" t="str">
            <v>2025-04-25</v>
          </cell>
          <cell r="F743" t="str">
            <v>Valid</v>
          </cell>
          <cell r="H743" t="str">
            <v>Valid</v>
          </cell>
          <cell r="N743" t="str">
            <v>South</v>
          </cell>
          <cell r="V743" t="str">
            <v>Second Class</v>
          </cell>
          <cell r="AB743" t="str">
            <v>Valid</v>
          </cell>
          <cell r="AC743">
            <v>7082.69</v>
          </cell>
          <cell r="AE743">
            <v>8853.36</v>
          </cell>
          <cell r="AH743">
            <v>5596.34</v>
          </cell>
          <cell r="AI743">
            <v>1486.35</v>
          </cell>
          <cell r="AO743" t="str">
            <v>Paid</v>
          </cell>
          <cell r="AP743" t="str">
            <v>Cancelled</v>
          </cell>
        </row>
        <row r="744">
          <cell r="A744" t="str">
            <v>ORD-2024-10743</v>
          </cell>
          <cell r="B744" t="str">
            <v>10/15/2024</v>
          </cell>
          <cell r="D744" t="str">
            <v>22 Oct 2024</v>
          </cell>
          <cell r="F744" t="str">
            <v>Valid</v>
          </cell>
          <cell r="H744" t="str">
            <v>Valid</v>
          </cell>
          <cell r="N744" t="str">
            <v>east</v>
          </cell>
          <cell r="V744" t="str">
            <v>Standard Class</v>
          </cell>
          <cell r="Z744">
            <v>0</v>
          </cell>
          <cell r="AB744" t="str">
            <v>Valid</v>
          </cell>
          <cell r="AC744">
            <v>9043.7999999999993</v>
          </cell>
          <cell r="AE744">
            <v>9043.7999999999993</v>
          </cell>
          <cell r="AH744">
            <v>5913.38</v>
          </cell>
          <cell r="AI744">
            <v>3130.42</v>
          </cell>
          <cell r="AO744" t="str">
            <v>Paid</v>
          </cell>
          <cell r="AP744" t="str">
            <v>Completed</v>
          </cell>
        </row>
        <row r="745">
          <cell r="A745" t="str">
            <v>ORD-2025-10744</v>
          </cell>
          <cell r="B745" t="str">
            <v>02/12/2025</v>
          </cell>
          <cell r="D745" t="str">
            <v>14 Feb 2025</v>
          </cell>
          <cell r="F745" t="str">
            <v>Valid</v>
          </cell>
          <cell r="H745" t="str">
            <v>Valid</v>
          </cell>
          <cell r="N745" t="str">
            <v>North</v>
          </cell>
          <cell r="V745" t="str">
            <v>Standard Class</v>
          </cell>
          <cell r="Z745">
            <v>0.25</v>
          </cell>
          <cell r="AB745" t="str">
            <v>Valid</v>
          </cell>
          <cell r="AC745">
            <v>2211.3000000000002</v>
          </cell>
          <cell r="AE745">
            <v>2211.2999999999997</v>
          </cell>
          <cell r="AH745">
            <v>1735.64</v>
          </cell>
          <cell r="AI745">
            <v>475.66</v>
          </cell>
          <cell r="AO745" t="str">
            <v>Paid</v>
          </cell>
          <cell r="AP745" t="str">
            <v>Completed</v>
          </cell>
        </row>
        <row r="746">
          <cell r="A746" t="str">
            <v>ORD-2025-10745</v>
          </cell>
          <cell r="B746" t="str">
            <v>2025-08-17</v>
          </cell>
          <cell r="D746" t="str">
            <v>2025-08-20</v>
          </cell>
          <cell r="F746" t="str">
            <v>Valid</v>
          </cell>
          <cell r="H746" t="str">
            <v>Valid</v>
          </cell>
          <cell r="N746" t="str">
            <v>North</v>
          </cell>
          <cell r="V746" t="str">
            <v>First Class</v>
          </cell>
          <cell r="Z746">
            <v>0.1</v>
          </cell>
          <cell r="AB746" t="str">
            <v>Valid</v>
          </cell>
          <cell r="AC746">
            <v>12158.5</v>
          </cell>
          <cell r="AE746">
            <v>12158.504999999999</v>
          </cell>
          <cell r="AH746">
            <v>10260.07</v>
          </cell>
          <cell r="AI746">
            <v>1898.43</v>
          </cell>
          <cell r="AO746" t="str">
            <v>Paid</v>
          </cell>
          <cell r="AP746" t="str">
            <v>Cancelled</v>
          </cell>
        </row>
        <row r="747">
          <cell r="A747" t="str">
            <v>ORD-2024-10746</v>
          </cell>
          <cell r="B747" t="str">
            <v>24 Oct 2024</v>
          </cell>
          <cell r="D747" t="str">
            <v>28-10-2024</v>
          </cell>
          <cell r="F747" t="str">
            <v>Valid</v>
          </cell>
          <cell r="H747" t="str">
            <v>Valid</v>
          </cell>
          <cell r="N747" t="str">
            <v>East</v>
          </cell>
          <cell r="V747" t="str">
            <v>Standard Class</v>
          </cell>
          <cell r="Z747">
            <v>0.2</v>
          </cell>
          <cell r="AB747" t="str">
            <v>Valid</v>
          </cell>
          <cell r="AC747">
            <v>1736.62</v>
          </cell>
          <cell r="AE747">
            <v>1736.616</v>
          </cell>
          <cell r="AH747">
            <v>1059.52</v>
          </cell>
          <cell r="AI747">
            <v>677.1</v>
          </cell>
          <cell r="AO747" t="str">
            <v>Paid</v>
          </cell>
          <cell r="AP747" t="str">
            <v>Completed</v>
          </cell>
        </row>
        <row r="748">
          <cell r="A748" t="str">
            <v>ORD-2025-10747</v>
          </cell>
          <cell r="B748" t="str">
            <v>2025-01-04</v>
          </cell>
          <cell r="D748" t="str">
            <v>10-01-2025</v>
          </cell>
          <cell r="F748" t="str">
            <v>Valid</v>
          </cell>
          <cell r="H748" t="str">
            <v>Valid</v>
          </cell>
          <cell r="N748" t="str">
            <v>East</v>
          </cell>
          <cell r="V748" t="str">
            <v>Standard Class</v>
          </cell>
          <cell r="Z748">
            <v>0.2</v>
          </cell>
          <cell r="AB748" t="str">
            <v>Valid</v>
          </cell>
          <cell r="AC748">
            <v>8266.2099999999991</v>
          </cell>
          <cell r="AE748">
            <v>8266.2080000000005</v>
          </cell>
          <cell r="AH748">
            <v>6236.32</v>
          </cell>
          <cell r="AI748">
            <v>2029.89</v>
          </cell>
          <cell r="AO748" t="str">
            <v>Paid</v>
          </cell>
          <cell r="AP748" t="str">
            <v>Completed</v>
          </cell>
        </row>
        <row r="749">
          <cell r="A749" t="str">
            <v>ORD-2024-10748</v>
          </cell>
          <cell r="B749" t="str">
            <v>2024-05-01</v>
          </cell>
          <cell r="D749" t="str">
            <v>07 May 2024</v>
          </cell>
          <cell r="F749" t="str">
            <v>Valid</v>
          </cell>
          <cell r="H749" t="str">
            <v>Valid</v>
          </cell>
          <cell r="N749" t="str">
            <v>East</v>
          </cell>
          <cell r="V749" t="str">
            <v>Same Day</v>
          </cell>
          <cell r="Z749">
            <v>0.15</v>
          </cell>
          <cell r="AB749" t="str">
            <v>Valid</v>
          </cell>
          <cell r="AC749">
            <v>10022.040000000001</v>
          </cell>
          <cell r="AE749">
            <v>10022.044</v>
          </cell>
          <cell r="AH749">
            <v>5576.98</v>
          </cell>
          <cell r="AI749">
            <v>4445.0600000000004</v>
          </cell>
          <cell r="AO749" t="str">
            <v>Paid</v>
          </cell>
          <cell r="AP749" t="str">
            <v>Completed</v>
          </cell>
        </row>
        <row r="750">
          <cell r="A750" t="str">
            <v>ORD-2024-10749</v>
          </cell>
          <cell r="B750" t="str">
            <v>30-05-2024</v>
          </cell>
          <cell r="D750" t="str">
            <v>05/30/2024</v>
          </cell>
          <cell r="F750" t="str">
            <v>Valid</v>
          </cell>
          <cell r="H750" t="str">
            <v>Valid</v>
          </cell>
          <cell r="N750" t="str">
            <v>North</v>
          </cell>
          <cell r="V750" t="str">
            <v>Second Class</v>
          </cell>
          <cell r="Z750">
            <v>0.25</v>
          </cell>
          <cell r="AB750" t="str">
            <v>Valid</v>
          </cell>
          <cell r="AC750">
            <v>2886.03</v>
          </cell>
          <cell r="AE750">
            <v>2886.0299999999997</v>
          </cell>
          <cell r="AH750">
            <v>2064.83</v>
          </cell>
          <cell r="AI750">
            <v>821.2</v>
          </cell>
          <cell r="AO750" t="str">
            <v>Paid</v>
          </cell>
          <cell r="AP750" t="str">
            <v>Completed</v>
          </cell>
        </row>
        <row r="751">
          <cell r="A751" t="str">
            <v>ORD-2024-10750</v>
          </cell>
          <cell r="B751" t="str">
            <v>21 Mar 2024</v>
          </cell>
          <cell r="D751" t="str">
            <v>2024-03-25</v>
          </cell>
          <cell r="F751" t="str">
            <v>Valid</v>
          </cell>
          <cell r="H751" t="str">
            <v>Valid</v>
          </cell>
          <cell r="N751" t="str">
            <v>East</v>
          </cell>
          <cell r="V751" t="str">
            <v>Standard Class</v>
          </cell>
          <cell r="Z751">
            <v>0.15</v>
          </cell>
          <cell r="AB751" t="str">
            <v>Valid</v>
          </cell>
          <cell r="AC751">
            <v>1459.19</v>
          </cell>
          <cell r="AE751">
            <v>1459.1949999999999</v>
          </cell>
          <cell r="AH751">
            <v>1055.79</v>
          </cell>
          <cell r="AI751">
            <v>403.4</v>
          </cell>
          <cell r="AO751" t="str">
            <v>Paid</v>
          </cell>
          <cell r="AP751" t="str">
            <v>Completed</v>
          </cell>
        </row>
        <row r="752">
          <cell r="A752" t="str">
            <v>ORD-2025-10751</v>
          </cell>
          <cell r="B752" t="str">
            <v>06/02/2025</v>
          </cell>
          <cell r="D752" t="str">
            <v>2025-06-02</v>
          </cell>
          <cell r="F752" t="str">
            <v>Valid</v>
          </cell>
          <cell r="H752" t="str">
            <v>Valid</v>
          </cell>
          <cell r="N752" t="str">
            <v>South</v>
          </cell>
          <cell r="V752" t="str">
            <v>First Class</v>
          </cell>
          <cell r="Z752">
            <v>0.15</v>
          </cell>
          <cell r="AB752" t="str">
            <v>Valid</v>
          </cell>
          <cell r="AC752">
            <v>26696.32</v>
          </cell>
          <cell r="AE752">
            <v>26696.323999999997</v>
          </cell>
          <cell r="AH752">
            <v>22724.52</v>
          </cell>
          <cell r="AI752">
            <v>3971.8</v>
          </cell>
          <cell r="AO752" t="str">
            <v>Paid</v>
          </cell>
          <cell r="AP752" t="str">
            <v>Completed</v>
          </cell>
        </row>
        <row r="753">
          <cell r="A753" t="str">
            <v>ORD-2025-10752</v>
          </cell>
          <cell r="B753" t="str">
            <v>18-07-2025</v>
          </cell>
          <cell r="D753" t="str">
            <v>19-07-2025</v>
          </cell>
          <cell r="F753" t="str">
            <v>Valid</v>
          </cell>
          <cell r="H753" t="str">
            <v>Valid</v>
          </cell>
          <cell r="Z753">
            <v>0.05</v>
          </cell>
          <cell r="AB753" t="str">
            <v>Valid</v>
          </cell>
          <cell r="AC753">
            <v>8445.26</v>
          </cell>
          <cell r="AE753">
            <v>8445.2624999999989</v>
          </cell>
          <cell r="AH753">
            <v>6937.6</v>
          </cell>
          <cell r="AI753">
            <v>1507.66</v>
          </cell>
          <cell r="AO753" t="str">
            <v>Paid</v>
          </cell>
          <cell r="AP753" t="str">
            <v>Completed</v>
          </cell>
        </row>
        <row r="754">
          <cell r="A754" t="str">
            <v>ORD-2024-10753</v>
          </cell>
          <cell r="B754" t="str">
            <v>24-03-2024</v>
          </cell>
          <cell r="D754" t="str">
            <v>27-03-2024</v>
          </cell>
          <cell r="F754" t="str">
            <v>Valid</v>
          </cell>
          <cell r="H754" t="str">
            <v>Valid</v>
          </cell>
          <cell r="N754" t="str">
            <v>West</v>
          </cell>
          <cell r="V754" t="str">
            <v>First Class</v>
          </cell>
          <cell r="Z754">
            <v>0.05</v>
          </cell>
          <cell r="AB754" t="str">
            <v>Valid</v>
          </cell>
          <cell r="AC754">
            <v>11709.79</v>
          </cell>
          <cell r="AE754">
            <v>11709.794999999998</v>
          </cell>
          <cell r="AH754">
            <v>8372.2900000000009</v>
          </cell>
          <cell r="AI754">
            <v>3337.5</v>
          </cell>
          <cell r="AO754" t="str">
            <v>Paid</v>
          </cell>
          <cell r="AP754" t="str">
            <v>Completed</v>
          </cell>
        </row>
        <row r="755">
          <cell r="A755" t="str">
            <v>ORD-2024-10754</v>
          </cell>
          <cell r="B755" t="str">
            <v>11 Aug 2024</v>
          </cell>
          <cell r="D755" t="str">
            <v>10-08-2024</v>
          </cell>
          <cell r="F755" t="str">
            <v>Invalid Shipping Record</v>
          </cell>
          <cell r="H755" t="str">
            <v>Invalid Shipping Record</v>
          </cell>
          <cell r="N755" t="str">
            <v>North</v>
          </cell>
          <cell r="V755" t="str">
            <v>Second Class</v>
          </cell>
          <cell r="Z755">
            <v>0.15</v>
          </cell>
          <cell r="AB755" t="str">
            <v>Valid</v>
          </cell>
          <cell r="AC755">
            <v>2593.91</v>
          </cell>
          <cell r="AE755">
            <v>2593.9109999999996</v>
          </cell>
          <cell r="AH755">
            <v>1848.48</v>
          </cell>
          <cell r="AI755">
            <v>745.43</v>
          </cell>
          <cell r="AO755" t="str">
            <v>Failed</v>
          </cell>
          <cell r="AP755" t="str">
            <v>Returned</v>
          </cell>
        </row>
        <row r="756">
          <cell r="A756" t="str">
            <v>ORD-2025-10755</v>
          </cell>
          <cell r="B756" t="str">
            <v>06/04/2025</v>
          </cell>
          <cell r="D756" t="str">
            <v>06/04/2025</v>
          </cell>
          <cell r="F756" t="str">
            <v>Valid</v>
          </cell>
          <cell r="H756" t="str">
            <v>Valid</v>
          </cell>
          <cell r="N756" t="str">
            <v>South</v>
          </cell>
          <cell r="V756" t="str">
            <v>Standard Class</v>
          </cell>
          <cell r="Z756">
            <v>0.25</v>
          </cell>
          <cell r="AB756" t="str">
            <v>Valid</v>
          </cell>
          <cell r="AC756">
            <v>2674.02</v>
          </cell>
          <cell r="AE756">
            <v>2674.02</v>
          </cell>
          <cell r="AH756">
            <v>2207.5700000000002</v>
          </cell>
          <cell r="AI756">
            <v>466.45</v>
          </cell>
          <cell r="AO756" t="str">
            <v>Paid</v>
          </cell>
          <cell r="AP756" t="str">
            <v>Completed</v>
          </cell>
        </row>
        <row r="757">
          <cell r="A757" t="str">
            <v>ORD-2025-10756</v>
          </cell>
          <cell r="B757" t="str">
            <v>20-07-2025</v>
          </cell>
          <cell r="D757" t="str">
            <v>24-07-2025</v>
          </cell>
          <cell r="F757" t="str">
            <v>Valid</v>
          </cell>
          <cell r="H757" t="str">
            <v>Valid</v>
          </cell>
          <cell r="N757" t="str">
            <v>West</v>
          </cell>
          <cell r="V757" t="str">
            <v>Second Class</v>
          </cell>
          <cell r="Z757">
            <v>0.2</v>
          </cell>
          <cell r="AB757" t="str">
            <v>Valid</v>
          </cell>
          <cell r="AC757">
            <v>9926.9599999999991</v>
          </cell>
          <cell r="AE757">
            <v>9926.9599999999991</v>
          </cell>
          <cell r="AH757">
            <v>7994.98</v>
          </cell>
          <cell r="AI757">
            <v>1931.98</v>
          </cell>
          <cell r="AO757" t="str">
            <v>Paid</v>
          </cell>
          <cell r="AP757" t="str">
            <v>Completed</v>
          </cell>
        </row>
        <row r="758">
          <cell r="A758" t="str">
            <v>ORD-2024-10757</v>
          </cell>
          <cell r="B758" t="str">
            <v>10/27/2024</v>
          </cell>
          <cell r="D758" t="str">
            <v>11/01/2024</v>
          </cell>
          <cell r="F758" t="str">
            <v>Valid</v>
          </cell>
          <cell r="H758" t="str">
            <v>Valid</v>
          </cell>
          <cell r="N758" t="str">
            <v>North</v>
          </cell>
          <cell r="V758" t="str">
            <v>Same Day</v>
          </cell>
          <cell r="Z758">
            <v>0.2</v>
          </cell>
          <cell r="AB758" t="str">
            <v>Valid</v>
          </cell>
          <cell r="AC758">
            <v>12191.76</v>
          </cell>
          <cell r="AE758">
            <v>12191.76</v>
          </cell>
          <cell r="AH758">
            <v>10457.49</v>
          </cell>
          <cell r="AI758">
            <v>1734.27</v>
          </cell>
          <cell r="AO758" t="str">
            <v>Paid</v>
          </cell>
          <cell r="AP758" t="str">
            <v>Returned</v>
          </cell>
        </row>
        <row r="759">
          <cell r="A759" t="str">
            <v>ORD-2025-10758</v>
          </cell>
          <cell r="B759" t="str">
            <v>01 Aug 2025</v>
          </cell>
          <cell r="D759" t="str">
            <v>2025-08-03</v>
          </cell>
          <cell r="F759" t="str">
            <v>Valid</v>
          </cell>
          <cell r="H759" t="str">
            <v>Valid</v>
          </cell>
          <cell r="N759" t="str">
            <v>South</v>
          </cell>
          <cell r="V759" t="str">
            <v>Standard Class</v>
          </cell>
          <cell r="Z759">
            <v>0.25</v>
          </cell>
          <cell r="AB759" t="str">
            <v>Valid</v>
          </cell>
          <cell r="AC759">
            <v>4285.76</v>
          </cell>
          <cell r="AE759">
            <v>4285.7550000000001</v>
          </cell>
          <cell r="AH759">
            <v>2386.33</v>
          </cell>
          <cell r="AI759">
            <v>1899.43</v>
          </cell>
          <cell r="AO759" t="str">
            <v>Failed</v>
          </cell>
          <cell r="AP759" t="str">
            <v>Cancelled</v>
          </cell>
        </row>
        <row r="760">
          <cell r="A760" t="str">
            <v>ORD-2024-10759</v>
          </cell>
          <cell r="B760" t="str">
            <v>02 May 2024</v>
          </cell>
          <cell r="D760" t="str">
            <v>10 May 2024</v>
          </cell>
          <cell r="F760" t="str">
            <v>Valid</v>
          </cell>
          <cell r="H760" t="str">
            <v>Valid</v>
          </cell>
          <cell r="N760" t="str">
            <v>South</v>
          </cell>
          <cell r="V760" t="str">
            <v>Standard Class</v>
          </cell>
          <cell r="Z760">
            <v>0</v>
          </cell>
          <cell r="AB760" t="str">
            <v>Valid</v>
          </cell>
          <cell r="AC760">
            <v>4166.91</v>
          </cell>
          <cell r="AE760">
            <v>4166.91</v>
          </cell>
          <cell r="AH760">
            <v>3412.63</v>
          </cell>
          <cell r="AI760">
            <v>754.28</v>
          </cell>
          <cell r="AO760" t="str">
            <v>Paid</v>
          </cell>
          <cell r="AP760" t="str">
            <v>Completed</v>
          </cell>
        </row>
        <row r="761">
          <cell r="A761" t="str">
            <v>ORD-2024-10760</v>
          </cell>
          <cell r="B761" t="str">
            <v>2024-07-19</v>
          </cell>
          <cell r="D761" t="str">
            <v>26-07-2024</v>
          </cell>
          <cell r="F761" t="str">
            <v>Valid</v>
          </cell>
          <cell r="H761" t="str">
            <v>Valid</v>
          </cell>
          <cell r="N761" t="str">
            <v>South</v>
          </cell>
          <cell r="V761" t="str">
            <v>Second Class</v>
          </cell>
          <cell r="Z761">
            <v>0.25</v>
          </cell>
          <cell r="AB761" t="str">
            <v>Valid</v>
          </cell>
          <cell r="AC761">
            <v>14947.54</v>
          </cell>
          <cell r="AE761">
            <v>14947.537500000002</v>
          </cell>
          <cell r="AH761">
            <v>9438.4599999999991</v>
          </cell>
          <cell r="AI761">
            <v>5509.08</v>
          </cell>
          <cell r="AO761" t="str">
            <v>Paid</v>
          </cell>
          <cell r="AP761" t="str">
            <v>Completed</v>
          </cell>
        </row>
        <row r="762">
          <cell r="A762" t="str">
            <v>ORD-2024-10761</v>
          </cell>
          <cell r="B762" t="str">
            <v>28-08-2024</v>
          </cell>
          <cell r="D762" t="str">
            <v>02 Sep 2024</v>
          </cell>
          <cell r="F762" t="str">
            <v>Valid</v>
          </cell>
          <cell r="H762" t="str">
            <v>Valid</v>
          </cell>
          <cell r="N762" t="str">
            <v>East</v>
          </cell>
          <cell r="V762" t="str">
            <v>Second Class</v>
          </cell>
          <cell r="Z762">
            <v>0</v>
          </cell>
          <cell r="AB762" t="str">
            <v>Valid</v>
          </cell>
          <cell r="AC762">
            <v>13462.12</v>
          </cell>
          <cell r="AE762">
            <v>13462.12</v>
          </cell>
          <cell r="AH762">
            <v>7600.63</v>
          </cell>
          <cell r="AI762">
            <v>5861.49</v>
          </cell>
          <cell r="AO762" t="str">
            <v>Pending</v>
          </cell>
          <cell r="AP762" t="str">
            <v>Returned</v>
          </cell>
        </row>
        <row r="763">
          <cell r="A763" t="str">
            <v>ORD-2025-10762</v>
          </cell>
          <cell r="B763" t="str">
            <v>27 Aug 2025</v>
          </cell>
          <cell r="D763" t="str">
            <v>08/31/2025</v>
          </cell>
          <cell r="F763" t="str">
            <v>Valid</v>
          </cell>
          <cell r="H763" t="str">
            <v>Valid</v>
          </cell>
          <cell r="N763" t="str">
            <v>South</v>
          </cell>
          <cell r="V763" t="str">
            <v>First Class</v>
          </cell>
          <cell r="Z763">
            <v>0</v>
          </cell>
          <cell r="AB763" t="str">
            <v>Valid</v>
          </cell>
          <cell r="AC763">
            <v>7467.36</v>
          </cell>
          <cell r="AE763">
            <v>7467.36</v>
          </cell>
          <cell r="AH763">
            <v>5010.6099999999997</v>
          </cell>
          <cell r="AI763">
            <v>2456.75</v>
          </cell>
          <cell r="AO763" t="str">
            <v>Paid</v>
          </cell>
          <cell r="AP763" t="str">
            <v>Completed</v>
          </cell>
        </row>
        <row r="764">
          <cell r="A764" t="str">
            <v>ORD-2024-10763</v>
          </cell>
          <cell r="B764" t="str">
            <v>01/01/2024</v>
          </cell>
          <cell r="D764" t="str">
            <v>05 Jan 2024</v>
          </cell>
          <cell r="F764" t="str">
            <v>Valid</v>
          </cell>
          <cell r="H764" t="str">
            <v>Valid</v>
          </cell>
          <cell r="N764" t="str">
            <v>West</v>
          </cell>
          <cell r="V764" t="str">
            <v>Second Class</v>
          </cell>
          <cell r="Z764">
            <v>0.2</v>
          </cell>
          <cell r="AB764" t="str">
            <v>Valid</v>
          </cell>
          <cell r="AC764">
            <v>5910.59</v>
          </cell>
          <cell r="AE764">
            <v>5910.5920000000006</v>
          </cell>
          <cell r="AH764">
            <v>4775.4399999999996</v>
          </cell>
          <cell r="AI764">
            <v>1135.1500000000001</v>
          </cell>
          <cell r="AO764" t="str">
            <v>Refunded</v>
          </cell>
          <cell r="AP764" t="str">
            <v>Returned</v>
          </cell>
        </row>
        <row r="765">
          <cell r="A765" t="str">
            <v>ORD-2025-10764</v>
          </cell>
          <cell r="B765" t="str">
            <v>23 Aug 2025</v>
          </cell>
          <cell r="D765" t="str">
            <v>2025-08-25</v>
          </cell>
          <cell r="F765" t="str">
            <v>Valid</v>
          </cell>
          <cell r="H765" t="str">
            <v>Valid</v>
          </cell>
          <cell r="N765" t="str">
            <v>North</v>
          </cell>
          <cell r="V765" t="str">
            <v>Same Day</v>
          </cell>
          <cell r="Z765">
            <v>0</v>
          </cell>
          <cell r="AB765" t="str">
            <v>Valid</v>
          </cell>
          <cell r="AC765">
            <v>16454.88</v>
          </cell>
          <cell r="AE765">
            <v>16454.88</v>
          </cell>
          <cell r="AH765">
            <v>12081.54</v>
          </cell>
          <cell r="AI765">
            <v>4373.34</v>
          </cell>
          <cell r="AO765" t="str">
            <v>Paid</v>
          </cell>
          <cell r="AP765" t="str">
            <v>Completed</v>
          </cell>
        </row>
        <row r="766">
          <cell r="A766" t="str">
            <v>ORD-2025-10765</v>
          </cell>
          <cell r="B766" t="str">
            <v>2025-04-13</v>
          </cell>
          <cell r="D766" t="str">
            <v>13-04-2025</v>
          </cell>
          <cell r="F766" t="str">
            <v>Valid</v>
          </cell>
          <cell r="H766" t="str">
            <v>Valid</v>
          </cell>
          <cell r="N766" t="str">
            <v>South</v>
          </cell>
          <cell r="V766" t="str">
            <v>First Class</v>
          </cell>
          <cell r="Z766">
            <v>0.05</v>
          </cell>
          <cell r="AB766" t="str">
            <v>Valid</v>
          </cell>
          <cell r="AC766">
            <v>25159.8</v>
          </cell>
          <cell r="AE766">
            <v>25159.8</v>
          </cell>
          <cell r="AH766">
            <v>21606.83</v>
          </cell>
          <cell r="AI766">
            <v>3552.97</v>
          </cell>
          <cell r="AO766" t="str">
            <v>Paid</v>
          </cell>
          <cell r="AP766" t="str">
            <v>Completed</v>
          </cell>
        </row>
        <row r="767">
          <cell r="A767" t="str">
            <v>ORD-2025-10766</v>
          </cell>
          <cell r="B767" t="str">
            <v>29-06-2025</v>
          </cell>
          <cell r="D767" t="str">
            <v>2025-07-03</v>
          </cell>
          <cell r="F767" t="str">
            <v>Valid</v>
          </cell>
          <cell r="H767" t="str">
            <v>Valid</v>
          </cell>
          <cell r="N767" t="str">
            <v>East</v>
          </cell>
          <cell r="V767" t="str">
            <v>First Class</v>
          </cell>
          <cell r="Z767">
            <v>0</v>
          </cell>
          <cell r="AB767" t="str">
            <v>Valid</v>
          </cell>
          <cell r="AC767">
            <v>1824.42</v>
          </cell>
          <cell r="AE767">
            <v>1824.42</v>
          </cell>
          <cell r="AH767">
            <v>1214.8699999999999</v>
          </cell>
          <cell r="AI767">
            <v>609.54999999999995</v>
          </cell>
          <cell r="AO767" t="str">
            <v>Paid</v>
          </cell>
          <cell r="AP767" t="str">
            <v>Completed</v>
          </cell>
        </row>
        <row r="768">
          <cell r="A768" t="str">
            <v>ORD-2024-10767</v>
          </cell>
          <cell r="B768" t="str">
            <v>17 Sep 2024</v>
          </cell>
          <cell r="D768" t="str">
            <v>24 Sep 2024</v>
          </cell>
          <cell r="F768" t="str">
            <v>Valid</v>
          </cell>
          <cell r="H768" t="str">
            <v>Valid</v>
          </cell>
          <cell r="N768" t="str">
            <v>West</v>
          </cell>
          <cell r="V768" t="str">
            <v>Second Class</v>
          </cell>
          <cell r="Z768">
            <v>0.2</v>
          </cell>
          <cell r="AB768" t="str">
            <v>Valid</v>
          </cell>
          <cell r="AC768">
            <v>16617.310000000001</v>
          </cell>
          <cell r="AE768">
            <v>16617.312000000002</v>
          </cell>
          <cell r="AH768">
            <v>9195.73</v>
          </cell>
          <cell r="AI768">
            <v>7421.58</v>
          </cell>
          <cell r="AO768" t="str">
            <v>Paid</v>
          </cell>
          <cell r="AP768" t="str">
            <v>Cancelled</v>
          </cell>
        </row>
        <row r="769">
          <cell r="A769" t="str">
            <v>ORD-2024-10768</v>
          </cell>
          <cell r="B769" t="str">
            <v>03 May 2024</v>
          </cell>
          <cell r="D769" t="str">
            <v>05/06/2024</v>
          </cell>
          <cell r="F769" t="str">
            <v>Valid</v>
          </cell>
          <cell r="H769" t="str">
            <v>Valid</v>
          </cell>
          <cell r="N769" t="str">
            <v>North</v>
          </cell>
          <cell r="V769" t="str">
            <v>Standard Class</v>
          </cell>
          <cell r="Z769">
            <v>0.25</v>
          </cell>
          <cell r="AB769" t="str">
            <v>Valid</v>
          </cell>
          <cell r="AC769">
            <v>933.43</v>
          </cell>
          <cell r="AE769">
            <v>933.43499999999995</v>
          </cell>
          <cell r="AH769">
            <v>583.09</v>
          </cell>
          <cell r="AI769">
            <v>350.34</v>
          </cell>
          <cell r="AO769" t="str">
            <v>Paid</v>
          </cell>
          <cell r="AP769" t="str">
            <v>Completed</v>
          </cell>
        </row>
        <row r="770">
          <cell r="A770" t="str">
            <v>ORD-2025-10769</v>
          </cell>
          <cell r="B770" t="str">
            <v>2025-04-02</v>
          </cell>
          <cell r="D770" t="str">
            <v>2025-04-04</v>
          </cell>
          <cell r="F770" t="str">
            <v>Valid</v>
          </cell>
          <cell r="H770" t="str">
            <v>Valid</v>
          </cell>
          <cell r="N770" t="str">
            <v>East</v>
          </cell>
          <cell r="V770" t="str">
            <v>Same Day</v>
          </cell>
          <cell r="Z770">
            <v>0.1</v>
          </cell>
          <cell r="AB770" t="str">
            <v>Valid</v>
          </cell>
          <cell r="AC770">
            <v>14554.08</v>
          </cell>
          <cell r="AE770">
            <v>14554.08</v>
          </cell>
          <cell r="AH770">
            <v>11166.84</v>
          </cell>
          <cell r="AI770">
            <v>3387.24</v>
          </cell>
          <cell r="AO770" t="str">
            <v>Paid</v>
          </cell>
          <cell r="AP770" t="str">
            <v>Completed</v>
          </cell>
        </row>
        <row r="771">
          <cell r="A771" t="str">
            <v>ORD-2024-10770</v>
          </cell>
          <cell r="B771" t="str">
            <v>05/11/2024</v>
          </cell>
          <cell r="D771" t="str">
            <v>13 May 2024</v>
          </cell>
          <cell r="F771" t="str">
            <v>Valid</v>
          </cell>
          <cell r="H771" t="str">
            <v>Valid</v>
          </cell>
          <cell r="N771" t="str">
            <v>West</v>
          </cell>
          <cell r="V771" t="str">
            <v>Same Day</v>
          </cell>
          <cell r="Z771">
            <v>0.25</v>
          </cell>
          <cell r="AB771" t="str">
            <v>Valid</v>
          </cell>
          <cell r="AC771">
            <v>8128.69</v>
          </cell>
          <cell r="AE771">
            <v>8128.6875</v>
          </cell>
          <cell r="AH771">
            <v>5071.66</v>
          </cell>
          <cell r="AI771">
            <v>3057.03</v>
          </cell>
          <cell r="AO771" t="str">
            <v>Paid</v>
          </cell>
          <cell r="AP771" t="str">
            <v>Completed</v>
          </cell>
        </row>
        <row r="772">
          <cell r="A772" t="str">
            <v>ORD-2024-10771</v>
          </cell>
          <cell r="B772" t="str">
            <v>02/15/2024</v>
          </cell>
          <cell r="D772" t="str">
            <v>17-02-2024</v>
          </cell>
          <cell r="F772" t="str">
            <v>Valid</v>
          </cell>
          <cell r="H772" t="str">
            <v>Valid</v>
          </cell>
          <cell r="N772" t="str">
            <v>North</v>
          </cell>
          <cell r="V772" t="str">
            <v>First Class</v>
          </cell>
          <cell r="AB772" t="str">
            <v>Valid</v>
          </cell>
          <cell r="AC772">
            <v>3106.8</v>
          </cell>
          <cell r="AE772">
            <v>3452</v>
          </cell>
          <cell r="AH772">
            <v>2376.62</v>
          </cell>
          <cell r="AI772">
            <v>730.18</v>
          </cell>
          <cell r="AO772" t="str">
            <v>Paid</v>
          </cell>
          <cell r="AP772" t="str">
            <v>Completed</v>
          </cell>
        </row>
        <row r="773">
          <cell r="A773" t="str">
            <v>ORD-2024-10772</v>
          </cell>
          <cell r="B773" t="str">
            <v>2024-07-12</v>
          </cell>
          <cell r="D773" t="str">
            <v>2024-07-14</v>
          </cell>
          <cell r="F773" t="str">
            <v>Valid</v>
          </cell>
          <cell r="H773" t="str">
            <v>Valid</v>
          </cell>
          <cell r="N773" t="str">
            <v>North</v>
          </cell>
          <cell r="V773" t="str">
            <v>Second Class</v>
          </cell>
          <cell r="AB773" t="str">
            <v>Valid</v>
          </cell>
          <cell r="AC773">
            <v>6394.23</v>
          </cell>
          <cell r="AE773">
            <v>8525.64</v>
          </cell>
          <cell r="AH773">
            <v>3520.69</v>
          </cell>
          <cell r="AI773">
            <v>2873.54</v>
          </cell>
          <cell r="AO773" t="str">
            <v>Paid</v>
          </cell>
          <cell r="AP773" t="str">
            <v>Completed</v>
          </cell>
        </row>
        <row r="774">
          <cell r="A774" t="str">
            <v>ORD-2025-10773</v>
          </cell>
          <cell r="B774" t="str">
            <v>07/15/2025</v>
          </cell>
          <cell r="D774" t="str">
            <v>19 Jul 2025</v>
          </cell>
          <cell r="F774" t="str">
            <v>Valid</v>
          </cell>
          <cell r="H774" t="str">
            <v>Valid</v>
          </cell>
          <cell r="N774" t="str">
            <v>South</v>
          </cell>
          <cell r="V774" t="str">
            <v>Same Day</v>
          </cell>
          <cell r="Z774">
            <v>0.05</v>
          </cell>
          <cell r="AB774" t="str">
            <v>Valid</v>
          </cell>
          <cell r="AC774">
            <v>3708.06</v>
          </cell>
          <cell r="AE774">
            <v>3708.0589999999997</v>
          </cell>
          <cell r="AH774">
            <v>2760.29</v>
          </cell>
          <cell r="AI774">
            <v>947.77</v>
          </cell>
          <cell r="AO774" t="str">
            <v>Pending</v>
          </cell>
          <cell r="AP774" t="str">
            <v>Cancelled</v>
          </cell>
        </row>
        <row r="775">
          <cell r="A775" t="str">
            <v>ORD-2025-10774</v>
          </cell>
          <cell r="B775" t="str">
            <v>2025-02-21</v>
          </cell>
          <cell r="D775" t="str">
            <v>21 Feb 2025</v>
          </cell>
          <cell r="F775" t="str">
            <v>Valid</v>
          </cell>
          <cell r="H775" t="str">
            <v>Valid</v>
          </cell>
          <cell r="N775" t="str">
            <v>West</v>
          </cell>
          <cell r="Z775">
            <v>0.2</v>
          </cell>
          <cell r="AB775" t="str">
            <v>Valid</v>
          </cell>
          <cell r="AC775">
            <v>9424.2199999999993</v>
          </cell>
          <cell r="AE775">
            <v>9424.2240000000002</v>
          </cell>
          <cell r="AH775">
            <v>6178.92</v>
          </cell>
          <cell r="AI775">
            <v>3245.3</v>
          </cell>
          <cell r="AO775" t="str">
            <v>Paid</v>
          </cell>
          <cell r="AP775" t="str">
            <v>Completed</v>
          </cell>
        </row>
        <row r="776">
          <cell r="A776" t="str">
            <v>ORD-2025-10775</v>
          </cell>
          <cell r="B776" t="str">
            <v>07-08-2025</v>
          </cell>
          <cell r="D776" t="str">
            <v>2025-08-07</v>
          </cell>
          <cell r="F776" t="str">
            <v>Valid</v>
          </cell>
          <cell r="H776" t="str">
            <v>Valid</v>
          </cell>
          <cell r="N776" t="str">
            <v>West</v>
          </cell>
          <cell r="Z776">
            <v>0.2</v>
          </cell>
          <cell r="AB776" t="str">
            <v>Valid</v>
          </cell>
          <cell r="AC776">
            <v>7752.6</v>
          </cell>
          <cell r="AE776">
            <v>7752.6</v>
          </cell>
          <cell r="AH776">
            <v>4689.3</v>
          </cell>
          <cell r="AI776">
            <v>3063.3</v>
          </cell>
          <cell r="AO776" t="str">
            <v>Paid</v>
          </cell>
          <cell r="AP776" t="str">
            <v>Completed</v>
          </cell>
        </row>
        <row r="777">
          <cell r="A777" t="str">
            <v>ORD-2024-10776</v>
          </cell>
          <cell r="B777" t="str">
            <v>14 Apr 2024</v>
          </cell>
          <cell r="D777" t="str">
            <v>22-04-2024</v>
          </cell>
          <cell r="F777" t="str">
            <v>Valid</v>
          </cell>
          <cell r="H777" t="str">
            <v>Valid</v>
          </cell>
          <cell r="N777" t="str">
            <v>North</v>
          </cell>
          <cell r="V777" t="str">
            <v>Standard Class</v>
          </cell>
          <cell r="Z777">
            <v>0.25</v>
          </cell>
          <cell r="AB777" t="str">
            <v>Valid</v>
          </cell>
          <cell r="AC777">
            <v>23736.720000000001</v>
          </cell>
          <cell r="AE777">
            <v>23736.720000000001</v>
          </cell>
          <cell r="AH777">
            <v>13890.9</v>
          </cell>
          <cell r="AI777">
            <v>9845.82</v>
          </cell>
          <cell r="AO777" t="str">
            <v>Paid</v>
          </cell>
          <cell r="AP777" t="str">
            <v>Completed</v>
          </cell>
        </row>
        <row r="778">
          <cell r="A778" t="str">
            <v>ORD-2025-10777</v>
          </cell>
          <cell r="B778" t="str">
            <v>08-06-2025</v>
          </cell>
          <cell r="D778" t="str">
            <v>06/13/2025</v>
          </cell>
          <cell r="F778" t="str">
            <v>Valid</v>
          </cell>
          <cell r="H778" t="str">
            <v>Valid</v>
          </cell>
          <cell r="N778" t="str">
            <v>North</v>
          </cell>
          <cell r="V778" t="str">
            <v>Second Class</v>
          </cell>
          <cell r="Z778">
            <v>0</v>
          </cell>
          <cell r="AB778" t="str">
            <v>Valid</v>
          </cell>
          <cell r="AC778">
            <v>26999.91</v>
          </cell>
          <cell r="AE778">
            <v>26999.91</v>
          </cell>
          <cell r="AH778">
            <v>17815.98</v>
          </cell>
          <cell r="AI778">
            <v>9183.93</v>
          </cell>
          <cell r="AO778" t="str">
            <v>Paid</v>
          </cell>
          <cell r="AP778" t="str">
            <v>Completed</v>
          </cell>
        </row>
        <row r="779">
          <cell r="A779" t="str">
            <v>ORD-2024-10778</v>
          </cell>
          <cell r="B779" t="str">
            <v>04-02-2024</v>
          </cell>
          <cell r="D779" t="str">
            <v>2024-02-06</v>
          </cell>
          <cell r="F779" t="str">
            <v>Valid</v>
          </cell>
          <cell r="H779" t="str">
            <v>Valid</v>
          </cell>
          <cell r="N779" t="str">
            <v>West</v>
          </cell>
          <cell r="V779" t="str">
            <v>Second Class</v>
          </cell>
          <cell r="Z779">
            <v>0.15</v>
          </cell>
          <cell r="AB779" t="str">
            <v>Valid</v>
          </cell>
          <cell r="AC779">
            <v>5065.12</v>
          </cell>
          <cell r="AE779">
            <v>5065.116</v>
          </cell>
          <cell r="AH779">
            <v>3530.12</v>
          </cell>
          <cell r="AI779">
            <v>1535</v>
          </cell>
          <cell r="AO779" t="str">
            <v>Failed</v>
          </cell>
          <cell r="AP779" t="str">
            <v>Cancelled</v>
          </cell>
        </row>
        <row r="780">
          <cell r="A780" t="str">
            <v>ORD-2024-10779</v>
          </cell>
          <cell r="B780" t="str">
            <v>07/24/2024</v>
          </cell>
          <cell r="D780" t="str">
            <v>24-07-2024</v>
          </cell>
          <cell r="F780" t="str">
            <v>Valid</v>
          </cell>
          <cell r="H780" t="str">
            <v>Valid</v>
          </cell>
          <cell r="N780" t="str">
            <v>North</v>
          </cell>
          <cell r="V780" t="str">
            <v>Second Class</v>
          </cell>
          <cell r="Z780">
            <v>0</v>
          </cell>
          <cell r="AB780" t="str">
            <v>Valid</v>
          </cell>
          <cell r="AC780">
            <v>6707.52</v>
          </cell>
          <cell r="AE780">
            <v>6707.52</v>
          </cell>
          <cell r="AH780">
            <v>5672.57</v>
          </cell>
          <cell r="AI780">
            <v>1034.95</v>
          </cell>
          <cell r="AO780" t="str">
            <v>Paid</v>
          </cell>
          <cell r="AP780" t="str">
            <v>Completed</v>
          </cell>
        </row>
        <row r="781">
          <cell r="A781" t="str">
            <v>ORD-2024-10780</v>
          </cell>
          <cell r="B781" t="str">
            <v>01/15/2024</v>
          </cell>
          <cell r="D781" t="str">
            <v>20-01-2024</v>
          </cell>
          <cell r="F781" t="str">
            <v>Valid</v>
          </cell>
          <cell r="H781" t="str">
            <v>Valid</v>
          </cell>
          <cell r="N781" t="str">
            <v>South</v>
          </cell>
          <cell r="V781" t="str">
            <v>Standard Class</v>
          </cell>
          <cell r="Z781">
            <v>0.05</v>
          </cell>
          <cell r="AB781" t="str">
            <v>Valid</v>
          </cell>
          <cell r="AC781">
            <v>11983.45</v>
          </cell>
          <cell r="AE781">
            <v>11983.451999999999</v>
          </cell>
          <cell r="AH781">
            <v>8572.9</v>
          </cell>
          <cell r="AI781">
            <v>3410.55</v>
          </cell>
          <cell r="AO781" t="str">
            <v>Paid</v>
          </cell>
          <cell r="AP781" t="str">
            <v>Completed</v>
          </cell>
        </row>
        <row r="782">
          <cell r="A782" t="str">
            <v>ORD-2024-10781</v>
          </cell>
          <cell r="B782" t="str">
            <v>04 Aug 2024</v>
          </cell>
          <cell r="D782" t="str">
            <v>08/10/2024</v>
          </cell>
          <cell r="F782" t="str">
            <v>Valid</v>
          </cell>
          <cell r="H782" t="str">
            <v>Valid</v>
          </cell>
          <cell r="N782" t="str">
            <v>West</v>
          </cell>
          <cell r="V782" t="str">
            <v>Same Day</v>
          </cell>
          <cell r="Z782">
            <v>0.2</v>
          </cell>
          <cell r="AB782" t="str">
            <v>Valid</v>
          </cell>
          <cell r="AC782">
            <v>1364.58</v>
          </cell>
          <cell r="AE782">
            <v>1364.576</v>
          </cell>
          <cell r="AH782">
            <v>978.16</v>
          </cell>
          <cell r="AI782">
            <v>386.42</v>
          </cell>
          <cell r="AO782" t="str">
            <v>Paid</v>
          </cell>
          <cell r="AP782" t="str">
            <v>Completed</v>
          </cell>
        </row>
        <row r="783">
          <cell r="A783" t="str">
            <v>ORD-2024-10782</v>
          </cell>
          <cell r="B783" t="str">
            <v>2024-02-02</v>
          </cell>
          <cell r="D783" t="str">
            <v>10 Feb 2024</v>
          </cell>
          <cell r="F783" t="str">
            <v>Valid</v>
          </cell>
          <cell r="H783" t="str">
            <v>Valid</v>
          </cell>
          <cell r="N783" t="str">
            <v>West</v>
          </cell>
          <cell r="V783" t="str">
            <v>First Class</v>
          </cell>
          <cell r="Z783">
            <v>0.25</v>
          </cell>
          <cell r="AB783" t="str">
            <v>Valid</v>
          </cell>
          <cell r="AC783">
            <v>862.65</v>
          </cell>
          <cell r="AE783">
            <v>862.64999999999986</v>
          </cell>
          <cell r="AH783">
            <v>603.73</v>
          </cell>
          <cell r="AI783">
            <v>258.92</v>
          </cell>
          <cell r="AO783" t="str">
            <v>Pending</v>
          </cell>
          <cell r="AP783" t="str">
            <v>Returned</v>
          </cell>
        </row>
        <row r="784">
          <cell r="A784" t="str">
            <v>ORD-2025-10783</v>
          </cell>
          <cell r="B784" t="str">
            <v>2025-03-14</v>
          </cell>
          <cell r="D784" t="str">
            <v>03/22/2025</v>
          </cell>
          <cell r="F784" t="str">
            <v>Valid</v>
          </cell>
          <cell r="H784" t="str">
            <v>Valid</v>
          </cell>
          <cell r="N784" t="str">
            <v>East</v>
          </cell>
          <cell r="V784" t="str">
            <v>Standard Class</v>
          </cell>
          <cell r="Z784">
            <v>0.15</v>
          </cell>
          <cell r="AB784" t="str">
            <v>Valid</v>
          </cell>
          <cell r="AC784">
            <v>1138.3699999999999</v>
          </cell>
          <cell r="AE784">
            <v>1138.3709999999999</v>
          </cell>
          <cell r="AH784">
            <v>797.34</v>
          </cell>
          <cell r="AI784">
            <v>341.03</v>
          </cell>
          <cell r="AO784" t="str">
            <v>Paid</v>
          </cell>
          <cell r="AP784" t="str">
            <v>Completed</v>
          </cell>
        </row>
        <row r="785">
          <cell r="A785" t="str">
            <v>ORD-2024-10784</v>
          </cell>
          <cell r="B785" t="str">
            <v>07 Jun 2024</v>
          </cell>
          <cell r="D785" t="str">
            <v>2024-06-07</v>
          </cell>
          <cell r="F785" t="str">
            <v>Valid</v>
          </cell>
          <cell r="H785" t="str">
            <v>Valid</v>
          </cell>
          <cell r="N785" t="str">
            <v>East</v>
          </cell>
          <cell r="V785" t="str">
            <v>Second Class</v>
          </cell>
          <cell r="Z785">
            <v>0.05</v>
          </cell>
          <cell r="AB785" t="str">
            <v>Valid</v>
          </cell>
          <cell r="AC785">
            <v>2452.83</v>
          </cell>
          <cell r="AE785">
            <v>2452.8334999999997</v>
          </cell>
          <cell r="AH785">
            <v>1906.7</v>
          </cell>
          <cell r="AI785">
            <v>546.13</v>
          </cell>
          <cell r="AO785" t="str">
            <v>Paid</v>
          </cell>
          <cell r="AP785" t="str">
            <v>Completed</v>
          </cell>
        </row>
        <row r="786">
          <cell r="A786" t="str">
            <v>ORD-2025-10785</v>
          </cell>
          <cell r="B786" t="str">
            <v>10/04/2025</v>
          </cell>
          <cell r="D786" t="str">
            <v>2025-10-05</v>
          </cell>
          <cell r="F786" t="str">
            <v>Valid</v>
          </cell>
          <cell r="H786" t="str">
            <v>Valid</v>
          </cell>
          <cell r="N786" t="str">
            <v>north</v>
          </cell>
          <cell r="V786" t="str">
            <v>First Class</v>
          </cell>
          <cell r="Z786">
            <v>0.05</v>
          </cell>
          <cell r="AB786" t="str">
            <v>Valid</v>
          </cell>
          <cell r="AC786">
            <v>1589.08</v>
          </cell>
          <cell r="AE786">
            <v>1589.0840000000001</v>
          </cell>
          <cell r="AH786">
            <v>1084.6600000000001</v>
          </cell>
          <cell r="AI786">
            <v>504.42</v>
          </cell>
          <cell r="AO786" t="str">
            <v>Paid</v>
          </cell>
          <cell r="AP786" t="str">
            <v>Completed</v>
          </cell>
        </row>
        <row r="787">
          <cell r="A787" t="str">
            <v>ORD-2024-10786</v>
          </cell>
          <cell r="B787" t="str">
            <v>23-05-2024</v>
          </cell>
          <cell r="D787" t="str">
            <v>29-05-2024</v>
          </cell>
          <cell r="F787" t="str">
            <v>Valid</v>
          </cell>
          <cell r="H787" t="str">
            <v>Valid</v>
          </cell>
          <cell r="N787" t="str">
            <v>North</v>
          </cell>
          <cell r="V787" t="str">
            <v>Same Day</v>
          </cell>
          <cell r="Z787">
            <v>0.25</v>
          </cell>
          <cell r="AB787" t="str">
            <v>Valid</v>
          </cell>
          <cell r="AC787">
            <v>4519.41</v>
          </cell>
          <cell r="AE787">
            <v>4519.41</v>
          </cell>
          <cell r="AH787">
            <v>3504.16</v>
          </cell>
          <cell r="AI787">
            <v>1275.55</v>
          </cell>
          <cell r="AO787" t="str">
            <v>Failed</v>
          </cell>
          <cell r="AP787" t="str">
            <v>Cancelled</v>
          </cell>
        </row>
        <row r="788">
          <cell r="A788" t="str">
            <v>ORD-2025-10787</v>
          </cell>
          <cell r="B788" t="str">
            <v>07/06/2025</v>
          </cell>
          <cell r="D788" t="str">
            <v>08 Jul 2025</v>
          </cell>
          <cell r="F788" t="str">
            <v>Valid</v>
          </cell>
          <cell r="H788" t="str">
            <v>Valid</v>
          </cell>
          <cell r="N788" t="str">
            <v>North</v>
          </cell>
          <cell r="Z788">
            <v>0.05</v>
          </cell>
          <cell r="AB788" t="str">
            <v>Valid</v>
          </cell>
          <cell r="AC788">
            <v>2718.71</v>
          </cell>
          <cell r="AE788">
            <v>2718.71</v>
          </cell>
          <cell r="AH788">
            <v>2065.0500000000002</v>
          </cell>
          <cell r="AI788">
            <v>653.66</v>
          </cell>
          <cell r="AO788" t="str">
            <v>Refunded</v>
          </cell>
          <cell r="AP788" t="str">
            <v>Returned</v>
          </cell>
        </row>
        <row r="789">
          <cell r="A789" t="str">
            <v>ORD-2024-10788</v>
          </cell>
          <cell r="B789" t="str">
            <v>2024-09-12</v>
          </cell>
          <cell r="D789" t="str">
            <v>2024-09-18</v>
          </cell>
          <cell r="F789" t="str">
            <v>Valid</v>
          </cell>
          <cell r="H789" t="str">
            <v>Valid</v>
          </cell>
          <cell r="N789" t="str">
            <v>East</v>
          </cell>
          <cell r="V789" t="str">
            <v>Second Class</v>
          </cell>
          <cell r="Z789">
            <v>0.05</v>
          </cell>
          <cell r="AB789" t="str">
            <v>Valid</v>
          </cell>
          <cell r="AC789">
            <v>7065.66</v>
          </cell>
          <cell r="AE789">
            <v>7065.6629999999996</v>
          </cell>
          <cell r="AH789">
            <v>4915.2700000000004</v>
          </cell>
          <cell r="AI789">
            <v>2150.39</v>
          </cell>
          <cell r="AO789" t="str">
            <v>Paid</v>
          </cell>
          <cell r="AP789" t="str">
            <v>Completed</v>
          </cell>
        </row>
        <row r="790">
          <cell r="A790" t="str">
            <v>ORD-2024-10789</v>
          </cell>
          <cell r="B790" t="str">
            <v>01 Aug 2024</v>
          </cell>
          <cell r="D790" t="str">
            <v>02-08-2024</v>
          </cell>
          <cell r="F790" t="str">
            <v>Valid</v>
          </cell>
          <cell r="H790" t="str">
            <v>Valid</v>
          </cell>
          <cell r="N790" t="str">
            <v>North</v>
          </cell>
          <cell r="V790" t="str">
            <v>Standard Class</v>
          </cell>
          <cell r="Z790">
            <v>0.1</v>
          </cell>
          <cell r="AB790" t="str">
            <v>Valid</v>
          </cell>
          <cell r="AC790">
            <v>17911.009999999998</v>
          </cell>
          <cell r="AE790">
            <v>17911.007999999998</v>
          </cell>
          <cell r="AH790">
            <v>11546.05</v>
          </cell>
          <cell r="AI790">
            <v>6364.96</v>
          </cell>
          <cell r="AO790" t="str">
            <v>Failed</v>
          </cell>
          <cell r="AP790" t="str">
            <v>Returned</v>
          </cell>
        </row>
        <row r="791">
          <cell r="A791" t="str">
            <v>ORD-2025-10790</v>
          </cell>
          <cell r="B791" t="str">
            <v>07 Mar 2025</v>
          </cell>
          <cell r="D791" t="str">
            <v>08 Mar 2025</v>
          </cell>
          <cell r="F791" t="str">
            <v>Valid</v>
          </cell>
          <cell r="H791" t="str">
            <v>Valid</v>
          </cell>
          <cell r="V791" t="str">
            <v>Same Day</v>
          </cell>
          <cell r="Z791">
            <v>0</v>
          </cell>
          <cell r="AB791" t="str">
            <v>Valid</v>
          </cell>
          <cell r="AC791">
            <v>14149.92</v>
          </cell>
          <cell r="AE791">
            <v>14149.92</v>
          </cell>
          <cell r="AH791">
            <v>9466.51</v>
          </cell>
          <cell r="AI791">
            <v>4683.41</v>
          </cell>
          <cell r="AO791" t="str">
            <v>Paid</v>
          </cell>
          <cell r="AP791" t="str">
            <v>Completed</v>
          </cell>
        </row>
        <row r="792">
          <cell r="A792" t="str">
            <v>ORD-2024-10791</v>
          </cell>
          <cell r="B792" t="str">
            <v>31 May 2024</v>
          </cell>
          <cell r="D792" t="str">
            <v>2024-06-02</v>
          </cell>
          <cell r="F792" t="str">
            <v>Valid</v>
          </cell>
          <cell r="H792" t="str">
            <v>Valid</v>
          </cell>
          <cell r="N792" t="str">
            <v>South</v>
          </cell>
          <cell r="V792" t="str">
            <v>Standard Class</v>
          </cell>
          <cell r="Z792">
            <v>0.2</v>
          </cell>
          <cell r="AB792" t="str">
            <v>Valid</v>
          </cell>
          <cell r="AC792">
            <v>4272.58</v>
          </cell>
          <cell r="AE792">
            <v>4272.576</v>
          </cell>
          <cell r="AH792">
            <v>3328.92</v>
          </cell>
          <cell r="AI792">
            <v>943.66</v>
          </cell>
          <cell r="AO792" t="str">
            <v>Paid</v>
          </cell>
          <cell r="AP792" t="str">
            <v>Completed</v>
          </cell>
        </row>
        <row r="793">
          <cell r="A793" t="str">
            <v>ORD-2024-10792</v>
          </cell>
          <cell r="B793" t="str">
            <v>02 Oct 2024</v>
          </cell>
          <cell r="D793" t="str">
            <v>2024-10-06</v>
          </cell>
          <cell r="F793" t="str">
            <v>Valid</v>
          </cell>
          <cell r="H793" t="str">
            <v>Valid</v>
          </cell>
          <cell r="N793" t="str">
            <v>South</v>
          </cell>
          <cell r="V793" t="str">
            <v>Same Day</v>
          </cell>
          <cell r="Z793">
            <v>0.25</v>
          </cell>
          <cell r="AB793" t="str">
            <v>Valid</v>
          </cell>
          <cell r="AC793">
            <v>9352.6200000000008</v>
          </cell>
          <cell r="AE793">
            <v>9352.619999999999</v>
          </cell>
          <cell r="AH793">
            <v>5269.41</v>
          </cell>
          <cell r="AI793">
            <v>4083.21</v>
          </cell>
          <cell r="AO793" t="str">
            <v>Paid</v>
          </cell>
          <cell r="AP793" t="str">
            <v>Completed</v>
          </cell>
        </row>
        <row r="794">
          <cell r="A794" t="str">
            <v>ORD-2025-10793</v>
          </cell>
          <cell r="B794" t="str">
            <v>2025-06-04</v>
          </cell>
          <cell r="D794" t="str">
            <v>08 Jun 2025</v>
          </cell>
          <cell r="F794" t="str">
            <v>Valid</v>
          </cell>
          <cell r="H794" t="str">
            <v>Valid</v>
          </cell>
          <cell r="N794" t="str">
            <v>East</v>
          </cell>
          <cell r="V794" t="str">
            <v>Second Class</v>
          </cell>
          <cell r="Z794">
            <v>0.2</v>
          </cell>
          <cell r="AB794" t="str">
            <v>Valid</v>
          </cell>
          <cell r="AC794">
            <v>2800.9</v>
          </cell>
          <cell r="AE794">
            <v>2800.8960000000002</v>
          </cell>
          <cell r="AH794">
            <v>1735.98</v>
          </cell>
          <cell r="AI794">
            <v>1064.92</v>
          </cell>
          <cell r="AO794" t="str">
            <v>Paid</v>
          </cell>
          <cell r="AP794" t="str">
            <v>Returned</v>
          </cell>
        </row>
        <row r="795">
          <cell r="A795" t="str">
            <v>ORD-2024-10794</v>
          </cell>
          <cell r="B795" t="str">
            <v>28-05-2024</v>
          </cell>
          <cell r="D795" t="str">
            <v>03 Jun 2024</v>
          </cell>
          <cell r="F795" t="str">
            <v>Valid</v>
          </cell>
          <cell r="H795" t="str">
            <v>Valid</v>
          </cell>
          <cell r="N795" t="str">
            <v>North</v>
          </cell>
          <cell r="V795" t="str">
            <v>Second Class</v>
          </cell>
          <cell r="Z795">
            <v>0</v>
          </cell>
          <cell r="AB795" t="str">
            <v>Valid</v>
          </cell>
          <cell r="AC795">
            <v>21511.599999999999</v>
          </cell>
          <cell r="AE795">
            <v>21511.599999999999</v>
          </cell>
          <cell r="AH795">
            <v>15408.47</v>
          </cell>
          <cell r="AI795">
            <v>6103.13</v>
          </cell>
          <cell r="AO795" t="str">
            <v>Paid</v>
          </cell>
          <cell r="AP795" t="str">
            <v>Completed</v>
          </cell>
        </row>
        <row r="796">
          <cell r="A796" t="str">
            <v>ORD-2025-10795</v>
          </cell>
          <cell r="B796" t="str">
            <v>2025-06-22</v>
          </cell>
          <cell r="D796" t="str">
            <v>2025-06-24</v>
          </cell>
          <cell r="F796" t="str">
            <v>Valid</v>
          </cell>
          <cell r="H796" t="str">
            <v>Valid</v>
          </cell>
          <cell r="N796" t="str">
            <v>East</v>
          </cell>
          <cell r="V796" t="str">
            <v>Standard Class</v>
          </cell>
          <cell r="Z796">
            <v>0.15</v>
          </cell>
          <cell r="AB796" t="str">
            <v>Valid</v>
          </cell>
          <cell r="AC796">
            <v>7279.36</v>
          </cell>
          <cell r="AE796">
            <v>7279.3574999999992</v>
          </cell>
          <cell r="AH796">
            <v>4870.3900000000003</v>
          </cell>
          <cell r="AI796">
            <v>2408.9699999999998</v>
          </cell>
          <cell r="AO796" t="str">
            <v>Paid</v>
          </cell>
          <cell r="AP796" t="str">
            <v>Completed</v>
          </cell>
        </row>
        <row r="797">
          <cell r="A797" t="str">
            <v>ORD-2024-10796</v>
          </cell>
          <cell r="B797" t="str">
            <v>30-07-2024</v>
          </cell>
          <cell r="D797" t="str">
            <v>2024-07-30</v>
          </cell>
          <cell r="F797" t="str">
            <v>Valid</v>
          </cell>
          <cell r="H797" t="str">
            <v>Valid</v>
          </cell>
          <cell r="N797" t="str">
            <v>East</v>
          </cell>
          <cell r="V797" t="str">
            <v>Same Day</v>
          </cell>
          <cell r="Z797">
            <v>0</v>
          </cell>
          <cell r="AB797" t="str">
            <v>Valid</v>
          </cell>
          <cell r="AC797">
            <v>26051.94</v>
          </cell>
          <cell r="AE797">
            <v>26051.94</v>
          </cell>
          <cell r="AH797">
            <v>16883.59</v>
          </cell>
          <cell r="AI797">
            <v>9168.35</v>
          </cell>
          <cell r="AO797" t="str">
            <v>Refunded</v>
          </cell>
          <cell r="AP797" t="str">
            <v>Cancelled</v>
          </cell>
        </row>
        <row r="798">
          <cell r="A798" t="str">
            <v>ORD-2024-10797</v>
          </cell>
          <cell r="B798" t="str">
            <v>03/23/2024</v>
          </cell>
          <cell r="D798" t="str">
            <v>30-03-2024</v>
          </cell>
          <cell r="F798" t="str">
            <v>Valid</v>
          </cell>
          <cell r="H798" t="str">
            <v>Valid</v>
          </cell>
          <cell r="N798" t="str">
            <v>South</v>
          </cell>
          <cell r="V798" t="str">
            <v>First Class</v>
          </cell>
          <cell r="Z798">
            <v>0.15</v>
          </cell>
          <cell r="AB798" t="str">
            <v>Valid</v>
          </cell>
          <cell r="AC798">
            <v>9661.64</v>
          </cell>
          <cell r="AE798">
            <v>9661.6439999999984</v>
          </cell>
          <cell r="AH798">
            <v>6303.77</v>
          </cell>
          <cell r="AI798">
            <v>3357.87</v>
          </cell>
          <cell r="AO798" t="str">
            <v>Paid</v>
          </cell>
          <cell r="AP798" t="str">
            <v>Completed</v>
          </cell>
        </row>
        <row r="799">
          <cell r="A799" t="str">
            <v>ORD-2024-10798</v>
          </cell>
          <cell r="B799" t="str">
            <v>18 Apr 2024</v>
          </cell>
          <cell r="D799" t="str">
            <v>22-04-2024</v>
          </cell>
          <cell r="F799" t="str">
            <v>Valid</v>
          </cell>
          <cell r="H799" t="str">
            <v>Valid</v>
          </cell>
          <cell r="N799" t="str">
            <v>East</v>
          </cell>
          <cell r="V799" t="str">
            <v>First Class</v>
          </cell>
          <cell r="Z799">
            <v>0</v>
          </cell>
          <cell r="AB799" t="str">
            <v>Valid</v>
          </cell>
          <cell r="AC799">
            <v>13714.96</v>
          </cell>
          <cell r="AE799">
            <v>13714.96</v>
          </cell>
          <cell r="AH799">
            <v>10550.47</v>
          </cell>
          <cell r="AI799">
            <v>3164.49</v>
          </cell>
          <cell r="AO799" t="str">
            <v>Failed</v>
          </cell>
          <cell r="AP799" t="str">
            <v>Cancelled</v>
          </cell>
        </row>
        <row r="800">
          <cell r="A800" t="str">
            <v>ORD-2025-10799</v>
          </cell>
          <cell r="B800" t="str">
            <v>2025-07-11</v>
          </cell>
          <cell r="D800" t="str">
            <v>09-07-2025</v>
          </cell>
          <cell r="F800" t="str">
            <v>Invalid Shipping Record</v>
          </cell>
          <cell r="H800" t="str">
            <v>Invalid Shipping Record</v>
          </cell>
          <cell r="N800" t="str">
            <v>North</v>
          </cell>
          <cell r="V800" t="str">
            <v>Standard Class</v>
          </cell>
          <cell r="Z800">
            <v>0</v>
          </cell>
          <cell r="AB800" t="str">
            <v>Valid</v>
          </cell>
          <cell r="AC800">
            <v>15354.45</v>
          </cell>
          <cell r="AE800">
            <v>15354.449999999999</v>
          </cell>
          <cell r="AH800">
            <v>9656.5</v>
          </cell>
          <cell r="AI800">
            <v>5697.95</v>
          </cell>
          <cell r="AO800" t="str">
            <v>Paid</v>
          </cell>
          <cell r="AP800" t="str">
            <v>Completed</v>
          </cell>
        </row>
        <row r="801">
          <cell r="A801" t="str">
            <v>ORD-2024-10800</v>
          </cell>
          <cell r="B801" t="str">
            <v>10 Oct 2024</v>
          </cell>
          <cell r="D801" t="str">
            <v>2024-10-17</v>
          </cell>
          <cell r="F801" t="str">
            <v>Valid</v>
          </cell>
          <cell r="H801" t="str">
            <v>Valid</v>
          </cell>
          <cell r="N801" t="str">
            <v>North</v>
          </cell>
          <cell r="Z801">
            <v>0.05</v>
          </cell>
          <cell r="AB801" t="str">
            <v>Valid</v>
          </cell>
          <cell r="AC801">
            <v>4595.2</v>
          </cell>
          <cell r="AE801">
            <v>4595.1975000000002</v>
          </cell>
          <cell r="AH801">
            <v>3887.41</v>
          </cell>
          <cell r="AI801">
            <v>707.79</v>
          </cell>
          <cell r="AO801" t="str">
            <v>Paid</v>
          </cell>
          <cell r="AP801" t="str">
            <v>Returned</v>
          </cell>
        </row>
        <row r="802">
          <cell r="A802" t="str">
            <v>ORD-2024-10801</v>
          </cell>
          <cell r="B802" t="str">
            <v>01 Mar 2024</v>
          </cell>
          <cell r="D802" t="str">
            <v>2024-03-07</v>
          </cell>
          <cell r="F802" t="str">
            <v>Valid</v>
          </cell>
          <cell r="H802" t="str">
            <v>Valid</v>
          </cell>
          <cell r="N802" t="str">
            <v>West</v>
          </cell>
          <cell r="V802" t="str">
            <v>Second Class</v>
          </cell>
          <cell r="Z802">
            <v>0.15</v>
          </cell>
          <cell r="AB802" t="str">
            <v>Valid</v>
          </cell>
          <cell r="AC802">
            <v>21234.97</v>
          </cell>
          <cell r="AE802">
            <v>21234.971999999998</v>
          </cell>
          <cell r="AH802">
            <v>16736.09</v>
          </cell>
          <cell r="AI802">
            <v>4498.88</v>
          </cell>
          <cell r="AO802" t="str">
            <v>Paid</v>
          </cell>
          <cell r="AP802" t="str">
            <v>Completed</v>
          </cell>
        </row>
        <row r="803">
          <cell r="A803" t="str">
            <v>ORD-2025-10802</v>
          </cell>
          <cell r="B803" t="str">
            <v>2025-10-08</v>
          </cell>
          <cell r="D803" t="str">
            <v>15 Oct 2025</v>
          </cell>
          <cell r="F803" t="str">
            <v>Valid</v>
          </cell>
          <cell r="H803" t="str">
            <v>Valid</v>
          </cell>
          <cell r="N803" t="str">
            <v>East</v>
          </cell>
          <cell r="V803" t="str">
            <v>Second Class</v>
          </cell>
          <cell r="Z803">
            <v>0.2</v>
          </cell>
          <cell r="AB803" t="str">
            <v>Valid</v>
          </cell>
          <cell r="AC803">
            <v>8093.3</v>
          </cell>
          <cell r="AE803">
            <v>8093.304000000001</v>
          </cell>
          <cell r="AH803">
            <v>6052.43</v>
          </cell>
          <cell r="AI803">
            <v>2040.87</v>
          </cell>
          <cell r="AO803" t="str">
            <v>Pending</v>
          </cell>
          <cell r="AP803" t="str">
            <v>Cancelled</v>
          </cell>
        </row>
        <row r="804">
          <cell r="A804" t="str">
            <v>ORD-2025-10803</v>
          </cell>
          <cell r="B804" t="str">
            <v>16 Feb 2025</v>
          </cell>
          <cell r="D804" t="str">
            <v>2025-02-16</v>
          </cell>
          <cell r="F804" t="str">
            <v>Valid</v>
          </cell>
          <cell r="H804" t="str">
            <v>Valid</v>
          </cell>
          <cell r="N804" t="str">
            <v>East</v>
          </cell>
          <cell r="V804" t="str">
            <v>Second Class</v>
          </cell>
          <cell r="Z804">
            <v>0</v>
          </cell>
          <cell r="AB804" t="str">
            <v>Valid</v>
          </cell>
          <cell r="AC804">
            <v>8651.4599999999991</v>
          </cell>
          <cell r="AE804">
            <v>8651.4600000000009</v>
          </cell>
          <cell r="AH804">
            <v>5254.62</v>
          </cell>
          <cell r="AI804">
            <v>3396.84</v>
          </cell>
          <cell r="AO804" t="str">
            <v>failed</v>
          </cell>
          <cell r="AP804" t="str">
            <v>Returned</v>
          </cell>
        </row>
        <row r="805">
          <cell r="A805" t="str">
            <v>ORD-2024-10804</v>
          </cell>
          <cell r="B805" t="str">
            <v>09 Dec 2024</v>
          </cell>
          <cell r="D805" t="str">
            <v>13 Dec 2024</v>
          </cell>
          <cell r="F805" t="str">
            <v>Valid</v>
          </cell>
          <cell r="H805" t="str">
            <v>Valid</v>
          </cell>
          <cell r="V805" t="str">
            <v>First Class</v>
          </cell>
          <cell r="Z805">
            <v>0</v>
          </cell>
          <cell r="AB805" t="str">
            <v>Valid</v>
          </cell>
          <cell r="AC805">
            <v>4306.6499999999996</v>
          </cell>
          <cell r="AE805">
            <v>4306.6499999999996</v>
          </cell>
          <cell r="AH805">
            <v>2568.8200000000002</v>
          </cell>
          <cell r="AI805">
            <v>1737.83</v>
          </cell>
          <cell r="AO805" t="str">
            <v>Paid</v>
          </cell>
          <cell r="AP805" t="str">
            <v>Completed</v>
          </cell>
        </row>
        <row r="806">
          <cell r="A806" t="str">
            <v>ORD-2025-10805</v>
          </cell>
          <cell r="B806" t="str">
            <v>10-09-2025</v>
          </cell>
          <cell r="D806" t="str">
            <v>18-09-2025</v>
          </cell>
          <cell r="F806" t="str">
            <v>Valid</v>
          </cell>
          <cell r="H806" t="str">
            <v>Valid</v>
          </cell>
          <cell r="N806" t="str">
            <v>South</v>
          </cell>
          <cell r="V806" t="str">
            <v>Standard Class</v>
          </cell>
          <cell r="Z806">
            <v>0.05</v>
          </cell>
          <cell r="AB806" t="str">
            <v>Valid</v>
          </cell>
          <cell r="AC806">
            <v>1948.09</v>
          </cell>
          <cell r="AE806">
            <v>1948.0889999999997</v>
          </cell>
          <cell r="AH806">
            <v>1507.08</v>
          </cell>
          <cell r="AI806">
            <v>441.01</v>
          </cell>
          <cell r="AO806" t="str">
            <v>Paid</v>
          </cell>
          <cell r="AP806" t="str">
            <v>Completed</v>
          </cell>
        </row>
        <row r="807">
          <cell r="A807" t="str">
            <v>ORD-2025-10806</v>
          </cell>
          <cell r="B807" t="str">
            <v>2025-04-06</v>
          </cell>
          <cell r="D807" t="str">
            <v>07-04-2025</v>
          </cell>
          <cell r="F807" t="str">
            <v>Valid</v>
          </cell>
          <cell r="H807" t="str">
            <v>Valid</v>
          </cell>
          <cell r="N807" t="str">
            <v>East</v>
          </cell>
          <cell r="V807" t="str">
            <v>Second Class</v>
          </cell>
          <cell r="Z807">
            <v>0.25</v>
          </cell>
          <cell r="AB807" t="str">
            <v>Valid</v>
          </cell>
          <cell r="AC807">
            <v>3045.09</v>
          </cell>
          <cell r="AE807">
            <v>3045.09</v>
          </cell>
          <cell r="AH807">
            <v>2601.09</v>
          </cell>
          <cell r="AI807">
            <v>444</v>
          </cell>
          <cell r="AO807" t="str">
            <v>Paid</v>
          </cell>
          <cell r="AP807" t="str">
            <v>Completed</v>
          </cell>
        </row>
        <row r="808">
          <cell r="A808" t="str">
            <v>ORD-2024-10807</v>
          </cell>
          <cell r="B808" t="str">
            <v>09-11-2024</v>
          </cell>
          <cell r="D808" t="str">
            <v>15 Nov 2024</v>
          </cell>
          <cell r="F808" t="str">
            <v>Valid</v>
          </cell>
          <cell r="H808" t="str">
            <v>Valid</v>
          </cell>
          <cell r="N808" t="str">
            <v>North</v>
          </cell>
          <cell r="V808" t="str">
            <v>Standard Class</v>
          </cell>
          <cell r="Z808">
            <v>0.2</v>
          </cell>
          <cell r="AB808" t="str">
            <v>Valid</v>
          </cell>
          <cell r="AC808">
            <v>2932.78</v>
          </cell>
          <cell r="AE808">
            <v>2932.7759999999998</v>
          </cell>
          <cell r="AH808">
            <v>1900.35</v>
          </cell>
          <cell r="AI808">
            <v>1032.43</v>
          </cell>
          <cell r="AO808" t="str">
            <v>Failed</v>
          </cell>
          <cell r="AP808" t="str">
            <v>Cancelled</v>
          </cell>
        </row>
        <row r="809">
          <cell r="A809" t="str">
            <v>ORD-2025-10808</v>
          </cell>
          <cell r="B809" t="str">
            <v>07 Feb 2025</v>
          </cell>
          <cell r="D809" t="str">
            <v>2025-02-08</v>
          </cell>
          <cell r="F809" t="str">
            <v>Valid</v>
          </cell>
          <cell r="H809" t="str">
            <v>Valid</v>
          </cell>
          <cell r="N809" t="str">
            <v>South</v>
          </cell>
          <cell r="V809" t="str">
            <v>standard class</v>
          </cell>
          <cell r="Z809">
            <v>0.1</v>
          </cell>
          <cell r="AB809" t="str">
            <v>Valid</v>
          </cell>
          <cell r="AC809">
            <v>4379.3599999999997</v>
          </cell>
          <cell r="AE809">
            <v>4379.3640000000005</v>
          </cell>
          <cell r="AH809">
            <v>3723.93</v>
          </cell>
          <cell r="AI809">
            <v>655.43</v>
          </cell>
          <cell r="AO809" t="str">
            <v>Paid</v>
          </cell>
          <cell r="AP809" t="str">
            <v>Completed</v>
          </cell>
        </row>
        <row r="810">
          <cell r="A810" t="str">
            <v>ORD-2025-10809</v>
          </cell>
          <cell r="B810" t="str">
            <v>2025-08-31</v>
          </cell>
          <cell r="D810" t="str">
            <v>2025-08-28</v>
          </cell>
          <cell r="F810" t="str">
            <v>Invalid Shipping Record</v>
          </cell>
          <cell r="H810" t="str">
            <v>Invalid Shipping Record</v>
          </cell>
          <cell r="N810" t="str">
            <v>South</v>
          </cell>
          <cell r="V810" t="str">
            <v>First Class</v>
          </cell>
          <cell r="Z810">
            <v>0.2</v>
          </cell>
          <cell r="AB810" t="str">
            <v>Valid</v>
          </cell>
          <cell r="AC810">
            <v>5472.77</v>
          </cell>
          <cell r="AE810">
            <v>5472.768</v>
          </cell>
          <cell r="AH810">
            <v>4477.33</v>
          </cell>
          <cell r="AI810">
            <v>995.44</v>
          </cell>
          <cell r="AO810" t="str">
            <v>Paid</v>
          </cell>
          <cell r="AP810" t="str">
            <v>Completed</v>
          </cell>
        </row>
        <row r="811">
          <cell r="A811" t="str">
            <v>ORD-2025-10810</v>
          </cell>
          <cell r="B811" t="str">
            <v>25 Jun 2025</v>
          </cell>
          <cell r="D811" t="str">
            <v>25 Jun 2025</v>
          </cell>
          <cell r="F811" t="str">
            <v>Valid</v>
          </cell>
          <cell r="H811" t="str">
            <v>Valid</v>
          </cell>
          <cell r="V811" t="str">
            <v>Second Class</v>
          </cell>
          <cell r="Z811">
            <v>0.1</v>
          </cell>
          <cell r="AB811" t="str">
            <v>Valid</v>
          </cell>
          <cell r="AC811">
            <v>7377.1</v>
          </cell>
          <cell r="AE811">
            <v>7377.1020000000008</v>
          </cell>
          <cell r="AH811">
            <v>5085.21</v>
          </cell>
          <cell r="AI811">
            <v>2291.89</v>
          </cell>
          <cell r="AO811" t="str">
            <v>Paid</v>
          </cell>
          <cell r="AP811" t="str">
            <v>Completed</v>
          </cell>
        </row>
        <row r="812">
          <cell r="A812" t="str">
            <v>ORD-2024-10811</v>
          </cell>
          <cell r="B812" t="str">
            <v>04/03/2024</v>
          </cell>
          <cell r="D812" t="str">
            <v>08-04-2024</v>
          </cell>
          <cell r="F812" t="str">
            <v>Valid</v>
          </cell>
          <cell r="H812" t="str">
            <v>Valid</v>
          </cell>
          <cell r="N812" t="str">
            <v>West</v>
          </cell>
          <cell r="V812" t="str">
            <v>First Class</v>
          </cell>
          <cell r="Z812">
            <v>0.25</v>
          </cell>
          <cell r="AB812" t="str">
            <v>Valid</v>
          </cell>
          <cell r="AC812">
            <v>2363.89</v>
          </cell>
          <cell r="AE812">
            <v>2363.8874999999998</v>
          </cell>
          <cell r="AH812">
            <v>1471.51</v>
          </cell>
          <cell r="AI812">
            <v>892.38</v>
          </cell>
          <cell r="AO812" t="str">
            <v>Paid</v>
          </cell>
          <cell r="AP812" t="str">
            <v>Completed</v>
          </cell>
        </row>
        <row r="813">
          <cell r="A813" t="str">
            <v>ORD-2024-10812</v>
          </cell>
          <cell r="B813" t="str">
            <v>12 Dec 2024</v>
          </cell>
          <cell r="D813" t="str">
            <v>19 Dec 2024</v>
          </cell>
          <cell r="F813" t="str">
            <v>Valid</v>
          </cell>
          <cell r="H813" t="str">
            <v>Valid</v>
          </cell>
          <cell r="N813" t="str">
            <v>North</v>
          </cell>
          <cell r="V813" t="str">
            <v>First Class</v>
          </cell>
          <cell r="Z813">
            <v>0.2</v>
          </cell>
          <cell r="AB813" t="str">
            <v>Valid</v>
          </cell>
          <cell r="AC813">
            <v>2577.1999999999998</v>
          </cell>
          <cell r="AE813">
            <v>2577.2000000000003</v>
          </cell>
          <cell r="AH813">
            <v>1475.87</v>
          </cell>
          <cell r="AI813">
            <v>1101.33</v>
          </cell>
          <cell r="AO813" t="str">
            <v>Paid</v>
          </cell>
          <cell r="AP813" t="str">
            <v>Completed</v>
          </cell>
        </row>
        <row r="814">
          <cell r="A814" t="str">
            <v>ORD-2024-10813</v>
          </cell>
          <cell r="B814" t="str">
            <v>2024-06-15</v>
          </cell>
          <cell r="D814" t="str">
            <v>20-06-2024</v>
          </cell>
          <cell r="F814" t="str">
            <v>Valid</v>
          </cell>
          <cell r="H814" t="str">
            <v>Valid</v>
          </cell>
          <cell r="N814" t="str">
            <v>East</v>
          </cell>
          <cell r="V814" t="str">
            <v>First Class</v>
          </cell>
          <cell r="Z814">
            <v>0</v>
          </cell>
          <cell r="AB814" t="str">
            <v>Valid</v>
          </cell>
          <cell r="AC814">
            <v>17827.759999999998</v>
          </cell>
          <cell r="AE814">
            <v>17827.759999999998</v>
          </cell>
          <cell r="AH814">
            <v>14122.13</v>
          </cell>
          <cell r="AI814">
            <v>3705.63</v>
          </cell>
          <cell r="AO814" t="str">
            <v>Paid</v>
          </cell>
          <cell r="AP814" t="str">
            <v>Completed</v>
          </cell>
        </row>
        <row r="815">
          <cell r="A815" t="str">
            <v>ORD-2025-10814</v>
          </cell>
          <cell r="B815" t="str">
            <v>04/06/2025</v>
          </cell>
          <cell r="D815" t="str">
            <v>10 Apr 2025</v>
          </cell>
          <cell r="F815" t="str">
            <v>Valid</v>
          </cell>
          <cell r="H815" t="str">
            <v>Valid</v>
          </cell>
          <cell r="N815" t="str">
            <v>East</v>
          </cell>
          <cell r="V815" t="str">
            <v>Standard Class</v>
          </cell>
          <cell r="Z815">
            <v>0</v>
          </cell>
          <cell r="AB815" t="str">
            <v>Valid</v>
          </cell>
          <cell r="AC815">
            <v>2675.34</v>
          </cell>
          <cell r="AE815">
            <v>2675.34</v>
          </cell>
          <cell r="AH815">
            <v>1595.87</v>
          </cell>
          <cell r="AI815">
            <v>1079.47</v>
          </cell>
          <cell r="AO815" t="str">
            <v>Paid</v>
          </cell>
          <cell r="AP815" t="str">
            <v>Completed</v>
          </cell>
        </row>
        <row r="816">
          <cell r="A816" t="str">
            <v>ORD-2025-10815</v>
          </cell>
          <cell r="B816" t="str">
            <v>06 Aug 2025</v>
          </cell>
          <cell r="D816" t="str">
            <v>2025-08-11</v>
          </cell>
          <cell r="F816" t="str">
            <v>Valid</v>
          </cell>
          <cell r="H816" t="str">
            <v>Valid</v>
          </cell>
          <cell r="N816" t="str">
            <v>West</v>
          </cell>
          <cell r="V816" t="str">
            <v>First Class</v>
          </cell>
          <cell r="Z816">
            <v>0.25</v>
          </cell>
          <cell r="AB816" t="str">
            <v>Valid</v>
          </cell>
          <cell r="AC816">
            <v>3563.91</v>
          </cell>
          <cell r="AE816">
            <v>3563.91</v>
          </cell>
          <cell r="AH816">
            <v>2639.7</v>
          </cell>
          <cell r="AI816">
            <v>924.21</v>
          </cell>
          <cell r="AO816" t="str">
            <v>Paid</v>
          </cell>
          <cell r="AP816" t="str">
            <v>Completed</v>
          </cell>
        </row>
        <row r="817">
          <cell r="A817" t="str">
            <v>ORD-2024-10816</v>
          </cell>
          <cell r="B817" t="str">
            <v>04/01/2024</v>
          </cell>
          <cell r="D817" t="str">
            <v>2024-04-08</v>
          </cell>
          <cell r="F817" t="str">
            <v>Valid</v>
          </cell>
          <cell r="H817" t="str">
            <v>Valid</v>
          </cell>
          <cell r="N817" t="str">
            <v>East</v>
          </cell>
          <cell r="V817" t="str">
            <v>Standard Class</v>
          </cell>
          <cell r="Z817">
            <v>0.15</v>
          </cell>
          <cell r="AB817" t="str">
            <v>Valid</v>
          </cell>
          <cell r="AC817">
            <v>4259.07</v>
          </cell>
          <cell r="AE817">
            <v>4259.0694999999996</v>
          </cell>
          <cell r="AH817">
            <v>3130.32</v>
          </cell>
          <cell r="AI817">
            <v>1128.75</v>
          </cell>
          <cell r="AO817" t="str">
            <v>Pending</v>
          </cell>
          <cell r="AP817" t="str">
            <v>Cancelled</v>
          </cell>
        </row>
        <row r="818">
          <cell r="A818" t="str">
            <v>ORD-2024-10817</v>
          </cell>
          <cell r="B818" t="str">
            <v>11/27/2024</v>
          </cell>
          <cell r="D818" t="str">
            <v>2024-11-30</v>
          </cell>
          <cell r="F818" t="str">
            <v>Valid</v>
          </cell>
          <cell r="H818" t="str">
            <v>Valid</v>
          </cell>
          <cell r="N818" t="str">
            <v>East</v>
          </cell>
          <cell r="V818" t="str">
            <v>First Class</v>
          </cell>
          <cell r="Z818">
            <v>0.1</v>
          </cell>
          <cell r="AB818" t="str">
            <v>Valid</v>
          </cell>
          <cell r="AC818">
            <v>786.87</v>
          </cell>
          <cell r="AE818">
            <v>786.87</v>
          </cell>
          <cell r="AH818">
            <v>498.5</v>
          </cell>
          <cell r="AI818">
            <v>288.37</v>
          </cell>
          <cell r="AO818" t="str">
            <v>Paid</v>
          </cell>
          <cell r="AP818" t="str">
            <v>Completed</v>
          </cell>
        </row>
        <row r="819">
          <cell r="A819" t="str">
            <v>ORD-2025-10818</v>
          </cell>
          <cell r="B819" t="str">
            <v>05 Apr 2025</v>
          </cell>
          <cell r="D819" t="str">
            <v>04/05/2025</v>
          </cell>
          <cell r="F819" t="str">
            <v>Valid</v>
          </cell>
          <cell r="H819" t="str">
            <v>Valid</v>
          </cell>
          <cell r="N819" t="str">
            <v>East</v>
          </cell>
          <cell r="V819" t="str">
            <v>Standard Class</v>
          </cell>
          <cell r="Z819">
            <v>0.25</v>
          </cell>
          <cell r="AB819" t="str">
            <v>Valid</v>
          </cell>
          <cell r="AC819">
            <v>8233.6</v>
          </cell>
          <cell r="AE819">
            <v>8233.6049999999996</v>
          </cell>
          <cell r="AH819">
            <v>4713.79</v>
          </cell>
          <cell r="AI819">
            <v>3519.81</v>
          </cell>
          <cell r="AO819" t="str">
            <v>Paid</v>
          </cell>
          <cell r="AP819" t="str">
            <v>Completed</v>
          </cell>
        </row>
        <row r="820">
          <cell r="A820" t="str">
            <v>ORD-2024-10819</v>
          </cell>
          <cell r="B820" t="str">
            <v>29 Sep 2024</v>
          </cell>
          <cell r="D820" t="str">
            <v>05-10-2024</v>
          </cell>
          <cell r="F820" t="str">
            <v>Valid</v>
          </cell>
          <cell r="H820" t="str">
            <v>Valid</v>
          </cell>
          <cell r="N820" t="str">
            <v>West</v>
          </cell>
          <cell r="V820" t="str">
            <v>First Class</v>
          </cell>
          <cell r="Z820">
            <v>-0.14000000000000001</v>
          </cell>
          <cell r="AB820" t="str">
            <v>Invalid - Negative Discount</v>
          </cell>
          <cell r="AC820">
            <v>12678.66</v>
          </cell>
          <cell r="AE820">
            <v>18067.084800000001</v>
          </cell>
          <cell r="AH820">
            <v>10088.65</v>
          </cell>
          <cell r="AI820">
            <v>2590.0100000000002</v>
          </cell>
          <cell r="AO820" t="str">
            <v>Paid</v>
          </cell>
          <cell r="AP820" t="str">
            <v>Completed</v>
          </cell>
        </row>
        <row r="821">
          <cell r="A821" t="str">
            <v>ORD-2024-10820</v>
          </cell>
          <cell r="B821" t="str">
            <v>07/31/2024</v>
          </cell>
          <cell r="D821" t="str">
            <v>31-07-2024</v>
          </cell>
          <cell r="F821" t="str">
            <v>Valid</v>
          </cell>
          <cell r="H821" t="str">
            <v>Valid</v>
          </cell>
          <cell r="N821" t="str">
            <v>South</v>
          </cell>
          <cell r="V821" t="str">
            <v>Standard Class</v>
          </cell>
          <cell r="Z821">
            <v>0</v>
          </cell>
          <cell r="AB821" t="str">
            <v>Valid</v>
          </cell>
          <cell r="AC821">
            <v>33968.080000000002</v>
          </cell>
          <cell r="AE821">
            <v>33968.080000000002</v>
          </cell>
          <cell r="AH821">
            <v>26902.44</v>
          </cell>
          <cell r="AI821">
            <v>7065.64</v>
          </cell>
          <cell r="AO821" t="str">
            <v>Failed</v>
          </cell>
          <cell r="AP821" t="str">
            <v>Cancelled</v>
          </cell>
        </row>
        <row r="822">
          <cell r="A822" t="str">
            <v>ORD-2025-10821</v>
          </cell>
          <cell r="B822" t="str">
            <v>06-02-2025</v>
          </cell>
          <cell r="D822" t="str">
            <v>10-02-2025</v>
          </cell>
          <cell r="F822" t="str">
            <v>Valid</v>
          </cell>
          <cell r="H822" t="str">
            <v>Valid</v>
          </cell>
          <cell r="N822" t="str">
            <v>North</v>
          </cell>
          <cell r="V822" t="str">
            <v>Standard Class</v>
          </cell>
          <cell r="Z822">
            <v>0.2</v>
          </cell>
          <cell r="AB822" t="str">
            <v>Valid</v>
          </cell>
          <cell r="AC822">
            <v>511.31</v>
          </cell>
          <cell r="AE822">
            <v>511.31200000000001</v>
          </cell>
          <cell r="AH822">
            <v>436.43</v>
          </cell>
          <cell r="AI822">
            <v>74.88</v>
          </cell>
          <cell r="AO822" t="str">
            <v>Paid</v>
          </cell>
          <cell r="AP822" t="str">
            <v>Completed</v>
          </cell>
        </row>
        <row r="823">
          <cell r="A823" t="str">
            <v>ORD-2024-10822</v>
          </cell>
          <cell r="B823" t="str">
            <v>2024-07-03</v>
          </cell>
          <cell r="D823" t="str">
            <v>06-07-2024</v>
          </cell>
          <cell r="F823" t="str">
            <v>Valid</v>
          </cell>
          <cell r="H823" t="str">
            <v>Valid</v>
          </cell>
          <cell r="N823" t="str">
            <v>South</v>
          </cell>
          <cell r="V823" t="str">
            <v>First Class</v>
          </cell>
          <cell r="Z823">
            <v>0.2</v>
          </cell>
          <cell r="AB823" t="str">
            <v>Valid</v>
          </cell>
          <cell r="AC823">
            <v>10877.94</v>
          </cell>
          <cell r="AE823">
            <v>10877.944000000001</v>
          </cell>
          <cell r="AH823">
            <v>9110.14</v>
          </cell>
          <cell r="AI823">
            <v>1767.8</v>
          </cell>
          <cell r="AO823" t="str">
            <v>Paid</v>
          </cell>
          <cell r="AP823" t="str">
            <v>Completed</v>
          </cell>
        </row>
        <row r="824">
          <cell r="A824" t="str">
            <v>ORD-2024-10823</v>
          </cell>
          <cell r="B824" t="str">
            <v>10/12/2024</v>
          </cell>
          <cell r="D824" t="str">
            <v>08 Oct 2024</v>
          </cell>
          <cell r="F824" t="str">
            <v>Invalid Shipping Record</v>
          </cell>
          <cell r="H824" t="str">
            <v>Invalid Shipping Record</v>
          </cell>
          <cell r="N824" t="str">
            <v>East</v>
          </cell>
          <cell r="V824" t="str">
            <v>Second Class</v>
          </cell>
          <cell r="Z824">
            <v>0.2</v>
          </cell>
          <cell r="AB824" t="str">
            <v>Valid</v>
          </cell>
          <cell r="AC824">
            <v>10246.530000000001</v>
          </cell>
          <cell r="AE824">
            <v>10246.528</v>
          </cell>
          <cell r="AH824">
            <v>8634.42</v>
          </cell>
          <cell r="AI824">
            <v>1612.11</v>
          </cell>
          <cell r="AO824" t="str">
            <v>Pending</v>
          </cell>
          <cell r="AP824" t="str">
            <v>Returned</v>
          </cell>
        </row>
        <row r="825">
          <cell r="A825" t="str">
            <v>ORD-2025-10824</v>
          </cell>
          <cell r="B825" t="str">
            <v>2025-01-06</v>
          </cell>
          <cell r="D825" t="str">
            <v>12 Jan 2025</v>
          </cell>
          <cell r="F825" t="str">
            <v>Valid</v>
          </cell>
          <cell r="H825" t="str">
            <v>Valid</v>
          </cell>
          <cell r="N825" t="str">
            <v>West</v>
          </cell>
          <cell r="V825" t="str">
            <v>Same Day</v>
          </cell>
          <cell r="Z825">
            <v>0.15</v>
          </cell>
          <cell r="AB825" t="str">
            <v>Valid</v>
          </cell>
          <cell r="AC825">
            <v>1704.24</v>
          </cell>
          <cell r="AE825">
            <v>1704.2415000000001</v>
          </cell>
          <cell r="AH825">
            <v>957.55</v>
          </cell>
          <cell r="AI825">
            <v>746.69</v>
          </cell>
          <cell r="AO825" t="str">
            <v>Paid</v>
          </cell>
          <cell r="AP825" t="str">
            <v>Completed</v>
          </cell>
        </row>
        <row r="826">
          <cell r="A826" t="str">
            <v>ORD-2025-10825</v>
          </cell>
          <cell r="B826" t="str">
            <v>21-03-2025</v>
          </cell>
          <cell r="D826" t="str">
            <v>22 Mar 2025</v>
          </cell>
          <cell r="F826" t="str">
            <v>Valid</v>
          </cell>
          <cell r="H826" t="str">
            <v>Valid</v>
          </cell>
          <cell r="N826" t="str">
            <v>West</v>
          </cell>
          <cell r="V826" t="str">
            <v>First Class</v>
          </cell>
          <cell r="Z826">
            <v>0.05</v>
          </cell>
          <cell r="AB826" t="str">
            <v>Valid</v>
          </cell>
          <cell r="AC826">
            <v>33719.22</v>
          </cell>
          <cell r="AE826">
            <v>33719.223999999995</v>
          </cell>
          <cell r="AH826">
            <v>28924.43</v>
          </cell>
          <cell r="AI826">
            <v>4794.79</v>
          </cell>
          <cell r="AO826" t="str">
            <v>Paid</v>
          </cell>
          <cell r="AP826" t="str">
            <v>Completed</v>
          </cell>
        </row>
        <row r="827">
          <cell r="A827" t="str">
            <v>ORD-2025-10826</v>
          </cell>
          <cell r="B827" t="str">
            <v>16 Apr 2025</v>
          </cell>
          <cell r="D827" t="str">
            <v>17-04-2025</v>
          </cell>
          <cell r="F827" t="str">
            <v>Valid</v>
          </cell>
          <cell r="H827" t="str">
            <v>Valid</v>
          </cell>
          <cell r="N827" t="str">
            <v>North</v>
          </cell>
          <cell r="V827" t="str">
            <v>First Class</v>
          </cell>
          <cell r="Z827">
            <v>0</v>
          </cell>
          <cell r="AB827" t="str">
            <v>Valid</v>
          </cell>
          <cell r="AC827">
            <v>2720.17</v>
          </cell>
          <cell r="AE827">
            <v>2720.17</v>
          </cell>
          <cell r="AH827">
            <v>1834.23</v>
          </cell>
          <cell r="AI827">
            <v>885.94</v>
          </cell>
          <cell r="AO827" t="str">
            <v>Paid</v>
          </cell>
          <cell r="AP827" t="str">
            <v>Completed</v>
          </cell>
        </row>
        <row r="828">
          <cell r="A828" t="str">
            <v>ORD-2025-10827</v>
          </cell>
          <cell r="B828" t="str">
            <v>2025-08-10</v>
          </cell>
          <cell r="D828" t="str">
            <v>14 Aug 2025</v>
          </cell>
          <cell r="F828" t="str">
            <v>Valid</v>
          </cell>
          <cell r="H828" t="str">
            <v>Valid</v>
          </cell>
          <cell r="N828" t="str">
            <v>West</v>
          </cell>
          <cell r="V828" t="str">
            <v>Standard Class</v>
          </cell>
          <cell r="Z828">
            <v>0.25</v>
          </cell>
          <cell r="AB828" t="str">
            <v>Valid</v>
          </cell>
          <cell r="AC828">
            <v>8213.02</v>
          </cell>
          <cell r="AE828">
            <v>8213.0249999999996</v>
          </cell>
          <cell r="AH828">
            <v>5569.3</v>
          </cell>
          <cell r="AI828">
            <v>2643.72</v>
          </cell>
          <cell r="AO828" t="str">
            <v>Paid</v>
          </cell>
          <cell r="AP828" t="str">
            <v>Completed</v>
          </cell>
        </row>
        <row r="829">
          <cell r="A829" t="str">
            <v>ORD-2024-10828</v>
          </cell>
          <cell r="B829" t="str">
            <v>24 Nov 2024</v>
          </cell>
          <cell r="D829" t="str">
            <v>01-12-2024</v>
          </cell>
          <cell r="F829" t="str">
            <v>Valid</v>
          </cell>
          <cell r="H829" t="str">
            <v>Valid</v>
          </cell>
          <cell r="N829" t="str">
            <v>South</v>
          </cell>
          <cell r="V829" t="str">
            <v>Same Day</v>
          </cell>
          <cell r="Z829">
            <v>0.25</v>
          </cell>
          <cell r="AB829" t="str">
            <v>Valid</v>
          </cell>
          <cell r="AC829">
            <v>633.66999999999996</v>
          </cell>
          <cell r="AE829">
            <v>633.66750000000002</v>
          </cell>
          <cell r="AH829">
            <v>520.47</v>
          </cell>
          <cell r="AI829">
            <v>113.2</v>
          </cell>
          <cell r="AO829" t="str">
            <v>Paid</v>
          </cell>
          <cell r="AP829" t="str">
            <v>Cancelled</v>
          </cell>
        </row>
        <row r="830">
          <cell r="A830" t="str">
            <v>ORD-2025-10829</v>
          </cell>
          <cell r="B830" t="str">
            <v>10/10/2025</v>
          </cell>
          <cell r="D830" t="str">
            <v>11-10-2025</v>
          </cell>
          <cell r="F830" t="str">
            <v>Valid</v>
          </cell>
          <cell r="H830" t="str">
            <v>Valid</v>
          </cell>
          <cell r="N830" t="str">
            <v>East</v>
          </cell>
          <cell r="V830" t="str">
            <v>Second Class</v>
          </cell>
          <cell r="Z830">
            <v>0.05</v>
          </cell>
          <cell r="AB830" t="str">
            <v>Valid</v>
          </cell>
          <cell r="AC830">
            <v>25216.53</v>
          </cell>
          <cell r="AE830">
            <v>25216.534</v>
          </cell>
          <cell r="AH830">
            <v>14216.94</v>
          </cell>
          <cell r="AI830">
            <v>10999.59</v>
          </cell>
          <cell r="AO830" t="str">
            <v>Failed</v>
          </cell>
          <cell r="AP830" t="str">
            <v>Cancelled</v>
          </cell>
        </row>
        <row r="831">
          <cell r="A831" t="str">
            <v>ORD-2024-10830</v>
          </cell>
          <cell r="B831" t="str">
            <v>02/26/2024</v>
          </cell>
          <cell r="D831" t="str">
            <v>28-02-2024</v>
          </cell>
          <cell r="F831" t="str">
            <v>Valid</v>
          </cell>
          <cell r="H831" t="str">
            <v>Valid</v>
          </cell>
          <cell r="N831" t="str">
            <v>West</v>
          </cell>
          <cell r="V831" t="str">
            <v>Second Class</v>
          </cell>
          <cell r="Z831">
            <v>0.1</v>
          </cell>
          <cell r="AB831" t="str">
            <v>Valid</v>
          </cell>
          <cell r="AC831">
            <v>6521.38</v>
          </cell>
          <cell r="AE831">
            <v>6521.3820000000005</v>
          </cell>
          <cell r="AH831">
            <v>4511.1000000000004</v>
          </cell>
          <cell r="AI831">
            <v>2010.28</v>
          </cell>
          <cell r="AO831" t="str">
            <v>Paid</v>
          </cell>
          <cell r="AP831" t="str">
            <v>Completed</v>
          </cell>
        </row>
        <row r="832">
          <cell r="A832" t="str">
            <v>ORD-2025-10831</v>
          </cell>
          <cell r="B832" t="str">
            <v>15 Jul 2025</v>
          </cell>
          <cell r="D832" t="str">
            <v>18-07-2025</v>
          </cell>
          <cell r="F832" t="str">
            <v>Valid</v>
          </cell>
          <cell r="H832" t="str">
            <v>Valid</v>
          </cell>
          <cell r="V832" t="str">
            <v>First Class</v>
          </cell>
          <cell r="Z832">
            <v>0.1</v>
          </cell>
          <cell r="AB832" t="str">
            <v>Valid</v>
          </cell>
          <cell r="AC832">
            <v>12867.55</v>
          </cell>
          <cell r="AE832">
            <v>12867.552000000001</v>
          </cell>
          <cell r="AH832">
            <v>10068.94</v>
          </cell>
          <cell r="AI832">
            <v>2798.61</v>
          </cell>
          <cell r="AO832" t="str">
            <v>Paid</v>
          </cell>
          <cell r="AP832" t="str">
            <v>Completed</v>
          </cell>
        </row>
        <row r="833">
          <cell r="A833" t="str">
            <v>ORD-2025-10832</v>
          </cell>
          <cell r="B833" t="str">
            <v>04/03/2025</v>
          </cell>
          <cell r="D833" t="str">
            <v>03-04-2025</v>
          </cell>
          <cell r="F833" t="str">
            <v>Valid</v>
          </cell>
          <cell r="H833" t="str">
            <v>Valid</v>
          </cell>
          <cell r="V833" t="str">
            <v>First Class</v>
          </cell>
          <cell r="Z833">
            <v>0.15</v>
          </cell>
          <cell r="AB833" t="str">
            <v>Valid</v>
          </cell>
          <cell r="AC833">
            <v>26489.65</v>
          </cell>
          <cell r="AE833">
            <v>26489.654999999999</v>
          </cell>
          <cell r="AH833">
            <v>15818.46</v>
          </cell>
          <cell r="AI833">
            <v>10671.19</v>
          </cell>
          <cell r="AO833" t="str">
            <v>Failed</v>
          </cell>
          <cell r="AP833" t="str">
            <v>Returned</v>
          </cell>
        </row>
        <row r="834">
          <cell r="A834" t="str">
            <v>ORD-2025-10833</v>
          </cell>
          <cell r="B834" t="str">
            <v>26 May 2025</v>
          </cell>
          <cell r="D834" t="str">
            <v>28-05-2025</v>
          </cell>
          <cell r="F834" t="str">
            <v>Valid</v>
          </cell>
          <cell r="H834" t="str">
            <v>Valid</v>
          </cell>
          <cell r="N834" t="str">
            <v>South</v>
          </cell>
          <cell r="V834" t="str">
            <v>Second Class</v>
          </cell>
          <cell r="Z834">
            <v>0.05</v>
          </cell>
          <cell r="AB834" t="str">
            <v>Valid</v>
          </cell>
          <cell r="AC834">
            <v>36782.269999999997</v>
          </cell>
          <cell r="AE834">
            <v>36782.271000000008</v>
          </cell>
          <cell r="AH834">
            <v>25902.81</v>
          </cell>
          <cell r="AI834">
            <v>10879.46</v>
          </cell>
          <cell r="AO834" t="str">
            <v>Paid</v>
          </cell>
          <cell r="AP834" t="str">
            <v>Completed</v>
          </cell>
        </row>
        <row r="835">
          <cell r="A835" t="str">
            <v>ORD-2024-10834</v>
          </cell>
          <cell r="B835" t="str">
            <v>2024-06-04</v>
          </cell>
          <cell r="D835" t="str">
            <v>06/04/2024</v>
          </cell>
          <cell r="F835" t="str">
            <v>Valid</v>
          </cell>
          <cell r="H835" t="str">
            <v>Valid</v>
          </cell>
          <cell r="N835" t="str">
            <v>East</v>
          </cell>
          <cell r="V835" t="str">
            <v>First Class</v>
          </cell>
          <cell r="Z835">
            <v>0</v>
          </cell>
          <cell r="AB835" t="str">
            <v>Valid</v>
          </cell>
          <cell r="AC835">
            <v>23696.400000000001</v>
          </cell>
          <cell r="AE835">
            <v>23696.400000000001</v>
          </cell>
          <cell r="AH835">
            <v>18109.77</v>
          </cell>
          <cell r="AI835">
            <v>5586.63</v>
          </cell>
          <cell r="AO835" t="str">
            <v>Paid</v>
          </cell>
          <cell r="AP835" t="str">
            <v>Completed</v>
          </cell>
        </row>
        <row r="836">
          <cell r="A836" t="str">
            <v>ORD-2024-10835</v>
          </cell>
          <cell r="B836" t="str">
            <v>18-10-2024</v>
          </cell>
          <cell r="D836" t="str">
            <v>2024-10-22</v>
          </cell>
          <cell r="F836" t="str">
            <v>Valid</v>
          </cell>
          <cell r="H836" t="str">
            <v>Valid</v>
          </cell>
          <cell r="N836" t="str">
            <v>South</v>
          </cell>
          <cell r="V836" t="str">
            <v>First Class</v>
          </cell>
          <cell r="Z836">
            <v>0</v>
          </cell>
          <cell r="AB836" t="str">
            <v>Valid</v>
          </cell>
          <cell r="AC836">
            <v>4047.66</v>
          </cell>
          <cell r="AE836">
            <v>4047.66</v>
          </cell>
          <cell r="AH836">
            <v>3078.93</v>
          </cell>
          <cell r="AI836">
            <v>1279.79</v>
          </cell>
          <cell r="AO836" t="str">
            <v>Paid</v>
          </cell>
          <cell r="AP836" t="str">
            <v>Completed</v>
          </cell>
        </row>
        <row r="837">
          <cell r="A837" t="str">
            <v>ORD-2025-10836</v>
          </cell>
          <cell r="B837" t="str">
            <v>09/26/2025</v>
          </cell>
          <cell r="D837" t="str">
            <v>04-10-2025</v>
          </cell>
          <cell r="F837" t="str">
            <v>Valid</v>
          </cell>
          <cell r="H837" t="str">
            <v>Valid</v>
          </cell>
          <cell r="N837" t="str">
            <v>East</v>
          </cell>
          <cell r="V837" t="str">
            <v>Second Class</v>
          </cell>
          <cell r="Z837">
            <v>0.05</v>
          </cell>
          <cell r="AB837" t="str">
            <v>Valid</v>
          </cell>
          <cell r="AC837">
            <v>10038.77</v>
          </cell>
          <cell r="AE837">
            <v>10038.773499999999</v>
          </cell>
          <cell r="AH837">
            <v>5673.1</v>
          </cell>
          <cell r="AI837">
            <v>4365.67</v>
          </cell>
          <cell r="AO837" t="str">
            <v>Paid</v>
          </cell>
          <cell r="AP837" t="str">
            <v>Completed</v>
          </cell>
        </row>
        <row r="838">
          <cell r="A838" t="str">
            <v>ORD-2024-10837</v>
          </cell>
          <cell r="B838" t="str">
            <v>2024-12-15</v>
          </cell>
          <cell r="D838" t="str">
            <v>2024-12-18</v>
          </cell>
          <cell r="F838" t="str">
            <v>Valid</v>
          </cell>
          <cell r="H838" t="str">
            <v>Valid</v>
          </cell>
          <cell r="N838" t="str">
            <v>North</v>
          </cell>
          <cell r="V838" t="str">
            <v>Second Class</v>
          </cell>
          <cell r="Z838">
            <v>0</v>
          </cell>
          <cell r="AB838" t="str">
            <v>Valid</v>
          </cell>
          <cell r="AC838">
            <v>1074.22</v>
          </cell>
          <cell r="AE838">
            <v>1074.22</v>
          </cell>
          <cell r="AH838">
            <v>850.86</v>
          </cell>
          <cell r="AI838">
            <v>223.36</v>
          </cell>
          <cell r="AO838" t="str">
            <v>Paid</v>
          </cell>
          <cell r="AP838" t="str">
            <v>Completed</v>
          </cell>
        </row>
        <row r="839">
          <cell r="A839" t="str">
            <v>ORD-2025-10838</v>
          </cell>
          <cell r="B839" t="str">
            <v>2025-09-27</v>
          </cell>
          <cell r="D839" t="str">
            <v>09/28/2025</v>
          </cell>
          <cell r="F839" t="str">
            <v>Valid</v>
          </cell>
          <cell r="H839" t="str">
            <v>Valid</v>
          </cell>
          <cell r="N839" t="str">
            <v>West</v>
          </cell>
          <cell r="V839" t="str">
            <v>First Class</v>
          </cell>
          <cell r="Z839">
            <v>0.25</v>
          </cell>
          <cell r="AB839" t="str">
            <v>Valid</v>
          </cell>
          <cell r="AC839">
            <v>9399.67</v>
          </cell>
          <cell r="AE839">
            <v>9399.6674999999996</v>
          </cell>
          <cell r="AH839">
            <v>6540.37</v>
          </cell>
          <cell r="AI839">
            <v>2859.3</v>
          </cell>
          <cell r="AO839" t="str">
            <v>Paid</v>
          </cell>
          <cell r="AP839" t="str">
            <v>Completed</v>
          </cell>
        </row>
        <row r="840">
          <cell r="A840" t="str">
            <v>ORD-2025-10839</v>
          </cell>
          <cell r="B840" t="str">
            <v>04/03/2025</v>
          </cell>
          <cell r="D840" t="str">
            <v>07 Apr 2025</v>
          </cell>
          <cell r="F840" t="str">
            <v>Valid</v>
          </cell>
          <cell r="H840" t="str">
            <v>Valid</v>
          </cell>
          <cell r="N840" t="str">
            <v>West</v>
          </cell>
          <cell r="V840" t="str">
            <v>Same Day</v>
          </cell>
          <cell r="Z840">
            <v>0</v>
          </cell>
          <cell r="AB840" t="str">
            <v>Valid</v>
          </cell>
          <cell r="AC840">
            <v>1470.57</v>
          </cell>
          <cell r="AE840">
            <v>1470.57</v>
          </cell>
          <cell r="AH840">
            <v>834.02</v>
          </cell>
          <cell r="AI840">
            <v>636.54999999999995</v>
          </cell>
          <cell r="AO840" t="str">
            <v>Paid</v>
          </cell>
          <cell r="AP840" t="str">
            <v>Returned</v>
          </cell>
        </row>
        <row r="841">
          <cell r="A841" t="str">
            <v>ORD-2024-10840</v>
          </cell>
          <cell r="B841" t="str">
            <v>09/20/2024</v>
          </cell>
          <cell r="D841" t="str">
            <v>22-09-2024</v>
          </cell>
          <cell r="F841" t="str">
            <v>Valid</v>
          </cell>
          <cell r="H841" t="str">
            <v>Valid</v>
          </cell>
          <cell r="N841" t="str">
            <v>East</v>
          </cell>
          <cell r="V841" t="str">
            <v>Standard Class</v>
          </cell>
          <cell r="Z841">
            <v>0.1</v>
          </cell>
          <cell r="AB841" t="str">
            <v>Valid</v>
          </cell>
          <cell r="AC841">
            <v>3826.3</v>
          </cell>
          <cell r="AE841">
            <v>3826.2959999999998</v>
          </cell>
          <cell r="AH841">
            <v>2194.12</v>
          </cell>
          <cell r="AI841">
            <v>1632.18</v>
          </cell>
          <cell r="AO841" t="str">
            <v>Paid</v>
          </cell>
          <cell r="AP841" t="str">
            <v>Completed</v>
          </cell>
        </row>
        <row r="842">
          <cell r="A842" t="str">
            <v>ORD-2025-10841</v>
          </cell>
          <cell r="B842" t="str">
            <v>2025-09-19</v>
          </cell>
          <cell r="D842" t="str">
            <v>19-09-2025</v>
          </cell>
          <cell r="F842" t="str">
            <v>Valid</v>
          </cell>
          <cell r="H842" t="str">
            <v>Valid</v>
          </cell>
          <cell r="N842" t="str">
            <v>North</v>
          </cell>
          <cell r="V842" t="str">
            <v>Same Day</v>
          </cell>
          <cell r="Z842">
            <v>0</v>
          </cell>
          <cell r="AB842" t="str">
            <v>Valid</v>
          </cell>
          <cell r="AC842">
            <v>6336.44</v>
          </cell>
          <cell r="AE842">
            <v>6336.44</v>
          </cell>
          <cell r="AH842">
            <v>4680.68</v>
          </cell>
          <cell r="AI842">
            <v>1655.76</v>
          </cell>
          <cell r="AO842" t="str">
            <v>Paid</v>
          </cell>
          <cell r="AP842" t="str">
            <v>Completed</v>
          </cell>
        </row>
        <row r="843">
          <cell r="A843" t="str">
            <v>ORD-2025-10842</v>
          </cell>
          <cell r="B843" t="str">
            <v>2025-02-06</v>
          </cell>
          <cell r="D843" t="str">
            <v>12 Feb 2025</v>
          </cell>
          <cell r="F843" t="str">
            <v>Valid</v>
          </cell>
          <cell r="H843" t="str">
            <v>Valid</v>
          </cell>
          <cell r="N843" t="str">
            <v>East</v>
          </cell>
          <cell r="V843" t="str">
            <v>Standard Class</v>
          </cell>
          <cell r="Z843">
            <v>0.25</v>
          </cell>
          <cell r="AB843" t="str">
            <v>Valid</v>
          </cell>
          <cell r="AC843">
            <v>21850.83</v>
          </cell>
          <cell r="AE843">
            <v>21850.829999999998</v>
          </cell>
          <cell r="AH843">
            <v>16600.13</v>
          </cell>
          <cell r="AI843">
            <v>5250.7</v>
          </cell>
          <cell r="AO843" t="str">
            <v>Paid</v>
          </cell>
          <cell r="AP843" t="str">
            <v>Completed</v>
          </cell>
        </row>
        <row r="844">
          <cell r="A844" t="str">
            <v>ORD-2024-10843</v>
          </cell>
          <cell r="B844" t="str">
            <v>31-03-2024</v>
          </cell>
          <cell r="D844" t="str">
            <v>03/30/2024</v>
          </cell>
          <cell r="F844" t="str">
            <v>Invalid Shipping Record</v>
          </cell>
          <cell r="H844" t="str">
            <v>Invalid Shipping Record</v>
          </cell>
          <cell r="N844" t="str">
            <v>North</v>
          </cell>
          <cell r="V844" t="str">
            <v>First Class</v>
          </cell>
          <cell r="Z844">
            <v>0.15</v>
          </cell>
          <cell r="AB844" t="str">
            <v>Valid</v>
          </cell>
          <cell r="AC844">
            <v>7453.07</v>
          </cell>
          <cell r="AE844">
            <v>7453.0719999999992</v>
          </cell>
          <cell r="AH844">
            <v>5133.78</v>
          </cell>
          <cell r="AI844">
            <v>2319.29</v>
          </cell>
          <cell r="AO844" t="str">
            <v>Paid</v>
          </cell>
          <cell r="AP844" t="str">
            <v>Returned</v>
          </cell>
        </row>
        <row r="845">
          <cell r="A845" t="str">
            <v>ORD-2025-10844</v>
          </cell>
          <cell r="B845" t="str">
            <v>18 Jul 2025</v>
          </cell>
          <cell r="D845" t="str">
            <v>25 Jul 2025</v>
          </cell>
          <cell r="F845" t="str">
            <v>Valid</v>
          </cell>
          <cell r="H845" t="str">
            <v>Valid</v>
          </cell>
          <cell r="N845" t="str">
            <v>North</v>
          </cell>
          <cell r="V845" t="str">
            <v>First Class</v>
          </cell>
          <cell r="Z845">
            <v>-0.02</v>
          </cell>
          <cell r="AB845" t="str">
            <v>Invalid - Negative Discount</v>
          </cell>
          <cell r="AC845">
            <v>35905.68</v>
          </cell>
          <cell r="AE845">
            <v>36623.793600000005</v>
          </cell>
          <cell r="AH845">
            <v>23916.1</v>
          </cell>
          <cell r="AI845">
            <v>11989.58</v>
          </cell>
          <cell r="AO845" t="str">
            <v>Paid</v>
          </cell>
          <cell r="AP845" t="str">
            <v>Completed</v>
          </cell>
        </row>
        <row r="846">
          <cell r="A846" t="str">
            <v>ORD-2025-10845</v>
          </cell>
          <cell r="B846" t="str">
            <v>20-01-2025</v>
          </cell>
          <cell r="D846" t="str">
            <v>25-01-2025</v>
          </cell>
          <cell r="F846" t="str">
            <v>Valid</v>
          </cell>
          <cell r="H846" t="str">
            <v>Valid</v>
          </cell>
          <cell r="N846" t="str">
            <v>West</v>
          </cell>
          <cell r="V846" t="str">
            <v>First Class</v>
          </cell>
          <cell r="Z846">
            <v>0</v>
          </cell>
          <cell r="AB846" t="str">
            <v>Valid</v>
          </cell>
          <cell r="AC846">
            <v>3515.15</v>
          </cell>
          <cell r="AE846">
            <v>3515.15</v>
          </cell>
          <cell r="AH846">
            <v>2216.34</v>
          </cell>
          <cell r="AI846">
            <v>1298.81</v>
          </cell>
          <cell r="AO846" t="str">
            <v>Paid</v>
          </cell>
          <cell r="AP846" t="str">
            <v>Completed</v>
          </cell>
        </row>
        <row r="847">
          <cell r="A847" t="str">
            <v>ORD-2024-10846</v>
          </cell>
          <cell r="B847" t="str">
            <v>23-02-2024</v>
          </cell>
          <cell r="D847" t="str">
            <v>27 Feb 2024</v>
          </cell>
          <cell r="F847" t="str">
            <v>Valid</v>
          </cell>
          <cell r="H847" t="str">
            <v>Valid</v>
          </cell>
          <cell r="N847" t="str">
            <v>East</v>
          </cell>
          <cell r="V847" t="str">
            <v>First Class</v>
          </cell>
          <cell r="Z847">
            <v>0.25</v>
          </cell>
          <cell r="AB847" t="str">
            <v>Valid</v>
          </cell>
          <cell r="AC847">
            <v>24409.55</v>
          </cell>
          <cell r="AE847">
            <v>24409.552499999998</v>
          </cell>
          <cell r="AH847">
            <v>17157.580000000002</v>
          </cell>
          <cell r="AI847">
            <v>7251.97</v>
          </cell>
          <cell r="AO847" t="str">
            <v>Pending</v>
          </cell>
          <cell r="AP847" t="str">
            <v>Returned</v>
          </cell>
        </row>
        <row r="848">
          <cell r="A848" t="str">
            <v>ORD-2024-10847</v>
          </cell>
          <cell r="B848" t="str">
            <v>2024-04-14</v>
          </cell>
          <cell r="D848" t="str">
            <v>2024-04-22</v>
          </cell>
          <cell r="F848" t="str">
            <v>Valid</v>
          </cell>
          <cell r="H848" t="str">
            <v>Valid</v>
          </cell>
          <cell r="N848" t="str">
            <v>West</v>
          </cell>
          <cell r="V848" t="str">
            <v>Standard Class</v>
          </cell>
          <cell r="Z848">
            <v>0</v>
          </cell>
          <cell r="AB848" t="str">
            <v>Valid</v>
          </cell>
          <cell r="AC848">
            <v>7955.04</v>
          </cell>
          <cell r="AE848">
            <v>7955.04</v>
          </cell>
          <cell r="AH848">
            <v>5580.68</v>
          </cell>
          <cell r="AI848">
            <v>2374.36</v>
          </cell>
          <cell r="AO848" t="str">
            <v>Pending</v>
          </cell>
          <cell r="AP848" t="str">
            <v>Returned</v>
          </cell>
        </row>
        <row r="849">
          <cell r="A849" t="str">
            <v>ORD-2025-10848</v>
          </cell>
          <cell r="B849" t="str">
            <v>2025-05-20</v>
          </cell>
          <cell r="D849" t="str">
            <v>05/22/2025</v>
          </cell>
          <cell r="F849" t="str">
            <v>Valid</v>
          </cell>
          <cell r="H849" t="str">
            <v>Valid</v>
          </cell>
          <cell r="N849" t="str">
            <v>East</v>
          </cell>
          <cell r="V849" t="str">
            <v>Second Class</v>
          </cell>
          <cell r="Z849">
            <v>0.2</v>
          </cell>
          <cell r="AB849" t="str">
            <v>Valid</v>
          </cell>
          <cell r="AC849">
            <v>336.13</v>
          </cell>
          <cell r="AE849">
            <v>336.12800000000004</v>
          </cell>
          <cell r="AH849">
            <v>242.19</v>
          </cell>
          <cell r="AI849">
            <v>93.94</v>
          </cell>
          <cell r="AO849" t="str">
            <v>Paid</v>
          </cell>
          <cell r="AP849" t="str">
            <v>Completed</v>
          </cell>
        </row>
        <row r="850">
          <cell r="A850" t="str">
            <v>ORD-2025-10849</v>
          </cell>
          <cell r="B850" t="str">
            <v>27-05-2025</v>
          </cell>
          <cell r="D850" t="str">
            <v>29 May 2025</v>
          </cell>
          <cell r="F850" t="str">
            <v>Valid</v>
          </cell>
          <cell r="H850" t="str">
            <v>Valid</v>
          </cell>
          <cell r="N850" t="str">
            <v>South</v>
          </cell>
          <cell r="V850" t="str">
            <v>Second Class</v>
          </cell>
          <cell r="Z850">
            <v>0.25</v>
          </cell>
          <cell r="AB850" t="str">
            <v>Valid</v>
          </cell>
          <cell r="AC850">
            <v>1308.26</v>
          </cell>
          <cell r="AE850">
            <v>1308.2624999999998</v>
          </cell>
          <cell r="AH850">
            <v>1083.56</v>
          </cell>
          <cell r="AI850">
            <v>224.7</v>
          </cell>
          <cell r="AO850" t="str">
            <v>Paid</v>
          </cell>
          <cell r="AP850" t="str">
            <v>Completed</v>
          </cell>
        </row>
        <row r="851">
          <cell r="A851" t="str">
            <v>ORD-2024-10850</v>
          </cell>
          <cell r="B851" t="str">
            <v>2024-03-06</v>
          </cell>
          <cell r="D851" t="str">
            <v>12-03-2024</v>
          </cell>
          <cell r="F851" t="str">
            <v>Valid</v>
          </cell>
          <cell r="H851" t="str">
            <v>Valid</v>
          </cell>
          <cell r="N851" t="str">
            <v>West</v>
          </cell>
          <cell r="V851" t="str">
            <v>Standard Class</v>
          </cell>
          <cell r="Z851">
            <v>0.2</v>
          </cell>
          <cell r="AB851" t="str">
            <v>Valid</v>
          </cell>
          <cell r="AC851">
            <v>1631.11</v>
          </cell>
          <cell r="AE851">
            <v>1631.1120000000001</v>
          </cell>
          <cell r="AH851">
            <v>898.73</v>
          </cell>
          <cell r="AI851">
            <v>396.58</v>
          </cell>
          <cell r="AO851" t="str">
            <v>Paid</v>
          </cell>
          <cell r="AP851" t="str">
            <v>Completed</v>
          </cell>
        </row>
        <row r="852">
          <cell r="A852" t="str">
            <v>ORD-2024-10851</v>
          </cell>
          <cell r="B852" t="str">
            <v>30-06-2024</v>
          </cell>
          <cell r="D852" t="str">
            <v>2024-07-03</v>
          </cell>
          <cell r="F852" t="str">
            <v>Valid</v>
          </cell>
          <cell r="H852" t="str">
            <v>Valid</v>
          </cell>
          <cell r="N852" t="str">
            <v>East</v>
          </cell>
          <cell r="V852" t="str">
            <v>First Class</v>
          </cell>
          <cell r="Z852">
            <v>0</v>
          </cell>
          <cell r="AB852" t="str">
            <v>Valid</v>
          </cell>
          <cell r="AC852">
            <v>7266.06</v>
          </cell>
          <cell r="AE852">
            <v>7266.0599999999995</v>
          </cell>
          <cell r="AH852">
            <v>6216.89</v>
          </cell>
          <cell r="AI852">
            <v>1049.17</v>
          </cell>
          <cell r="AO852" t="str">
            <v>Paid</v>
          </cell>
          <cell r="AP852" t="str">
            <v>Completed</v>
          </cell>
        </row>
        <row r="853">
          <cell r="A853" t="str">
            <v>ORD-2024-10852</v>
          </cell>
          <cell r="B853" t="str">
            <v>2024-03-26</v>
          </cell>
          <cell r="D853" t="str">
            <v>01 Apr 2024</v>
          </cell>
          <cell r="F853" t="str">
            <v>Valid</v>
          </cell>
          <cell r="H853" t="str">
            <v>Valid</v>
          </cell>
          <cell r="N853" t="str">
            <v>West</v>
          </cell>
          <cell r="V853" t="str">
            <v>First Class</v>
          </cell>
          <cell r="Z853">
            <v>0.2</v>
          </cell>
          <cell r="AB853" t="str">
            <v>Valid</v>
          </cell>
          <cell r="AC853">
            <v>1858.08</v>
          </cell>
          <cell r="AE853">
            <v>1858.08</v>
          </cell>
          <cell r="AH853">
            <v>1590.75</v>
          </cell>
          <cell r="AI853">
            <v>267.33</v>
          </cell>
          <cell r="AO853" t="str">
            <v>Paid</v>
          </cell>
          <cell r="AP853" t="str">
            <v>Completed</v>
          </cell>
        </row>
        <row r="854">
          <cell r="A854" t="str">
            <v>ORD-2024-10853</v>
          </cell>
          <cell r="B854" t="str">
            <v>01-04-2024</v>
          </cell>
          <cell r="D854" t="str">
            <v>08-04-2024</v>
          </cell>
          <cell r="F854" t="str">
            <v>Valid</v>
          </cell>
          <cell r="H854" t="str">
            <v>Valid</v>
          </cell>
          <cell r="N854" t="str">
            <v>East</v>
          </cell>
          <cell r="V854" t="str">
            <v>Second Class</v>
          </cell>
          <cell r="Z854">
            <v>0.15</v>
          </cell>
          <cell r="AB854" t="str">
            <v>Valid</v>
          </cell>
          <cell r="AC854">
            <v>25021.83</v>
          </cell>
          <cell r="AE854">
            <v>25021.832500000004</v>
          </cell>
          <cell r="AH854">
            <v>15544.44</v>
          </cell>
          <cell r="AI854">
            <v>9477.39</v>
          </cell>
          <cell r="AO854" t="str">
            <v>Pending</v>
          </cell>
          <cell r="AP854" t="str">
            <v>Cancelled</v>
          </cell>
        </row>
        <row r="855">
          <cell r="A855" t="str">
            <v>ORD-2025-10854</v>
          </cell>
          <cell r="B855" t="str">
            <v>2025-05-16</v>
          </cell>
          <cell r="D855" t="str">
            <v>05/22/2025</v>
          </cell>
          <cell r="F855" t="str">
            <v>Valid</v>
          </cell>
          <cell r="H855" t="str">
            <v>Valid</v>
          </cell>
          <cell r="N855" t="str">
            <v>South</v>
          </cell>
          <cell r="V855" t="str">
            <v>Same Day</v>
          </cell>
          <cell r="Z855">
            <v>0.2</v>
          </cell>
          <cell r="AB855" t="str">
            <v>Valid</v>
          </cell>
          <cell r="AC855">
            <v>3710.72</v>
          </cell>
          <cell r="AE855">
            <v>3710.72</v>
          </cell>
          <cell r="AH855">
            <v>3115.29</v>
          </cell>
          <cell r="AI855">
            <v>595.42999999999995</v>
          </cell>
          <cell r="AO855" t="str">
            <v>Paid</v>
          </cell>
          <cell r="AP855" t="str">
            <v>Completed</v>
          </cell>
        </row>
        <row r="856">
          <cell r="A856" t="str">
            <v>ORD-2025-10855</v>
          </cell>
          <cell r="B856" t="str">
            <v>03/25/2025</v>
          </cell>
          <cell r="D856" t="str">
            <v>04/02/2025</v>
          </cell>
          <cell r="F856" t="str">
            <v>Valid</v>
          </cell>
          <cell r="H856" t="str">
            <v>Valid</v>
          </cell>
          <cell r="N856" t="str">
            <v>South</v>
          </cell>
          <cell r="V856" t="str">
            <v>Second Class</v>
          </cell>
          <cell r="Z856">
            <v>0.05</v>
          </cell>
          <cell r="AB856" t="str">
            <v>Valid</v>
          </cell>
          <cell r="AC856">
            <v>8487.83</v>
          </cell>
          <cell r="AE856">
            <v>8487.8319999999985</v>
          </cell>
          <cell r="AH856">
            <v>5245.72</v>
          </cell>
          <cell r="AI856">
            <v>3242.11</v>
          </cell>
          <cell r="AO856" t="str">
            <v>Paid</v>
          </cell>
          <cell r="AP856" t="str">
            <v>Completed</v>
          </cell>
        </row>
        <row r="857">
          <cell r="A857" t="str">
            <v>ORD-2024-10856</v>
          </cell>
          <cell r="B857" t="str">
            <v>25-07-2024</v>
          </cell>
          <cell r="D857" t="str">
            <v>02 Aug 2024</v>
          </cell>
          <cell r="F857" t="str">
            <v>Valid</v>
          </cell>
          <cell r="H857" t="str">
            <v>Valid</v>
          </cell>
          <cell r="N857" t="str">
            <v>North</v>
          </cell>
          <cell r="V857" t="str">
            <v>Second Class</v>
          </cell>
          <cell r="Z857">
            <v>0.25</v>
          </cell>
          <cell r="AB857" t="str">
            <v>Valid</v>
          </cell>
          <cell r="AC857">
            <v>3110.3</v>
          </cell>
          <cell r="AE857">
            <v>3110.2950000000001</v>
          </cell>
          <cell r="AH857">
            <v>2101.0300000000002</v>
          </cell>
          <cell r="AI857">
            <v>1009.27</v>
          </cell>
          <cell r="AO857" t="str">
            <v>Paid</v>
          </cell>
          <cell r="AP857" t="str">
            <v>Completed</v>
          </cell>
        </row>
        <row r="858">
          <cell r="A858" t="str">
            <v>ORD-2024-10857</v>
          </cell>
          <cell r="B858" t="str">
            <v>2024-06-12</v>
          </cell>
          <cell r="D858" t="str">
            <v>19 Jun 2024</v>
          </cell>
          <cell r="F858" t="str">
            <v>Valid</v>
          </cell>
          <cell r="H858" t="str">
            <v>Valid</v>
          </cell>
          <cell r="N858" t="str">
            <v>South</v>
          </cell>
          <cell r="V858" t="str">
            <v>Standard Class</v>
          </cell>
          <cell r="Z858">
            <v>-0.16</v>
          </cell>
          <cell r="AB858" t="str">
            <v>Invalid - Negative Discount</v>
          </cell>
          <cell r="AC858">
            <v>1185.3</v>
          </cell>
          <cell r="AE858">
            <v>1833.2639999999999</v>
          </cell>
          <cell r="AH858">
            <v>966.55</v>
          </cell>
          <cell r="AI858">
            <v>218.75</v>
          </cell>
          <cell r="AO858" t="str">
            <v>Failed</v>
          </cell>
          <cell r="AP858" t="str">
            <v>Cancelled</v>
          </cell>
        </row>
        <row r="859">
          <cell r="A859" t="str">
            <v>ORD-2024-10858</v>
          </cell>
          <cell r="B859" t="str">
            <v>04 Jun 2024</v>
          </cell>
          <cell r="D859" t="str">
            <v>04-06-2024</v>
          </cell>
          <cell r="F859" t="str">
            <v>Valid</v>
          </cell>
          <cell r="H859" t="str">
            <v>Valid</v>
          </cell>
          <cell r="N859" t="str">
            <v>South</v>
          </cell>
          <cell r="V859" t="str">
            <v>First Class</v>
          </cell>
          <cell r="Z859">
            <v>0.25</v>
          </cell>
          <cell r="AB859" t="str">
            <v>Valid</v>
          </cell>
          <cell r="AC859">
            <v>12190.36</v>
          </cell>
          <cell r="AE859">
            <v>12190.365</v>
          </cell>
          <cell r="AH859">
            <v>10176.99</v>
          </cell>
          <cell r="AI859">
            <v>2013.37</v>
          </cell>
          <cell r="AO859" t="str">
            <v>Paid</v>
          </cell>
          <cell r="AP859" t="str">
            <v>Completed</v>
          </cell>
        </row>
        <row r="860">
          <cell r="A860" t="str">
            <v>ORD-2024-10859</v>
          </cell>
          <cell r="B860" t="str">
            <v>05/02/2024</v>
          </cell>
          <cell r="D860" t="str">
            <v>09 May 2024</v>
          </cell>
          <cell r="F860" t="str">
            <v>Valid</v>
          </cell>
          <cell r="H860" t="str">
            <v>Valid</v>
          </cell>
          <cell r="N860" t="str">
            <v>East</v>
          </cell>
          <cell r="V860" t="str">
            <v>Second Class</v>
          </cell>
          <cell r="Z860">
            <v>0</v>
          </cell>
          <cell r="AB860" t="str">
            <v>Valid</v>
          </cell>
          <cell r="AC860">
            <v>11619.44</v>
          </cell>
          <cell r="AE860">
            <v>11619.44</v>
          </cell>
          <cell r="AH860">
            <v>7184.32</v>
          </cell>
          <cell r="AI860">
            <v>4494.6400000000003</v>
          </cell>
          <cell r="AO860" t="str">
            <v>Paid</v>
          </cell>
          <cell r="AP860" t="str">
            <v>Completed</v>
          </cell>
        </row>
        <row r="861">
          <cell r="A861" t="str">
            <v>ORD-2024-10860</v>
          </cell>
          <cell r="B861" t="str">
            <v>10/27/2024</v>
          </cell>
          <cell r="D861" t="str">
            <v>2024-11-01</v>
          </cell>
          <cell r="F861" t="str">
            <v>Valid</v>
          </cell>
          <cell r="H861" t="str">
            <v>Valid</v>
          </cell>
          <cell r="N861" t="str">
            <v>South</v>
          </cell>
          <cell r="V861" t="str">
            <v>Standard Class</v>
          </cell>
          <cell r="Z861">
            <v>0.05</v>
          </cell>
          <cell r="AB861" t="str">
            <v>Valid</v>
          </cell>
          <cell r="AC861">
            <v>25075.439999999999</v>
          </cell>
          <cell r="AE861">
            <v>25075.439999999995</v>
          </cell>
          <cell r="AH861">
            <v>16282.74</v>
          </cell>
          <cell r="AI861">
            <v>8792.7000000000007</v>
          </cell>
          <cell r="AO861" t="str">
            <v>Paid</v>
          </cell>
          <cell r="AP861" t="str">
            <v>Completed</v>
          </cell>
        </row>
        <row r="862">
          <cell r="A862" t="str">
            <v>ORD-2024-10861</v>
          </cell>
          <cell r="B862" t="str">
            <v>02 Feb 2024</v>
          </cell>
          <cell r="D862" t="str">
            <v>04 Feb 2024</v>
          </cell>
          <cell r="F862" t="str">
            <v>Valid</v>
          </cell>
          <cell r="H862" t="str">
            <v>Valid</v>
          </cell>
          <cell r="N862" t="str">
            <v>North</v>
          </cell>
          <cell r="V862" t="str">
            <v>Second Class</v>
          </cell>
          <cell r="Z862">
            <v>0.05</v>
          </cell>
          <cell r="AB862" t="str">
            <v>Valid</v>
          </cell>
          <cell r="AC862">
            <v>4177.45</v>
          </cell>
          <cell r="AE862">
            <v>4177.4539999999997</v>
          </cell>
          <cell r="AH862">
            <v>2299.5</v>
          </cell>
          <cell r="AI862">
            <v>1877.95</v>
          </cell>
          <cell r="AO862" t="str">
            <v>Paid</v>
          </cell>
          <cell r="AP862" t="str">
            <v>Completed</v>
          </cell>
        </row>
        <row r="863">
          <cell r="A863" t="str">
            <v>ORD-2025-10862</v>
          </cell>
          <cell r="B863" t="str">
            <v>2025-03-08</v>
          </cell>
          <cell r="D863" t="str">
            <v>2025-03-09</v>
          </cell>
          <cell r="F863" t="str">
            <v>Valid</v>
          </cell>
          <cell r="H863" t="str">
            <v>Valid</v>
          </cell>
          <cell r="N863" t="str">
            <v>North</v>
          </cell>
          <cell r="V863" t="str">
            <v>Same Day</v>
          </cell>
          <cell r="Z863">
            <v>0.2</v>
          </cell>
          <cell r="AB863" t="str">
            <v>Valid</v>
          </cell>
          <cell r="AC863">
            <v>10898.18</v>
          </cell>
          <cell r="AE863">
            <v>10898.175999999999</v>
          </cell>
          <cell r="AH863">
            <v>6231.41</v>
          </cell>
          <cell r="AI863">
            <v>4666.7700000000004</v>
          </cell>
          <cell r="AO863" t="str">
            <v>Paid</v>
          </cell>
          <cell r="AP863" t="str">
            <v>Completed</v>
          </cell>
        </row>
        <row r="864">
          <cell r="A864" t="str">
            <v>ORD-2025-10863</v>
          </cell>
          <cell r="B864" t="str">
            <v>2025-03-26</v>
          </cell>
          <cell r="D864" t="str">
            <v>31-03-2025</v>
          </cell>
          <cell r="F864" t="str">
            <v>Valid</v>
          </cell>
          <cell r="H864" t="str">
            <v>Valid</v>
          </cell>
          <cell r="N864" t="str">
            <v>East</v>
          </cell>
          <cell r="V864" t="str">
            <v>First Class</v>
          </cell>
          <cell r="Z864">
            <v>0</v>
          </cell>
          <cell r="AB864" t="str">
            <v>Valid</v>
          </cell>
          <cell r="AC864">
            <v>6975.7</v>
          </cell>
          <cell r="AE864">
            <v>6975.7000000000007</v>
          </cell>
          <cell r="AH864">
            <v>4797.88</v>
          </cell>
          <cell r="AI864">
            <v>2177.8200000000002</v>
          </cell>
          <cell r="AO864" t="str">
            <v>Paid</v>
          </cell>
          <cell r="AP864" t="str">
            <v>Cancelled</v>
          </cell>
        </row>
        <row r="865">
          <cell r="A865" t="str">
            <v>ORD-2025-10864</v>
          </cell>
          <cell r="B865" t="str">
            <v>09/06/2025</v>
          </cell>
          <cell r="D865" t="str">
            <v>09/08/2025</v>
          </cell>
          <cell r="F865" t="str">
            <v>Valid</v>
          </cell>
          <cell r="H865" t="str">
            <v>Valid</v>
          </cell>
          <cell r="N865" t="str">
            <v>West</v>
          </cell>
          <cell r="V865" t="str">
            <v>Same Day</v>
          </cell>
          <cell r="Z865">
            <v>0</v>
          </cell>
          <cell r="AB865" t="str">
            <v>Valid</v>
          </cell>
          <cell r="AC865">
            <v>8811.69</v>
          </cell>
          <cell r="AE865">
            <v>8811.69</v>
          </cell>
          <cell r="AH865">
            <v>6765.91</v>
          </cell>
          <cell r="AI865">
            <v>2045.78</v>
          </cell>
          <cell r="AO865" t="str">
            <v>Paid</v>
          </cell>
          <cell r="AP865" t="str">
            <v>Completed</v>
          </cell>
        </row>
        <row r="866">
          <cell r="A866" t="str">
            <v>ORD-2025-10865</v>
          </cell>
          <cell r="B866" t="str">
            <v>02 Sep 2025</v>
          </cell>
          <cell r="D866" t="str">
            <v>05-09-2025</v>
          </cell>
          <cell r="F866" t="str">
            <v>Valid</v>
          </cell>
          <cell r="H866" t="str">
            <v>Valid</v>
          </cell>
          <cell r="N866" t="str">
            <v>South</v>
          </cell>
          <cell r="V866" t="str">
            <v>First Class</v>
          </cell>
          <cell r="Z866">
            <v>0</v>
          </cell>
          <cell r="AB866" t="str">
            <v>Valid</v>
          </cell>
          <cell r="AC866">
            <v>17034.349999999999</v>
          </cell>
          <cell r="AE866">
            <v>17034.349999999999</v>
          </cell>
          <cell r="AH866">
            <v>14631.36</v>
          </cell>
          <cell r="AI866">
            <v>2402.9899999999998</v>
          </cell>
          <cell r="AO866" t="str">
            <v>Paid</v>
          </cell>
          <cell r="AP866" t="str">
            <v>Completed</v>
          </cell>
        </row>
        <row r="867">
          <cell r="A867" t="str">
            <v>ORD-2025-10866</v>
          </cell>
          <cell r="B867" t="str">
            <v>06-02-2025</v>
          </cell>
          <cell r="D867" t="str">
            <v>14-02-2025</v>
          </cell>
          <cell r="F867" t="str">
            <v>Valid</v>
          </cell>
          <cell r="H867" t="str">
            <v>Valid</v>
          </cell>
          <cell r="N867" t="str">
            <v>West</v>
          </cell>
          <cell r="V867" t="str">
            <v>Second Class</v>
          </cell>
          <cell r="Z867">
            <v>0</v>
          </cell>
          <cell r="AB867" t="str">
            <v>Valid</v>
          </cell>
          <cell r="AC867">
            <v>7984.08</v>
          </cell>
          <cell r="AE867">
            <v>7984.08</v>
          </cell>
          <cell r="AH867">
            <v>5658.05</v>
          </cell>
          <cell r="AI867">
            <v>2326.0300000000002</v>
          </cell>
          <cell r="AO867" t="str">
            <v>Paid</v>
          </cell>
          <cell r="AP867" t="str">
            <v>Completed</v>
          </cell>
        </row>
        <row r="868">
          <cell r="A868" t="str">
            <v>ORD-2025-10867</v>
          </cell>
          <cell r="B868" t="str">
            <v>02/26/2025</v>
          </cell>
          <cell r="D868" t="str">
            <v>2025-03-06</v>
          </cell>
          <cell r="F868" t="str">
            <v>Valid</v>
          </cell>
          <cell r="H868" t="str">
            <v>Valid</v>
          </cell>
          <cell r="N868" t="str">
            <v>East</v>
          </cell>
          <cell r="V868" t="str">
            <v>First Class</v>
          </cell>
          <cell r="Z868">
            <v>0.2</v>
          </cell>
          <cell r="AB868" t="str">
            <v>Valid</v>
          </cell>
          <cell r="AC868">
            <v>21912.26</v>
          </cell>
          <cell r="AE868">
            <v>21912.263999999999</v>
          </cell>
          <cell r="AH868">
            <v>16367.78</v>
          </cell>
          <cell r="AI868">
            <v>5544.48</v>
          </cell>
          <cell r="AO868" t="str">
            <v>Pending</v>
          </cell>
          <cell r="AP868" t="str">
            <v>Cancelled</v>
          </cell>
        </row>
        <row r="869">
          <cell r="A869" t="str">
            <v>ORD-2024-10868</v>
          </cell>
          <cell r="B869" t="str">
            <v>21 Nov 2024</v>
          </cell>
          <cell r="D869" t="str">
            <v>22 Nov 2024</v>
          </cell>
          <cell r="F869" t="str">
            <v>Valid</v>
          </cell>
          <cell r="H869" t="str">
            <v>Valid</v>
          </cell>
          <cell r="N869" t="str">
            <v>South</v>
          </cell>
          <cell r="V869" t="str">
            <v>Same Day</v>
          </cell>
          <cell r="Z869">
            <v>0.25</v>
          </cell>
          <cell r="AB869" t="str">
            <v>Valid</v>
          </cell>
          <cell r="AC869">
            <v>4695.7</v>
          </cell>
          <cell r="AE869">
            <v>4695.7049999999999</v>
          </cell>
          <cell r="AH869">
            <v>3871.69</v>
          </cell>
          <cell r="AI869">
            <v>824.01</v>
          </cell>
          <cell r="AO869" t="str">
            <v>Failed</v>
          </cell>
          <cell r="AP869" t="str">
            <v>Cancelled</v>
          </cell>
        </row>
        <row r="870">
          <cell r="A870" t="str">
            <v>ORD-2025-10869</v>
          </cell>
          <cell r="B870" t="str">
            <v>11-04-2025</v>
          </cell>
          <cell r="D870" t="str">
            <v>2025-04-15</v>
          </cell>
          <cell r="F870" t="str">
            <v>Valid</v>
          </cell>
          <cell r="H870" t="str">
            <v>Valid</v>
          </cell>
          <cell r="N870" t="str">
            <v>South</v>
          </cell>
          <cell r="V870" t="str">
            <v>Same Day</v>
          </cell>
          <cell r="Z870">
            <v>0.05</v>
          </cell>
          <cell r="AB870" t="str">
            <v>Valid</v>
          </cell>
          <cell r="AC870">
            <v>1923.24</v>
          </cell>
          <cell r="AE870">
            <v>1923.2369999999999</v>
          </cell>
          <cell r="AH870">
            <v>1093.6600000000001</v>
          </cell>
          <cell r="AI870">
            <v>829.58</v>
          </cell>
          <cell r="AO870" t="str">
            <v>Paid</v>
          </cell>
          <cell r="AP870" t="str">
            <v>Completed</v>
          </cell>
        </row>
        <row r="871">
          <cell r="A871" t="str">
            <v>ORD-2025-10870</v>
          </cell>
          <cell r="B871" t="str">
            <v>03/06/2025</v>
          </cell>
          <cell r="D871" t="str">
            <v>07-03-2025</v>
          </cell>
          <cell r="F871" t="str">
            <v>Valid</v>
          </cell>
          <cell r="H871" t="str">
            <v>Valid</v>
          </cell>
          <cell r="V871" t="str">
            <v>Same Day</v>
          </cell>
          <cell r="Z871">
            <v>0.1</v>
          </cell>
          <cell r="AB871" t="str">
            <v>Valid</v>
          </cell>
          <cell r="AC871">
            <v>4301.91</v>
          </cell>
          <cell r="AE871">
            <v>4301.91</v>
          </cell>
          <cell r="AH871">
            <v>2374.4</v>
          </cell>
          <cell r="AI871">
            <v>1927.51</v>
          </cell>
          <cell r="AO871" t="str">
            <v>Paid</v>
          </cell>
          <cell r="AP871" t="str">
            <v>Completed</v>
          </cell>
        </row>
        <row r="872">
          <cell r="A872" t="str">
            <v>ORD-2025-10871</v>
          </cell>
          <cell r="B872" t="str">
            <v>06 Jun 2025</v>
          </cell>
          <cell r="D872" t="str">
            <v>07 Jun 2025</v>
          </cell>
          <cell r="F872" t="str">
            <v>Valid</v>
          </cell>
          <cell r="H872" t="str">
            <v>Valid</v>
          </cell>
          <cell r="N872" t="str">
            <v>West</v>
          </cell>
          <cell r="V872" t="str">
            <v>Standard Class</v>
          </cell>
          <cell r="Z872">
            <v>0.15</v>
          </cell>
          <cell r="AB872" t="str">
            <v>Valid</v>
          </cell>
          <cell r="AC872">
            <v>22436.84</v>
          </cell>
          <cell r="AE872">
            <v>22436.838</v>
          </cell>
          <cell r="AH872">
            <v>17454.669999999998</v>
          </cell>
          <cell r="AI872">
            <v>4982.17</v>
          </cell>
          <cell r="AO872" t="str">
            <v>Paid</v>
          </cell>
          <cell r="AP872" t="str">
            <v>Cancelled</v>
          </cell>
        </row>
        <row r="873">
          <cell r="A873" t="str">
            <v>ORD-2024-10872</v>
          </cell>
          <cell r="B873" t="str">
            <v>02/20/2024</v>
          </cell>
          <cell r="D873" t="str">
            <v>2024-02-22</v>
          </cell>
          <cell r="F873" t="str">
            <v>Valid</v>
          </cell>
          <cell r="H873" t="str">
            <v>Valid</v>
          </cell>
          <cell r="N873" t="str">
            <v>South</v>
          </cell>
          <cell r="V873" t="str">
            <v>First Class</v>
          </cell>
          <cell r="Z873">
            <v>0</v>
          </cell>
          <cell r="AB873" t="str">
            <v>Valid</v>
          </cell>
          <cell r="AC873">
            <v>19676.07</v>
          </cell>
          <cell r="AE873">
            <v>19676.07</v>
          </cell>
          <cell r="AH873">
            <v>12458.62</v>
          </cell>
          <cell r="AI873">
            <v>7217.45</v>
          </cell>
          <cell r="AO873" t="str">
            <v>Refunded</v>
          </cell>
          <cell r="AP873" t="str">
            <v>Cancelled</v>
          </cell>
        </row>
        <row r="874">
          <cell r="A874" t="str">
            <v>ORD-2024-10873</v>
          </cell>
          <cell r="B874" t="str">
            <v>11/01/2024</v>
          </cell>
          <cell r="D874" t="str">
            <v>02 Nov 2024</v>
          </cell>
          <cell r="F874" t="str">
            <v>Valid</v>
          </cell>
          <cell r="H874" t="str">
            <v>Valid</v>
          </cell>
          <cell r="N874" t="str">
            <v>East</v>
          </cell>
          <cell r="V874" t="str">
            <v>Standard Class</v>
          </cell>
          <cell r="Z874">
            <v>0.2</v>
          </cell>
          <cell r="AB874" t="str">
            <v>Valid</v>
          </cell>
          <cell r="AC874">
            <v>8848.08</v>
          </cell>
          <cell r="AE874">
            <v>8848.08</v>
          </cell>
          <cell r="AH874">
            <v>5691.56</v>
          </cell>
          <cell r="AI874">
            <v>3156.52</v>
          </cell>
          <cell r="AO874" t="str">
            <v>Paid</v>
          </cell>
          <cell r="AP874" t="str">
            <v>Completed</v>
          </cell>
        </row>
        <row r="875">
          <cell r="A875" t="str">
            <v>ORD-2025-10874</v>
          </cell>
          <cell r="B875" t="str">
            <v>01 Feb 2025</v>
          </cell>
          <cell r="D875" t="str">
            <v>08-02-2025</v>
          </cell>
          <cell r="F875" t="str">
            <v>Valid</v>
          </cell>
          <cell r="H875" t="str">
            <v>Valid</v>
          </cell>
          <cell r="N875" t="str">
            <v>West</v>
          </cell>
          <cell r="V875" t="str">
            <v>Second Class</v>
          </cell>
          <cell r="Z875">
            <v>0.1</v>
          </cell>
          <cell r="AB875" t="str">
            <v>Valid</v>
          </cell>
          <cell r="AC875">
            <v>4487.83</v>
          </cell>
          <cell r="AE875">
            <v>4487.8319999999994</v>
          </cell>
          <cell r="AH875">
            <v>2633.78</v>
          </cell>
          <cell r="AI875">
            <v>1854.05</v>
          </cell>
          <cell r="AO875" t="str">
            <v>Paid</v>
          </cell>
          <cell r="AP875" t="str">
            <v>Completed</v>
          </cell>
        </row>
        <row r="876">
          <cell r="A876" t="str">
            <v>ORD-2025-10875</v>
          </cell>
          <cell r="B876" t="str">
            <v>15 Jul 2025</v>
          </cell>
          <cell r="D876" t="str">
            <v>16 Jul 2025</v>
          </cell>
          <cell r="F876" t="str">
            <v>Valid</v>
          </cell>
          <cell r="H876" t="str">
            <v>Valid</v>
          </cell>
          <cell r="N876" t="str">
            <v>West</v>
          </cell>
          <cell r="V876" t="str">
            <v>Standard Class</v>
          </cell>
          <cell r="Z876">
            <v>0.05</v>
          </cell>
          <cell r="AB876" t="str">
            <v>Valid</v>
          </cell>
          <cell r="AC876">
            <v>29829.09</v>
          </cell>
          <cell r="AE876">
            <v>29829.088</v>
          </cell>
          <cell r="AH876">
            <v>20710.18</v>
          </cell>
          <cell r="AI876">
            <v>9118.91</v>
          </cell>
          <cell r="AO876" t="str">
            <v>Paid</v>
          </cell>
          <cell r="AP876" t="str">
            <v>Completed</v>
          </cell>
        </row>
        <row r="877">
          <cell r="A877" t="str">
            <v>ORD-2024-10876</v>
          </cell>
          <cell r="B877" t="str">
            <v>10 Aug 2024</v>
          </cell>
          <cell r="D877" t="str">
            <v>08/11/2024</v>
          </cell>
          <cell r="F877" t="str">
            <v>Valid</v>
          </cell>
          <cell r="H877" t="str">
            <v>Valid</v>
          </cell>
          <cell r="N877" t="str">
            <v>West</v>
          </cell>
          <cell r="V877" t="str">
            <v>First Class</v>
          </cell>
          <cell r="Z877">
            <v>0.2</v>
          </cell>
          <cell r="AB877" t="str">
            <v>Valid</v>
          </cell>
          <cell r="AC877">
            <v>21574.67</v>
          </cell>
          <cell r="AE877">
            <v>21574.672000000002</v>
          </cell>
          <cell r="AH877">
            <v>14672.83</v>
          </cell>
          <cell r="AI877">
            <v>6901.84</v>
          </cell>
          <cell r="AO877" t="str">
            <v>Paid</v>
          </cell>
          <cell r="AP877" t="str">
            <v>Completed</v>
          </cell>
        </row>
        <row r="878">
          <cell r="A878" t="str">
            <v>ORD-2024-10877</v>
          </cell>
          <cell r="B878" t="str">
            <v>11/18/2024</v>
          </cell>
          <cell r="D878" t="str">
            <v>20-11-2024</v>
          </cell>
          <cell r="F878" t="str">
            <v>Valid</v>
          </cell>
          <cell r="H878" t="str">
            <v>Valid</v>
          </cell>
          <cell r="N878" t="str">
            <v>West</v>
          </cell>
          <cell r="V878" t="str">
            <v>First Class</v>
          </cell>
          <cell r="Z878">
            <v>0</v>
          </cell>
          <cell r="AB878" t="str">
            <v>Valid</v>
          </cell>
          <cell r="AC878">
            <v>22741.32</v>
          </cell>
          <cell r="AE878">
            <v>22741.32</v>
          </cell>
          <cell r="AH878">
            <v>16388.57</v>
          </cell>
          <cell r="AI878">
            <v>6352.75</v>
          </cell>
          <cell r="AO878" t="str">
            <v>Paid</v>
          </cell>
          <cell r="AP878" t="str">
            <v>Completed</v>
          </cell>
        </row>
        <row r="879">
          <cell r="A879" t="str">
            <v>ORD-2025-10878</v>
          </cell>
          <cell r="B879" t="str">
            <v>26-08-2025</v>
          </cell>
          <cell r="D879" t="str">
            <v>2025-09-03</v>
          </cell>
          <cell r="F879" t="str">
            <v>Valid</v>
          </cell>
          <cell r="H879" t="str">
            <v>Valid</v>
          </cell>
          <cell r="N879" t="str">
            <v>West</v>
          </cell>
          <cell r="V879" t="str">
            <v>Second Class</v>
          </cell>
          <cell r="Z879">
            <v>0.1</v>
          </cell>
          <cell r="AB879" t="str">
            <v>Valid</v>
          </cell>
          <cell r="AC879">
            <v>3641.54</v>
          </cell>
          <cell r="AE879">
            <v>3641.5439999999999</v>
          </cell>
          <cell r="AH879">
            <v>2690.37</v>
          </cell>
          <cell r="AI879">
            <v>951.17</v>
          </cell>
          <cell r="AO879" t="str">
            <v>Paid</v>
          </cell>
          <cell r="AP879" t="str">
            <v>Completed</v>
          </cell>
        </row>
        <row r="880">
          <cell r="A880" t="str">
            <v>ORD-2024-10879</v>
          </cell>
          <cell r="B880" t="str">
            <v>2024-01-22</v>
          </cell>
          <cell r="D880" t="str">
            <v>2024-01-22</v>
          </cell>
          <cell r="F880" t="str">
            <v>Valid</v>
          </cell>
          <cell r="H880" t="str">
            <v>Valid</v>
          </cell>
          <cell r="N880" t="str">
            <v>East</v>
          </cell>
          <cell r="V880" t="str">
            <v>First Class</v>
          </cell>
          <cell r="Z880">
            <v>0.05</v>
          </cell>
          <cell r="AB880" t="str">
            <v>Valid</v>
          </cell>
          <cell r="AC880">
            <v>11834.8</v>
          </cell>
          <cell r="AE880">
            <v>11834.796</v>
          </cell>
          <cell r="AH880">
            <v>9322.36</v>
          </cell>
          <cell r="AI880">
            <v>2512.44</v>
          </cell>
          <cell r="AO880" t="str">
            <v>Paid</v>
          </cell>
          <cell r="AP880" t="str">
            <v>Completed</v>
          </cell>
        </row>
        <row r="881">
          <cell r="A881" t="str">
            <v>ORD-2025-10880</v>
          </cell>
          <cell r="B881" t="str">
            <v>2025-08-27</v>
          </cell>
          <cell r="D881" t="str">
            <v>08/28/2025</v>
          </cell>
          <cell r="F881" t="str">
            <v>Valid</v>
          </cell>
          <cell r="H881" t="str">
            <v>Valid</v>
          </cell>
          <cell r="N881" t="str">
            <v>North</v>
          </cell>
          <cell r="V881" t="str">
            <v>Standard Class</v>
          </cell>
          <cell r="Z881">
            <v>0.15</v>
          </cell>
          <cell r="AB881" t="str">
            <v>Valid</v>
          </cell>
          <cell r="AC881">
            <v>6028.35</v>
          </cell>
          <cell r="AE881">
            <v>6028.3530000000001</v>
          </cell>
          <cell r="AH881">
            <v>4433.63</v>
          </cell>
          <cell r="AI881">
            <v>1594.72</v>
          </cell>
          <cell r="AO881" t="str">
            <v>Paid</v>
          </cell>
          <cell r="AP881" t="str">
            <v>Completed</v>
          </cell>
        </row>
        <row r="882">
          <cell r="A882" t="str">
            <v>ORD-2024-10881</v>
          </cell>
          <cell r="B882" t="str">
            <v>08-03-2024</v>
          </cell>
          <cell r="D882" t="str">
            <v>03/15/2024</v>
          </cell>
          <cell r="F882" t="str">
            <v>Valid</v>
          </cell>
          <cell r="H882" t="str">
            <v>Valid</v>
          </cell>
          <cell r="V882" t="str">
            <v>First Class</v>
          </cell>
          <cell r="Z882">
            <v>0</v>
          </cell>
          <cell r="AB882" t="str">
            <v>Valid</v>
          </cell>
          <cell r="AC882">
            <v>16173.85</v>
          </cell>
          <cell r="AE882">
            <v>16173.85</v>
          </cell>
          <cell r="AH882">
            <v>13636.34</v>
          </cell>
          <cell r="AI882">
            <v>2537.5100000000002</v>
          </cell>
          <cell r="AO882" t="str">
            <v>Paid</v>
          </cell>
          <cell r="AP882" t="str">
            <v>Completed</v>
          </cell>
        </row>
        <row r="883">
          <cell r="A883" t="str">
            <v>ORD-2024-10882</v>
          </cell>
          <cell r="B883" t="str">
            <v>01 Dec 2024</v>
          </cell>
          <cell r="D883" t="str">
            <v>05-12-2024</v>
          </cell>
          <cell r="F883" t="str">
            <v>Valid</v>
          </cell>
          <cell r="H883" t="str">
            <v>Valid</v>
          </cell>
          <cell r="N883" t="str">
            <v>South</v>
          </cell>
          <cell r="V883" t="str">
            <v>Second Class</v>
          </cell>
          <cell r="Z883">
            <v>0.25</v>
          </cell>
          <cell r="AB883" t="str">
            <v>Valid</v>
          </cell>
          <cell r="AC883">
            <v>25155.56</v>
          </cell>
          <cell r="AE883">
            <v>25155.5625</v>
          </cell>
          <cell r="AH883">
            <v>17592.689999999999</v>
          </cell>
          <cell r="AI883">
            <v>7562.87</v>
          </cell>
          <cell r="AO883" t="str">
            <v>Paid</v>
          </cell>
          <cell r="AP883" t="str">
            <v>Completed</v>
          </cell>
        </row>
        <row r="884">
          <cell r="A884" t="str">
            <v>ORD-2025-10883</v>
          </cell>
          <cell r="B884" t="str">
            <v>02 Feb 2025</v>
          </cell>
          <cell r="D884" t="str">
            <v>02/10/2025</v>
          </cell>
          <cell r="F884" t="str">
            <v>Valid</v>
          </cell>
          <cell r="H884" t="str">
            <v>Valid</v>
          </cell>
          <cell r="N884" t="str">
            <v>East</v>
          </cell>
          <cell r="V884" t="str">
            <v>Standard Class</v>
          </cell>
          <cell r="Z884">
            <v>0</v>
          </cell>
          <cell r="AB884" t="str">
            <v>Valid</v>
          </cell>
          <cell r="AC884">
            <v>7649.8</v>
          </cell>
          <cell r="AE884">
            <v>7649.8</v>
          </cell>
          <cell r="AH884">
            <v>4894.53</v>
          </cell>
          <cell r="AI884">
            <v>2755.27</v>
          </cell>
          <cell r="AO884" t="str">
            <v>Pending</v>
          </cell>
          <cell r="AP884" t="str">
            <v>Returned</v>
          </cell>
        </row>
        <row r="885">
          <cell r="A885" t="str">
            <v>ORD-2025-10884</v>
          </cell>
          <cell r="B885" t="str">
            <v>28 Apr 2025</v>
          </cell>
          <cell r="D885" t="str">
            <v>05/01/2025</v>
          </cell>
          <cell r="F885" t="str">
            <v>Valid</v>
          </cell>
          <cell r="H885" t="str">
            <v>Valid</v>
          </cell>
          <cell r="N885" t="str">
            <v>West</v>
          </cell>
          <cell r="V885" t="str">
            <v>Same Day</v>
          </cell>
          <cell r="Z885">
            <v>0</v>
          </cell>
          <cell r="AB885" t="str">
            <v>Valid</v>
          </cell>
          <cell r="AC885">
            <v>1620.87</v>
          </cell>
          <cell r="AE885">
            <v>1620.87</v>
          </cell>
          <cell r="AH885">
            <v>1103.6099999999999</v>
          </cell>
          <cell r="AI885">
            <v>517.26</v>
          </cell>
          <cell r="AO885" t="str">
            <v>Paid</v>
          </cell>
          <cell r="AP885" t="str">
            <v>Completed</v>
          </cell>
        </row>
        <row r="886">
          <cell r="A886" t="str">
            <v>ORD-2025-10885</v>
          </cell>
          <cell r="B886" t="str">
            <v>18-01-2025</v>
          </cell>
          <cell r="D886" t="str">
            <v>2025-01-25</v>
          </cell>
          <cell r="F886" t="str">
            <v>Valid</v>
          </cell>
          <cell r="H886" t="str">
            <v>Valid</v>
          </cell>
          <cell r="N886" t="str">
            <v>South</v>
          </cell>
          <cell r="V886" t="str">
            <v>Same Day</v>
          </cell>
          <cell r="Z886">
            <v>0.15</v>
          </cell>
          <cell r="AB886" t="str">
            <v>Valid</v>
          </cell>
          <cell r="AC886">
            <v>3567.52</v>
          </cell>
          <cell r="AE886">
            <v>3567.518</v>
          </cell>
          <cell r="AH886">
            <v>2411.8000000000002</v>
          </cell>
          <cell r="AI886">
            <v>1155.72</v>
          </cell>
          <cell r="AO886" t="str">
            <v>Paid</v>
          </cell>
          <cell r="AP886" t="str">
            <v>Completed</v>
          </cell>
        </row>
        <row r="887">
          <cell r="A887" t="str">
            <v>ORD-2024-10886</v>
          </cell>
          <cell r="B887" t="str">
            <v>2024-01-05</v>
          </cell>
          <cell r="D887" t="str">
            <v>2024-01-05</v>
          </cell>
          <cell r="F887" t="str">
            <v>Valid</v>
          </cell>
          <cell r="H887" t="str">
            <v>Valid</v>
          </cell>
          <cell r="N887" t="str">
            <v>North</v>
          </cell>
          <cell r="V887" t="str">
            <v>Standard Class</v>
          </cell>
          <cell r="Z887">
            <v>0.25</v>
          </cell>
          <cell r="AB887" t="str">
            <v>Valid</v>
          </cell>
          <cell r="AC887">
            <v>1625.31</v>
          </cell>
          <cell r="AE887">
            <v>1625.31</v>
          </cell>
          <cell r="AH887">
            <v>1157.8900000000001</v>
          </cell>
          <cell r="AI887">
            <v>467.42</v>
          </cell>
          <cell r="AO887" t="str">
            <v>Paid</v>
          </cell>
          <cell r="AP887" t="str">
            <v>Completed</v>
          </cell>
        </row>
        <row r="888">
          <cell r="A888" t="str">
            <v>ORD-2025-10887</v>
          </cell>
          <cell r="B888" t="str">
            <v>26-04-2025</v>
          </cell>
          <cell r="D888" t="str">
            <v>03-05-2025</v>
          </cell>
          <cell r="F888" t="str">
            <v>Valid</v>
          </cell>
          <cell r="H888" t="str">
            <v>Valid</v>
          </cell>
          <cell r="N888" t="str">
            <v>South</v>
          </cell>
          <cell r="V888" t="str">
            <v>First Class</v>
          </cell>
          <cell r="Z888">
            <v>0.15</v>
          </cell>
          <cell r="AB888" t="str">
            <v>Valid</v>
          </cell>
          <cell r="AC888">
            <v>23739.9</v>
          </cell>
          <cell r="AE888">
            <v>23739.904999999999</v>
          </cell>
          <cell r="AH888">
            <v>17716.52</v>
          </cell>
          <cell r="AI888">
            <v>6023.38</v>
          </cell>
          <cell r="AO888" t="str">
            <v>Paid</v>
          </cell>
          <cell r="AP888" t="str">
            <v>Cancelled</v>
          </cell>
        </row>
        <row r="889">
          <cell r="A889" t="str">
            <v>ORD-2024-10888</v>
          </cell>
          <cell r="B889" t="str">
            <v>2024-06-12</v>
          </cell>
          <cell r="D889" t="str">
            <v>2024-06-18</v>
          </cell>
          <cell r="F889" t="str">
            <v>Valid</v>
          </cell>
          <cell r="H889" t="str">
            <v>Valid</v>
          </cell>
          <cell r="N889" t="str">
            <v>South</v>
          </cell>
          <cell r="V889" t="str">
            <v>Standard Class</v>
          </cell>
          <cell r="Z889">
            <v>0</v>
          </cell>
          <cell r="AB889" t="str">
            <v>Valid</v>
          </cell>
          <cell r="AC889">
            <v>16704.52</v>
          </cell>
          <cell r="AE889">
            <v>16704.52</v>
          </cell>
          <cell r="AH889">
            <v>10158.280000000001</v>
          </cell>
          <cell r="AI889">
            <v>6546.24</v>
          </cell>
          <cell r="AO889" t="str">
            <v>Paid</v>
          </cell>
          <cell r="AP889" t="str">
            <v>Completed</v>
          </cell>
        </row>
        <row r="890">
          <cell r="A890" t="str">
            <v>ORD-2025-10889</v>
          </cell>
          <cell r="B890" t="str">
            <v>06-08-2025</v>
          </cell>
          <cell r="D890" t="str">
            <v>07-08-2025</v>
          </cell>
          <cell r="F890" t="str">
            <v>Valid</v>
          </cell>
          <cell r="H890" t="str">
            <v>Valid</v>
          </cell>
          <cell r="N890" t="str">
            <v>West</v>
          </cell>
          <cell r="V890" t="str">
            <v>Standard Class</v>
          </cell>
          <cell r="Z890">
            <v>0.1</v>
          </cell>
          <cell r="AB890" t="str">
            <v>Valid</v>
          </cell>
          <cell r="AC890">
            <v>12685.1</v>
          </cell>
          <cell r="AE890">
            <v>12685.103999999999</v>
          </cell>
          <cell r="AH890">
            <v>10779.56</v>
          </cell>
          <cell r="AI890">
            <v>1905.54</v>
          </cell>
          <cell r="AO890" t="str">
            <v>Refunded</v>
          </cell>
          <cell r="AP890" t="str">
            <v>Cancelled</v>
          </cell>
        </row>
        <row r="891">
          <cell r="A891" t="str">
            <v>ORD-2025-10890</v>
          </cell>
          <cell r="B891" t="str">
            <v>10 Mar 2025</v>
          </cell>
          <cell r="D891" t="str">
            <v>03/11/2025</v>
          </cell>
          <cell r="F891" t="str">
            <v>Valid</v>
          </cell>
          <cell r="H891" t="str">
            <v>Valid</v>
          </cell>
          <cell r="N891" t="str">
            <v>West</v>
          </cell>
          <cell r="V891" t="str">
            <v>First Class</v>
          </cell>
          <cell r="Z891">
            <v>0.25</v>
          </cell>
          <cell r="AB891" t="str">
            <v>Valid</v>
          </cell>
          <cell r="AC891">
            <v>5883.12</v>
          </cell>
          <cell r="AE891">
            <v>5883.12</v>
          </cell>
          <cell r="AH891">
            <v>4647.91</v>
          </cell>
          <cell r="AI891">
            <v>1235.21</v>
          </cell>
          <cell r="AO891" t="str">
            <v>Paid</v>
          </cell>
          <cell r="AP891" t="str">
            <v>Returned</v>
          </cell>
        </row>
        <row r="892">
          <cell r="A892" t="str">
            <v>ORD-2024-10891</v>
          </cell>
          <cell r="B892" t="str">
            <v>15-05-2024</v>
          </cell>
          <cell r="D892" t="str">
            <v>21-05-2024</v>
          </cell>
          <cell r="F892" t="str">
            <v>Valid</v>
          </cell>
          <cell r="H892" t="str">
            <v>Valid</v>
          </cell>
          <cell r="N892" t="str">
            <v>West</v>
          </cell>
          <cell r="V892" t="str">
            <v>Standard Class</v>
          </cell>
          <cell r="Z892">
            <v>0.2</v>
          </cell>
          <cell r="AB892" t="str">
            <v>Valid</v>
          </cell>
          <cell r="AC892">
            <v>13965.89</v>
          </cell>
          <cell r="AE892">
            <v>13965.888000000001</v>
          </cell>
          <cell r="AH892">
            <v>11646.12</v>
          </cell>
          <cell r="AI892">
            <v>2319.77</v>
          </cell>
          <cell r="AO892" t="str">
            <v>Paid</v>
          </cell>
          <cell r="AP892" t="str">
            <v>Completed</v>
          </cell>
        </row>
        <row r="893">
          <cell r="A893" t="str">
            <v>ORD-2024-10892</v>
          </cell>
          <cell r="B893" t="str">
            <v>08 Oct 2024</v>
          </cell>
          <cell r="D893" t="str">
            <v>09-10-2024</v>
          </cell>
          <cell r="F893" t="str">
            <v>Valid</v>
          </cell>
          <cell r="H893" t="str">
            <v>Valid</v>
          </cell>
          <cell r="N893" t="str">
            <v>South</v>
          </cell>
          <cell r="V893" t="str">
            <v>Same Day</v>
          </cell>
          <cell r="Z893">
            <v>0.1</v>
          </cell>
          <cell r="AB893" t="str">
            <v>Valid</v>
          </cell>
          <cell r="AC893">
            <v>10835.86</v>
          </cell>
          <cell r="AE893">
            <v>10835.865</v>
          </cell>
          <cell r="AH893">
            <v>6419.92</v>
          </cell>
          <cell r="AI893">
            <v>4415.9399999999996</v>
          </cell>
          <cell r="AO893" t="str">
            <v>Failed</v>
          </cell>
          <cell r="AP893" t="str">
            <v>Cancelled</v>
          </cell>
        </row>
        <row r="894">
          <cell r="A894" t="str">
            <v>ORD-2025-10893</v>
          </cell>
          <cell r="B894" t="str">
            <v>04/12/2025</v>
          </cell>
          <cell r="D894" t="str">
            <v>04/18/2025</v>
          </cell>
          <cell r="F894" t="str">
            <v>Valid</v>
          </cell>
          <cell r="H894" t="str">
            <v>Valid</v>
          </cell>
          <cell r="N894" t="str">
            <v>East</v>
          </cell>
          <cell r="V894" t="str">
            <v>Same Day</v>
          </cell>
          <cell r="Z894">
            <v>0.2</v>
          </cell>
          <cell r="AB894" t="str">
            <v>Valid</v>
          </cell>
          <cell r="AC894">
            <v>581.51</v>
          </cell>
          <cell r="AE894">
            <v>581.51200000000006</v>
          </cell>
          <cell r="AH894">
            <v>423.86</v>
          </cell>
          <cell r="AI894">
            <v>157.65</v>
          </cell>
          <cell r="AO894" t="str">
            <v>Paid</v>
          </cell>
          <cell r="AP894" t="str">
            <v>Completed</v>
          </cell>
        </row>
        <row r="895">
          <cell r="A895" t="str">
            <v>ORD-2024-10894</v>
          </cell>
          <cell r="B895" t="str">
            <v>06 Jun 2024</v>
          </cell>
          <cell r="D895" t="str">
            <v>08 Jun 2024</v>
          </cell>
          <cell r="F895" t="str">
            <v>Valid</v>
          </cell>
          <cell r="H895" t="str">
            <v>Valid</v>
          </cell>
          <cell r="N895" t="str">
            <v>South</v>
          </cell>
          <cell r="V895" t="str">
            <v>Second Class</v>
          </cell>
          <cell r="Z895">
            <v>0.05</v>
          </cell>
          <cell r="AB895" t="str">
            <v>Valid</v>
          </cell>
          <cell r="AC895">
            <v>1127.1500000000001</v>
          </cell>
          <cell r="AE895">
            <v>1127.1465000000001</v>
          </cell>
          <cell r="AH895">
            <v>845.62</v>
          </cell>
          <cell r="AI895">
            <v>281.52999999999997</v>
          </cell>
          <cell r="AO895" t="str">
            <v>Paid</v>
          </cell>
          <cell r="AP895" t="str">
            <v>Returned</v>
          </cell>
        </row>
        <row r="896">
          <cell r="A896" t="str">
            <v>ORD-2024-10895</v>
          </cell>
          <cell r="B896" t="str">
            <v>22 Feb 2024</v>
          </cell>
          <cell r="D896" t="str">
            <v>02/29/2024</v>
          </cell>
          <cell r="F896" t="str">
            <v>Valid</v>
          </cell>
          <cell r="H896" t="str">
            <v>Valid</v>
          </cell>
          <cell r="N896" t="str">
            <v>South</v>
          </cell>
          <cell r="V896" t="str">
            <v>First Class</v>
          </cell>
          <cell r="Z896">
            <v>0</v>
          </cell>
          <cell r="AB896" t="str">
            <v>Valid</v>
          </cell>
          <cell r="AC896">
            <v>25524.3</v>
          </cell>
          <cell r="AE896">
            <v>25524.300000000003</v>
          </cell>
          <cell r="AH896">
            <v>16711.93</v>
          </cell>
          <cell r="AI896">
            <v>8812.3700000000008</v>
          </cell>
          <cell r="AO896" t="str">
            <v>Paid</v>
          </cell>
          <cell r="AP896" t="str">
            <v>Completed</v>
          </cell>
        </row>
        <row r="897">
          <cell r="A897" t="str">
            <v>ORD-2024-10896</v>
          </cell>
          <cell r="B897" t="str">
            <v>05 Nov 2024</v>
          </cell>
          <cell r="D897" t="str">
            <v>11/10/2024</v>
          </cell>
          <cell r="F897" t="str">
            <v>Valid</v>
          </cell>
          <cell r="H897" t="str">
            <v>Valid</v>
          </cell>
          <cell r="N897" t="str">
            <v>South</v>
          </cell>
          <cell r="V897" t="str">
            <v>Same Day</v>
          </cell>
          <cell r="Z897">
            <v>0.15</v>
          </cell>
          <cell r="AB897" t="str">
            <v>Valid</v>
          </cell>
          <cell r="AC897">
            <v>2418.0100000000002</v>
          </cell>
          <cell r="AE897">
            <v>2418.0119999999997</v>
          </cell>
          <cell r="AH897">
            <v>1441.89</v>
          </cell>
          <cell r="AI897">
            <v>976.12</v>
          </cell>
          <cell r="AO897" t="str">
            <v>Pending</v>
          </cell>
          <cell r="AP897" t="str">
            <v>Returned</v>
          </cell>
        </row>
        <row r="898">
          <cell r="A898" t="str">
            <v>ORD-2024-10897</v>
          </cell>
          <cell r="B898" t="str">
            <v>12/24/2024</v>
          </cell>
          <cell r="D898" t="str">
            <v>25-12-2024</v>
          </cell>
          <cell r="F898" t="str">
            <v>Valid</v>
          </cell>
          <cell r="H898" t="str">
            <v>Valid</v>
          </cell>
          <cell r="N898" t="str">
            <v>South</v>
          </cell>
          <cell r="V898" t="str">
            <v>Second Class</v>
          </cell>
          <cell r="Z898">
            <v>0.05</v>
          </cell>
          <cell r="AB898" t="str">
            <v>Valid</v>
          </cell>
          <cell r="AC898">
            <v>3508.38</v>
          </cell>
          <cell r="AE898">
            <v>3508.3784999999998</v>
          </cell>
          <cell r="AH898">
            <v>2828.06</v>
          </cell>
          <cell r="AI898">
            <v>680.32</v>
          </cell>
          <cell r="AO898" t="str">
            <v>Failed</v>
          </cell>
          <cell r="AP898" t="str">
            <v>Returned</v>
          </cell>
        </row>
        <row r="899">
          <cell r="A899" t="str">
            <v>ORD-2025-10898</v>
          </cell>
          <cell r="B899" t="str">
            <v>04/29/2025</v>
          </cell>
          <cell r="D899" t="str">
            <v>03 May 2025</v>
          </cell>
          <cell r="F899" t="str">
            <v>Valid</v>
          </cell>
          <cell r="H899" t="str">
            <v>Valid</v>
          </cell>
          <cell r="N899" t="str">
            <v>North</v>
          </cell>
          <cell r="V899" t="str">
            <v>First Class</v>
          </cell>
          <cell r="Z899">
            <v>0.05</v>
          </cell>
          <cell r="AB899" t="str">
            <v>Valid</v>
          </cell>
          <cell r="AC899">
            <v>6789.27</v>
          </cell>
          <cell r="AE899">
            <v>6789.27</v>
          </cell>
          <cell r="AH899">
            <v>5626.43</v>
          </cell>
          <cell r="AI899">
            <v>1162.8399999999999</v>
          </cell>
          <cell r="AO899" t="str">
            <v>Paid</v>
          </cell>
          <cell r="AP899" t="str">
            <v>Completed</v>
          </cell>
        </row>
        <row r="900">
          <cell r="A900" t="str">
            <v>ORD-2024-10899</v>
          </cell>
          <cell r="B900" t="str">
            <v>2024-06-02</v>
          </cell>
          <cell r="D900" t="str">
            <v>06/08/2024</v>
          </cell>
          <cell r="F900" t="str">
            <v>Valid</v>
          </cell>
          <cell r="H900" t="str">
            <v>Valid</v>
          </cell>
          <cell r="N900" t="str">
            <v>North</v>
          </cell>
          <cell r="V900" t="str">
            <v>First Class</v>
          </cell>
          <cell r="Z900">
            <v>0.2</v>
          </cell>
          <cell r="AB900" t="str">
            <v>Valid</v>
          </cell>
          <cell r="AC900">
            <v>4917.4399999999996</v>
          </cell>
          <cell r="AE900">
            <v>4917.4400000000005</v>
          </cell>
          <cell r="AH900">
            <v>3846.77</v>
          </cell>
          <cell r="AI900">
            <v>1070.67</v>
          </cell>
          <cell r="AO900" t="str">
            <v>Paid</v>
          </cell>
          <cell r="AP900" t="str">
            <v>Completed</v>
          </cell>
        </row>
        <row r="901">
          <cell r="A901" t="str">
            <v>ORD-2025-10900</v>
          </cell>
          <cell r="B901" t="str">
            <v>27 May 2025</v>
          </cell>
          <cell r="D901" t="str">
            <v>06/03/2025</v>
          </cell>
          <cell r="F901" t="str">
            <v>Valid</v>
          </cell>
          <cell r="H901" t="str">
            <v>Valid</v>
          </cell>
          <cell r="N901" t="str">
            <v>North</v>
          </cell>
          <cell r="V901" t="str">
            <v>First Class</v>
          </cell>
          <cell r="Z901">
            <v>0.25</v>
          </cell>
          <cell r="AB901" t="str">
            <v>Valid</v>
          </cell>
          <cell r="AC901">
            <v>3304.05</v>
          </cell>
          <cell r="AE901">
            <v>3304.05</v>
          </cell>
          <cell r="AH901">
            <v>2279.41</v>
          </cell>
          <cell r="AI901">
            <v>1024.6400000000001</v>
          </cell>
          <cell r="AO901" t="str">
            <v>Failed</v>
          </cell>
          <cell r="AP901" t="str">
            <v>Cancelled</v>
          </cell>
        </row>
        <row r="902">
          <cell r="A902" t="str">
            <v>ORD-2024-10332</v>
          </cell>
          <cell r="B902" t="str">
            <v>04-12-2024</v>
          </cell>
          <cell r="D902" t="str">
            <v>2024-12-06</v>
          </cell>
          <cell r="F902" t="str">
            <v>Valid</v>
          </cell>
          <cell r="H902" t="str">
            <v>Valid</v>
          </cell>
          <cell r="N902" t="str">
            <v>East</v>
          </cell>
          <cell r="V902" t="str">
            <v>Second Class</v>
          </cell>
          <cell r="Z902">
            <v>0</v>
          </cell>
          <cell r="AB902" t="str">
            <v>Valid</v>
          </cell>
          <cell r="AC902">
            <v>10989.89</v>
          </cell>
          <cell r="AE902">
            <v>10742.64</v>
          </cell>
          <cell r="AH902">
            <v>6477.37</v>
          </cell>
          <cell r="AI902">
            <v>4265.2700000000004</v>
          </cell>
          <cell r="AO902" t="str">
            <v>Paid</v>
          </cell>
          <cell r="AP902" t="str">
            <v>Completed</v>
          </cell>
        </row>
        <row r="903">
          <cell r="A903" t="str">
            <v>ORD-2025-10091</v>
          </cell>
          <cell r="B903" t="str">
            <v>08/24/2025</v>
          </cell>
          <cell r="D903" t="str">
            <v>29 Aug 2025</v>
          </cell>
          <cell r="F903" t="str">
            <v>Valid</v>
          </cell>
          <cell r="H903" t="str">
            <v>Valid</v>
          </cell>
          <cell r="N903" t="str">
            <v>East</v>
          </cell>
          <cell r="V903" t="str">
            <v>First Class</v>
          </cell>
          <cell r="Z903">
            <v>0.15</v>
          </cell>
          <cell r="AB903" t="str">
            <v>Valid</v>
          </cell>
          <cell r="AC903">
            <v>9549.44</v>
          </cell>
          <cell r="AE903">
            <v>9445.098</v>
          </cell>
          <cell r="AH903">
            <v>5586.28</v>
          </cell>
          <cell r="AI903">
            <v>3858.82</v>
          </cell>
          <cell r="AO903" t="str">
            <v>Paid</v>
          </cell>
          <cell r="AP903" t="str">
            <v>Returned</v>
          </cell>
        </row>
        <row r="904">
          <cell r="A904" t="str">
            <v>ORD-2025-10374</v>
          </cell>
          <cell r="B904" t="str">
            <v>2025-04-13</v>
          </cell>
          <cell r="D904" t="str">
            <v>2025-04-13</v>
          </cell>
          <cell r="F904" t="str">
            <v>Valid</v>
          </cell>
          <cell r="H904" t="str">
            <v>Valid</v>
          </cell>
          <cell r="N904" t="str">
            <v>North</v>
          </cell>
          <cell r="V904" t="str">
            <v>Second Class</v>
          </cell>
          <cell r="Z904">
            <v>0</v>
          </cell>
          <cell r="AB904" t="str">
            <v>Valid</v>
          </cell>
          <cell r="AC904">
            <v>10348.43</v>
          </cell>
          <cell r="AE904">
            <v>10068.120000000001</v>
          </cell>
          <cell r="AH904">
            <v>8595.3700000000008</v>
          </cell>
          <cell r="AI904">
            <v>1472.75</v>
          </cell>
          <cell r="AO904" t="str">
            <v>Paid</v>
          </cell>
          <cell r="AP904" t="str">
            <v>Returned</v>
          </cell>
        </row>
        <row r="905">
          <cell r="A905" t="str">
            <v>ORD-2025-10225</v>
          </cell>
          <cell r="B905" t="str">
            <v>10/02/2025</v>
          </cell>
          <cell r="D905" t="str">
            <v>08 Oct 2025</v>
          </cell>
          <cell r="F905" t="str">
            <v>Valid</v>
          </cell>
          <cell r="H905" t="str">
            <v>Valid</v>
          </cell>
          <cell r="N905" t="str">
            <v>North</v>
          </cell>
          <cell r="V905" t="str">
            <v>Standard Class</v>
          </cell>
          <cell r="Z905">
            <v>0.25</v>
          </cell>
          <cell r="AB905" t="str">
            <v>Valid</v>
          </cell>
          <cell r="AC905">
            <v>12116.89</v>
          </cell>
          <cell r="AE905">
            <v>11833.92</v>
          </cell>
          <cell r="AH905">
            <v>6682.92</v>
          </cell>
          <cell r="AI905">
            <v>5151</v>
          </cell>
          <cell r="AO905" t="str">
            <v>Paid</v>
          </cell>
          <cell r="AP905" t="str">
            <v>Returned</v>
          </cell>
        </row>
        <row r="906">
          <cell r="A906" t="str">
            <v>ORD-2025-10315</v>
          </cell>
          <cell r="B906" t="str">
            <v>05/18/2025</v>
          </cell>
          <cell r="D906" t="str">
            <v>20 May 2025</v>
          </cell>
          <cell r="F906" t="str">
            <v>Valid</v>
          </cell>
          <cell r="H906" t="str">
            <v>Valid</v>
          </cell>
          <cell r="N906" t="str">
            <v>West</v>
          </cell>
          <cell r="V906" t="str">
            <v>Standard Class</v>
          </cell>
          <cell r="Z906">
            <v>0.15</v>
          </cell>
          <cell r="AB906" t="str">
            <v>Valid</v>
          </cell>
          <cell r="AC906">
            <v>6589.37</v>
          </cell>
          <cell r="AE906">
            <v>6485.3639999999996</v>
          </cell>
          <cell r="AH906">
            <v>5376.17</v>
          </cell>
          <cell r="AI906">
            <v>1109.19</v>
          </cell>
          <cell r="AO906" t="str">
            <v>Failed</v>
          </cell>
          <cell r="AP906" t="str">
            <v>Completed</v>
          </cell>
        </row>
        <row r="907">
          <cell r="A907" t="str">
            <v>ORD-2025-10171</v>
          </cell>
          <cell r="B907" t="str">
            <v>07-09-2025</v>
          </cell>
          <cell r="D907" t="str">
            <v>09/15/2025</v>
          </cell>
          <cell r="F907" t="str">
            <v>Valid</v>
          </cell>
          <cell r="H907" t="str">
            <v>Valid</v>
          </cell>
          <cell r="N907" t="str">
            <v>East</v>
          </cell>
          <cell r="V907" t="str">
            <v>Standard Class</v>
          </cell>
          <cell r="Z907">
            <v>0</v>
          </cell>
          <cell r="AB907" t="str">
            <v>Valid</v>
          </cell>
          <cell r="AC907">
            <v>5206.53</v>
          </cell>
          <cell r="AE907">
            <v>5133.96</v>
          </cell>
          <cell r="AH907">
            <v>3930</v>
          </cell>
          <cell r="AI907">
            <v>1203.96</v>
          </cell>
          <cell r="AO907" t="str">
            <v>Paid</v>
          </cell>
          <cell r="AP907" t="str">
            <v>Returned</v>
          </cell>
        </row>
        <row r="908">
          <cell r="A908" t="str">
            <v>ORD-2024-10424</v>
          </cell>
          <cell r="B908" t="str">
            <v>2024-02-20</v>
          </cell>
          <cell r="D908" t="str">
            <v>27-02-2024</v>
          </cell>
          <cell r="F908" t="str">
            <v>Valid</v>
          </cell>
          <cell r="H908" t="str">
            <v>Valid</v>
          </cell>
          <cell r="N908" t="str">
            <v>South</v>
          </cell>
          <cell r="V908" t="str">
            <v>FIRST CLASS</v>
          </cell>
          <cell r="Z908">
            <v>0.2</v>
          </cell>
          <cell r="AB908" t="str">
            <v>Valid</v>
          </cell>
          <cell r="AC908">
            <v>27322.9</v>
          </cell>
          <cell r="AE908">
            <v>27211.032000000003</v>
          </cell>
          <cell r="AH908">
            <v>17940.43</v>
          </cell>
          <cell r="AI908">
            <v>9270.6</v>
          </cell>
          <cell r="AO908" t="str">
            <v>Paid</v>
          </cell>
          <cell r="AP908" t="str">
            <v>Returned</v>
          </cell>
        </row>
        <row r="909">
          <cell r="A909" t="str">
            <v>ORD-2025-10572</v>
          </cell>
          <cell r="B909" t="str">
            <v>10 Feb 2025</v>
          </cell>
          <cell r="D909" t="str">
            <v>2025-02-14</v>
          </cell>
          <cell r="F909" t="str">
            <v>Valid</v>
          </cell>
          <cell r="H909" t="str">
            <v>Valid</v>
          </cell>
          <cell r="N909" t="str">
            <v>North</v>
          </cell>
          <cell r="Z909">
            <v>0</v>
          </cell>
          <cell r="AB909" t="str">
            <v>Valid</v>
          </cell>
          <cell r="AC909">
            <v>21443.63</v>
          </cell>
          <cell r="AE909">
            <v>21381.45</v>
          </cell>
          <cell r="AH909">
            <v>13240.21</v>
          </cell>
          <cell r="AI909">
            <v>8141.24</v>
          </cell>
          <cell r="AO909" t="str">
            <v>Failed</v>
          </cell>
          <cell r="AP909" t="str">
            <v>Completed</v>
          </cell>
        </row>
        <row r="910">
          <cell r="A910" t="str">
            <v>ORD-2024-10143</v>
          </cell>
          <cell r="B910" t="str">
            <v>30 Mar 2024</v>
          </cell>
          <cell r="D910" t="str">
            <v>26 Mar 2024</v>
          </cell>
          <cell r="F910" t="str">
            <v>Invalid Shipping Record</v>
          </cell>
          <cell r="H910" t="str">
            <v>Invalid Shipping Record</v>
          </cell>
          <cell r="N910" t="str">
            <v>North</v>
          </cell>
          <cell r="V910" t="str">
            <v>Second Class</v>
          </cell>
          <cell r="Z910">
            <v>0.15</v>
          </cell>
          <cell r="AB910" t="str">
            <v>Valid</v>
          </cell>
          <cell r="AC910">
            <v>4099.6899999999996</v>
          </cell>
          <cell r="AE910">
            <v>3857.0449999999996</v>
          </cell>
          <cell r="AH910">
            <v>2769.26</v>
          </cell>
          <cell r="AI910">
            <v>1087.78</v>
          </cell>
          <cell r="AO910" t="str">
            <v>Paid</v>
          </cell>
          <cell r="AP910" t="str">
            <v>Returned</v>
          </cell>
        </row>
        <row r="911">
          <cell r="A911" t="str">
            <v>ORD-2024-10273</v>
          </cell>
          <cell r="B911" t="str">
            <v>08/18/2024</v>
          </cell>
          <cell r="D911" t="str">
            <v>24 Aug 2024</v>
          </cell>
          <cell r="F911" t="str">
            <v>Valid</v>
          </cell>
          <cell r="H911" t="str">
            <v>Valid</v>
          </cell>
          <cell r="N911" t="str">
            <v>South</v>
          </cell>
          <cell r="V911" t="str">
            <v>First Class</v>
          </cell>
          <cell r="Z911">
            <v>0.1</v>
          </cell>
          <cell r="AB911" t="str">
            <v>Valid</v>
          </cell>
          <cell r="AC911">
            <v>3797.79</v>
          </cell>
          <cell r="AE911">
            <v>3510.4230000000002</v>
          </cell>
          <cell r="AH911">
            <v>2191.5</v>
          </cell>
          <cell r="AI911">
            <v>1213.48</v>
          </cell>
          <cell r="AO911" t="str">
            <v>Paid</v>
          </cell>
          <cell r="AP911" t="str">
            <v>Returned</v>
          </cell>
        </row>
        <row r="912">
          <cell r="A912" t="str">
            <v>ORD-2024-10124</v>
          </cell>
          <cell r="B912" t="str">
            <v>05/24/2024</v>
          </cell>
          <cell r="D912" t="str">
            <v>25 May 2024</v>
          </cell>
          <cell r="F912" t="str">
            <v>Valid</v>
          </cell>
          <cell r="H912" t="str">
            <v>Valid</v>
          </cell>
          <cell r="N912" t="str">
            <v>NORTH</v>
          </cell>
          <cell r="V912" t="str">
            <v>Same Day</v>
          </cell>
          <cell r="Z912">
            <v>0</v>
          </cell>
          <cell r="AB912" t="str">
            <v>Valid</v>
          </cell>
          <cell r="AC912">
            <v>808.67</v>
          </cell>
          <cell r="AE912">
            <v>634.13</v>
          </cell>
          <cell r="AH912">
            <v>453.35</v>
          </cell>
          <cell r="AI912">
            <v>180.78</v>
          </cell>
          <cell r="AO912" t="str">
            <v>Refunded</v>
          </cell>
          <cell r="AP912" t="str">
            <v>Returned</v>
          </cell>
        </row>
        <row r="913">
          <cell r="A913" t="str">
            <v>ORD-2025-10336</v>
          </cell>
          <cell r="B913" t="str">
            <v>06/16/2025</v>
          </cell>
          <cell r="D913" t="str">
            <v>18 Jun 2025</v>
          </cell>
          <cell r="F913" t="str">
            <v>Valid</v>
          </cell>
          <cell r="H913" t="str">
            <v>Valid</v>
          </cell>
          <cell r="N913" t="str">
            <v>West</v>
          </cell>
          <cell r="V913" t="str">
            <v>First Class</v>
          </cell>
          <cell r="Z913">
            <v>0.1</v>
          </cell>
          <cell r="AB913" t="str">
            <v>Valid</v>
          </cell>
          <cell r="AC913">
            <v>11778.71</v>
          </cell>
          <cell r="AE913">
            <v>11581.299000000001</v>
          </cell>
          <cell r="AH913">
            <v>6829.43</v>
          </cell>
          <cell r="AI913">
            <v>4751.87</v>
          </cell>
          <cell r="AO913" t="str">
            <v>Paid</v>
          </cell>
          <cell r="AP913" t="str">
            <v>Returned</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A22" sqref="A22"/>
    </sheetView>
  </sheetViews>
  <sheetFormatPr defaultRowHeight="15" x14ac:dyDescent="0.25"/>
  <cols>
    <col min="1" max="1" width="46" customWidth="1"/>
    <col min="2" max="2" width="40" customWidth="1"/>
  </cols>
  <sheetData>
    <row r="1" spans="1:4" ht="26.25" x14ac:dyDescent="0.4">
      <c r="A1" s="19" t="s">
        <v>15</v>
      </c>
      <c r="B1" s="19"/>
    </row>
    <row r="3" spans="1:4" ht="25.5" customHeight="1" x14ac:dyDescent="0.25">
      <c r="A3" s="5" t="s">
        <v>8</v>
      </c>
      <c r="B3" s="5" t="s">
        <v>9</v>
      </c>
    </row>
    <row r="4" spans="1:4" ht="27.75" customHeight="1" x14ac:dyDescent="0.25">
      <c r="A4" s="3" t="s">
        <v>10</v>
      </c>
      <c r="B4" s="13">
        <f>COUNTBLANK([1]cleaned_orders!N2:N913)</f>
        <v>25</v>
      </c>
      <c r="C4" s="1"/>
      <c r="D4" s="1"/>
    </row>
    <row r="5" spans="1:4" ht="23.25" customHeight="1" x14ac:dyDescent="0.25">
      <c r="A5" s="3" t="s">
        <v>11</v>
      </c>
      <c r="B5" s="13">
        <f>COUNTBLANK([1]cleaned_orders!V2:V913)</f>
        <v>21</v>
      </c>
      <c r="C5" s="2"/>
      <c r="D5" s="14"/>
    </row>
    <row r="6" spans="1:4" ht="26.25" customHeight="1" x14ac:dyDescent="0.25">
      <c r="A6" s="3" t="s">
        <v>12</v>
      </c>
      <c r="B6" s="13">
        <f>COUNTBLANK([1]cleaned_orders!Z2:Z913)</f>
        <v>18</v>
      </c>
      <c r="C6" s="2"/>
      <c r="D6" s="14"/>
    </row>
    <row r="7" spans="1:4" ht="26.25" customHeight="1" x14ac:dyDescent="0.25">
      <c r="A7" s="3" t="s">
        <v>13</v>
      </c>
      <c r="B7" s="13">
        <f>COUNTBLANK([1]cleaned_orders!B2:B913)</f>
        <v>0</v>
      </c>
      <c r="C7" s="2"/>
      <c r="D7" s="14"/>
    </row>
    <row r="8" spans="1:4" ht="25.5" customHeight="1" x14ac:dyDescent="0.25">
      <c r="A8" s="3" t="s">
        <v>14</v>
      </c>
      <c r="B8" s="13">
        <f>COUNTBLANK([1]cleaned_orders!D2:D913)</f>
        <v>0</v>
      </c>
      <c r="C8" s="2"/>
      <c r="D8" s="14"/>
    </row>
    <row r="9" spans="1:4" ht="24" customHeight="1" x14ac:dyDescent="0.25">
      <c r="A9" s="13" t="s">
        <v>19</v>
      </c>
      <c r="B9" s="3">
        <f>SUM(B4:B8)</f>
        <v>64</v>
      </c>
      <c r="C9" s="2"/>
      <c r="D9" s="14"/>
    </row>
    <row r="11" spans="1:4" x14ac:dyDescent="0.25">
      <c r="A11" s="23"/>
    </row>
    <row r="12" spans="1:4" ht="18" x14ac:dyDescent="0.25">
      <c r="A12" s="38" t="s">
        <v>41</v>
      </c>
    </row>
    <row r="13" spans="1:4" x14ac:dyDescent="0.25">
      <c r="A13" s="15"/>
    </row>
    <row r="14" spans="1:4" x14ac:dyDescent="0.25">
      <c r="A14" s="15" t="s">
        <v>53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A23" sqref="A23"/>
    </sheetView>
  </sheetViews>
  <sheetFormatPr defaultRowHeight="15" x14ac:dyDescent="0.25"/>
  <cols>
    <col min="1" max="1" width="45.5703125" customWidth="1"/>
    <col min="2" max="2" width="46.5703125" customWidth="1"/>
  </cols>
  <sheetData>
    <row r="1" spans="1:2" ht="26.25" x14ac:dyDescent="0.4">
      <c r="A1" s="7" t="s">
        <v>16</v>
      </c>
      <c r="B1" s="8"/>
    </row>
    <row r="3" spans="1:2" x14ac:dyDescent="0.25">
      <c r="A3" s="9" t="s">
        <v>0</v>
      </c>
      <c r="B3" s="9" t="s">
        <v>1</v>
      </c>
    </row>
    <row r="4" spans="1:2" x14ac:dyDescent="0.25">
      <c r="A4" s="3" t="s">
        <v>2</v>
      </c>
      <c r="B4" s="3">
        <v>20</v>
      </c>
    </row>
    <row r="5" spans="1:2" x14ac:dyDescent="0.25">
      <c r="A5" s="3" t="s">
        <v>3</v>
      </c>
      <c r="B5" s="3">
        <v>24</v>
      </c>
    </row>
    <row r="6" spans="1:2" x14ac:dyDescent="0.25">
      <c r="A6" s="3" t="s">
        <v>4</v>
      </c>
      <c r="B6" s="3">
        <v>20</v>
      </c>
    </row>
    <row r="7" spans="1:2" x14ac:dyDescent="0.25">
      <c r="A7" s="3" t="s">
        <v>5</v>
      </c>
      <c r="B7" s="3">
        <v>24</v>
      </c>
    </row>
    <row r="8" spans="1:2" ht="104.25" customHeight="1" x14ac:dyDescent="0.25">
      <c r="A8" s="3" t="s">
        <v>6</v>
      </c>
      <c r="B8" s="3" t="s">
        <v>7</v>
      </c>
    </row>
    <row r="11" spans="1:2" ht="18" x14ac:dyDescent="0.25">
      <c r="A11" s="38" t="s">
        <v>41</v>
      </c>
    </row>
    <row r="12" spans="1:2" x14ac:dyDescent="0.25">
      <c r="A12" s="15"/>
    </row>
    <row r="13" spans="1:2" x14ac:dyDescent="0.25">
      <c r="A13" s="15"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A5" sqref="A5:B5"/>
    </sheetView>
  </sheetViews>
  <sheetFormatPr defaultRowHeight="15" x14ac:dyDescent="0.25"/>
  <cols>
    <col min="1" max="1" width="35.5703125" customWidth="1"/>
    <col min="2" max="2" width="32.140625" customWidth="1"/>
  </cols>
  <sheetData>
    <row r="1" spans="1:6" ht="26.25" x14ac:dyDescent="0.4">
      <c r="A1" s="20" t="s">
        <v>18</v>
      </c>
      <c r="B1" s="20"/>
      <c r="C1" s="11"/>
      <c r="D1" s="11"/>
      <c r="E1" s="12"/>
      <c r="F1" s="12"/>
    </row>
    <row r="3" spans="1:6" x14ac:dyDescent="0.25">
      <c r="A3" s="1"/>
      <c r="B3" s="1"/>
      <c r="E3" s="10"/>
    </row>
    <row r="4" spans="1:6" x14ac:dyDescent="0.25">
      <c r="A4" s="1"/>
      <c r="B4" s="1"/>
    </row>
    <row r="5" spans="1:6" ht="33.75" customHeight="1" x14ac:dyDescent="0.25">
      <c r="A5" s="39" t="s">
        <v>35</v>
      </c>
      <c r="B5" s="39" t="s">
        <v>36</v>
      </c>
    </row>
    <row r="6" spans="1:6" ht="42" customHeight="1" x14ac:dyDescent="0.4">
      <c r="A6" s="2" t="s">
        <v>17</v>
      </c>
      <c r="B6" s="2">
        <f>COUNTIF([1]cleaned_orders!AB2:AB913,"Valid")</f>
        <v>888</v>
      </c>
      <c r="D6" s="6"/>
    </row>
    <row r="7" spans="1:6" ht="37.5" customHeight="1" x14ac:dyDescent="0.25">
      <c r="A7" s="2" t="s">
        <v>37</v>
      </c>
      <c r="B7" s="2">
        <f>COUNTIF([1]cleaned_orders!AB2:AB913,"Negative Discount")</f>
        <v>0</v>
      </c>
    </row>
    <row r="8" spans="1:6" x14ac:dyDescent="0.25">
      <c r="A8" s="2" t="s">
        <v>38</v>
      </c>
      <c r="B8" s="2">
        <f>COUNTIF([1]cleaned_orders!AB2:AB913,"Discount Above Limit")</f>
        <v>0</v>
      </c>
    </row>
    <row r="9" spans="1:6" ht="28.5" customHeight="1" x14ac:dyDescent="0.25">
      <c r="A9" s="22" t="s">
        <v>39</v>
      </c>
      <c r="B9" s="2">
        <f>SUM(B4:B6)</f>
        <v>888</v>
      </c>
    </row>
    <row r="12" spans="1:6" ht="18" x14ac:dyDescent="0.25">
      <c r="A12" s="38" t="s">
        <v>41</v>
      </c>
    </row>
    <row r="13" spans="1:6" x14ac:dyDescent="0.25">
      <c r="A13" s="15"/>
    </row>
    <row r="14" spans="1:6" x14ac:dyDescent="0.25">
      <c r="A14" s="15"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A31" sqref="A31"/>
    </sheetView>
  </sheetViews>
  <sheetFormatPr defaultRowHeight="15" x14ac:dyDescent="0.25"/>
  <cols>
    <col min="1" max="1" width="33.42578125" customWidth="1"/>
    <col min="2" max="2" width="24.28515625" customWidth="1"/>
  </cols>
  <sheetData>
    <row r="1" spans="1:2" ht="26.25" x14ac:dyDescent="0.4">
      <c r="A1" s="16" t="s">
        <v>23</v>
      </c>
      <c r="B1" s="17"/>
    </row>
    <row r="3" spans="1:2" x14ac:dyDescent="0.25">
      <c r="A3" s="35" t="s">
        <v>20</v>
      </c>
      <c r="B3" s="35" t="s">
        <v>36</v>
      </c>
    </row>
    <row r="4" spans="1:2" ht="33.75" customHeight="1" x14ac:dyDescent="0.25">
      <c r="A4" s="21" t="s">
        <v>17</v>
      </c>
      <c r="B4" s="21">
        <f>COUNTIF([1]cleaned_orders!H2:H913,"Valid")</f>
        <v>891</v>
      </c>
    </row>
    <row r="5" spans="1:2" ht="25.5" customHeight="1" x14ac:dyDescent="0.25">
      <c r="A5" s="21" t="s">
        <v>22</v>
      </c>
      <c r="B5" s="21">
        <f>COUNTIF([1]cleaned_orders!H2:H913,"Missing Date")</f>
        <v>0</v>
      </c>
    </row>
    <row r="6" spans="1:2" ht="39" customHeight="1" x14ac:dyDescent="0.25">
      <c r="A6" s="21" t="s">
        <v>21</v>
      </c>
      <c r="B6" s="21">
        <f>COUNTIF([1]cleaned_orders!H2:H913,"Invalid Shipping Record")</f>
        <v>21</v>
      </c>
    </row>
    <row r="7" spans="1:2" ht="30.75" customHeight="1" x14ac:dyDescent="0.25">
      <c r="A7" s="21" t="s">
        <v>39</v>
      </c>
      <c r="B7" s="21">
        <f>SUM(B4:B6)</f>
        <v>912</v>
      </c>
    </row>
    <row r="8" spans="1:2" x14ac:dyDescent="0.25">
      <c r="A8" s="36"/>
      <c r="B8" s="36"/>
    </row>
    <row r="9" spans="1:2" x14ac:dyDescent="0.25">
      <c r="A9" s="4" t="s">
        <v>42</v>
      </c>
    </row>
    <row r="11" spans="1:2" x14ac:dyDescent="0.25">
      <c r="A11" s="15" t="s">
        <v>43</v>
      </c>
    </row>
    <row r="12" spans="1:2" x14ac:dyDescent="0.25">
      <c r="A12" s="4"/>
    </row>
    <row r="14" spans="1:2" x14ac:dyDescent="0.25">
      <c r="A14"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A17" sqref="A17:A19"/>
    </sheetView>
  </sheetViews>
  <sheetFormatPr defaultRowHeight="15" x14ac:dyDescent="0.25"/>
  <cols>
    <col min="1" max="1" width="35.7109375" customWidth="1"/>
    <col min="2" max="2" width="22.42578125" customWidth="1"/>
  </cols>
  <sheetData>
    <row r="1" spans="1:3" ht="26.25" x14ac:dyDescent="0.4">
      <c r="A1" s="18" t="s">
        <v>30</v>
      </c>
    </row>
    <row r="3" spans="1:3" x14ac:dyDescent="0.25">
      <c r="A3" s="25" t="s">
        <v>24</v>
      </c>
      <c r="B3" s="25" t="s">
        <v>36</v>
      </c>
    </row>
    <row r="4" spans="1:3" ht="26.25" customHeight="1" x14ac:dyDescent="0.25">
      <c r="A4" s="3" t="s">
        <v>25</v>
      </c>
      <c r="B4" s="13">
        <f>COUNTIF([1]cleaned_orders!AP2:AP913,"Completed")</f>
        <v>604</v>
      </c>
    </row>
    <row r="5" spans="1:3" ht="36.75" customHeight="1" x14ac:dyDescent="0.25">
      <c r="A5" s="3" t="s">
        <v>26</v>
      </c>
      <c r="B5" s="13">
        <f>COUNTIF([1]cleaned_orders!AP2:AP913,"Cancelled")</f>
        <v>145</v>
      </c>
    </row>
    <row r="6" spans="1:3" ht="33.75" customHeight="1" x14ac:dyDescent="0.25">
      <c r="A6" s="3" t="s">
        <v>27</v>
      </c>
      <c r="B6" s="13">
        <f>COUNTIF([1]cleaned_orders!AP2:AP913,"Returned")</f>
        <v>163</v>
      </c>
    </row>
    <row r="7" spans="1:3" ht="18.75" customHeight="1" x14ac:dyDescent="0.25">
      <c r="A7" s="31"/>
      <c r="B7" s="32"/>
    </row>
    <row r="8" spans="1:3" ht="18" customHeight="1" x14ac:dyDescent="0.25">
      <c r="A8" s="31"/>
      <c r="B8" s="32"/>
    </row>
    <row r="9" spans="1:3" ht="18.75" customHeight="1" x14ac:dyDescent="0.25">
      <c r="A9" s="31"/>
      <c r="B9" s="32"/>
      <c r="C9" s="24"/>
    </row>
    <row r="10" spans="1:3" x14ac:dyDescent="0.25">
      <c r="A10" s="33"/>
      <c r="B10" s="33"/>
    </row>
    <row r="11" spans="1:3" x14ac:dyDescent="0.25">
      <c r="A11" s="25" t="s">
        <v>24</v>
      </c>
      <c r="B11" s="25" t="s">
        <v>40</v>
      </c>
    </row>
    <row r="12" spans="1:3" ht="37.5" customHeight="1" x14ac:dyDescent="0.25">
      <c r="A12" s="3" t="s">
        <v>28</v>
      </c>
      <c r="B12" s="34">
        <f>COUNTIF([1]cleaned_orders!AO2:AO913,"Paid")</f>
        <v>686</v>
      </c>
    </row>
    <row r="13" spans="1:3" ht="39" customHeight="1" x14ac:dyDescent="0.25">
      <c r="A13" s="3" t="s">
        <v>44</v>
      </c>
      <c r="B13" s="34">
        <f>COUNTIF([1]cleaned_orders!AO2:AO913,"Failed")</f>
        <v>69</v>
      </c>
    </row>
    <row r="14" spans="1:3" ht="44.25" customHeight="1" x14ac:dyDescent="0.25">
      <c r="A14" s="3" t="s">
        <v>29</v>
      </c>
      <c r="B14" s="34">
        <f>COUNTIF([1]cleaned_orders!AO2:AO913,"Refunded")</f>
        <v>71</v>
      </c>
    </row>
    <row r="17" spans="1:1" ht="18" x14ac:dyDescent="0.25">
      <c r="A17" s="38" t="s">
        <v>41</v>
      </c>
    </row>
    <row r="18" spans="1:1" x14ac:dyDescent="0.25">
      <c r="A18" s="15"/>
    </row>
    <row r="19" spans="1:1" x14ac:dyDescent="0.25">
      <c r="A19" s="15" t="s">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A8" sqref="A8:A10"/>
    </sheetView>
  </sheetViews>
  <sheetFormatPr defaultRowHeight="15" x14ac:dyDescent="0.25"/>
  <cols>
    <col min="1" max="1" width="32.140625" customWidth="1"/>
    <col min="2" max="2" width="23.85546875" customWidth="1"/>
  </cols>
  <sheetData>
    <row r="1" spans="1:2" ht="26.25" x14ac:dyDescent="0.4">
      <c r="A1" s="27" t="s">
        <v>33</v>
      </c>
      <c r="B1" s="28"/>
    </row>
    <row r="3" spans="1:2" ht="33" customHeight="1" x14ac:dyDescent="0.25">
      <c r="A3" s="29" t="s">
        <v>0</v>
      </c>
      <c r="B3" s="29" t="s">
        <v>40</v>
      </c>
    </row>
    <row r="4" spans="1:2" ht="36" customHeight="1" x14ac:dyDescent="0.25">
      <c r="A4" s="21" t="s">
        <v>31</v>
      </c>
      <c r="B4" s="30">
        <f>SUMPRODUCT(--(ROUND([1]cleaned_orders!AC2:AC913,2)&lt;&gt;ROUND([1]cleaned_orders!AE2:AE913,2)))</f>
        <v>94</v>
      </c>
    </row>
    <row r="5" spans="1:2" ht="46.5" customHeight="1" x14ac:dyDescent="0.25">
      <c r="A5" s="21" t="s">
        <v>32</v>
      </c>
      <c r="B5" s="30">
        <f>SUMPRODUCT(--(ROUND([1]cleaned_orders!AH2:AH913,2)&lt;&gt;ROUND([1]cleaned_orders!AI2:AI913,2)))</f>
        <v>912</v>
      </c>
    </row>
    <row r="8" spans="1:2" ht="18" x14ac:dyDescent="0.25">
      <c r="A8" s="38" t="s">
        <v>41</v>
      </c>
    </row>
    <row r="9" spans="1:2" x14ac:dyDescent="0.25">
      <c r="A9" s="15"/>
    </row>
    <row r="10" spans="1:2" x14ac:dyDescent="0.25">
      <c r="A10" s="15" t="s">
        <v>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tabSelected="1" workbookViewId="0">
      <selection activeCell="A16" sqref="A16"/>
    </sheetView>
  </sheetViews>
  <sheetFormatPr defaultRowHeight="15" x14ac:dyDescent="0.25"/>
  <cols>
    <col min="1" max="1" width="37.42578125" customWidth="1"/>
    <col min="2" max="2" width="37.5703125" customWidth="1"/>
  </cols>
  <sheetData>
    <row r="1" spans="1:2" ht="26.25" x14ac:dyDescent="0.4">
      <c r="A1" s="26" t="s">
        <v>48</v>
      </c>
      <c r="B1" s="26"/>
    </row>
    <row r="3" spans="1:2" x14ac:dyDescent="0.25">
      <c r="A3" s="1"/>
      <c r="B3" s="1"/>
    </row>
    <row r="4" spans="1:2" x14ac:dyDescent="0.25">
      <c r="A4" s="37" t="s">
        <v>34</v>
      </c>
      <c r="B4" s="37" t="s">
        <v>40</v>
      </c>
    </row>
    <row r="5" spans="1:2" ht="25.5" customHeight="1" x14ac:dyDescent="0.25">
      <c r="A5" s="2" t="s">
        <v>45</v>
      </c>
      <c r="B5" s="14">
        <f>COUNTA([1]cleaned_orders!A2:A913)</f>
        <v>912</v>
      </c>
    </row>
    <row r="6" spans="1:2" ht="21.75" customHeight="1" x14ac:dyDescent="0.25">
      <c r="A6" s="2" t="s">
        <v>46</v>
      </c>
      <c r="B6" s="14">
        <f>COUNTIF([1]cleaned_orders!F2:F913,"&lt;&gt;Valid")</f>
        <v>21</v>
      </c>
    </row>
    <row r="7" spans="1:2" ht="24" customHeight="1" x14ac:dyDescent="0.25">
      <c r="A7" s="2" t="s">
        <v>47</v>
      </c>
      <c r="B7" s="14">
        <f>COUNTIF([1]cleaned_orders!F2:F913,"Valid")</f>
        <v>891</v>
      </c>
    </row>
    <row r="9" spans="1:2" ht="18" x14ac:dyDescent="0.25">
      <c r="A9" s="38" t="s">
        <v>41</v>
      </c>
    </row>
    <row r="10" spans="1:2" x14ac:dyDescent="0.25">
      <c r="A10" s="15"/>
    </row>
    <row r="11" spans="1:2" x14ac:dyDescent="0.25">
      <c r="A11" s="15"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Missing_value_summary</vt:lpstr>
      <vt:lpstr>Duplicate_Summary</vt:lpstr>
      <vt:lpstr>Invalid_discount_summary</vt:lpstr>
      <vt:lpstr>Date_issue_summary</vt:lpstr>
      <vt:lpstr>Order_status_issue_summary</vt:lpstr>
      <vt:lpstr>Sales_Profit_Mismatch</vt:lpstr>
      <vt:lpstr>Clean_vs_Flagged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hi</cp:lastModifiedBy>
  <dcterms:created xsi:type="dcterms:W3CDTF">2026-06-26T09:04:03Z</dcterms:created>
  <dcterms:modified xsi:type="dcterms:W3CDTF">2026-06-28T06:13:56Z</dcterms:modified>
</cp:coreProperties>
</file>